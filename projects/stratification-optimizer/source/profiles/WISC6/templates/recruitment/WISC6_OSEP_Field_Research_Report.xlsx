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xl/tables/table11.xml" ContentType="application/vnd.openxmlformats-officedocument.spreadsheetml.table+xml"/>
  <Override PartName="/xl/queryTables/queryTable11.xml" ContentType="application/vnd.openxmlformats-officedocument.spreadsheetml.queryTable+xml"/>
  <Override PartName="/xl/tables/table12.xml" ContentType="application/vnd.openxmlformats-officedocument.spreadsheetml.table+xml"/>
  <Override PartName="/xl/queryTables/queryTable12.xml" ContentType="application/vnd.openxmlformats-officedocument.spreadsheetml.queryTable+xml"/>
  <Override PartName="/xl/tables/table13.xml" ContentType="application/vnd.openxmlformats-officedocument.spreadsheetml.table+xml"/>
  <Override PartName="/xl/queryTables/queryTable13.xml" ContentType="application/vnd.openxmlformats-officedocument.spreadsheetml.queryTable+xml"/>
  <Override PartName="/xl/tables/table14.xml" ContentType="application/vnd.openxmlformats-officedocument.spreadsheetml.table+xml"/>
  <Override PartName="/xl/queryTables/queryTable14.xml" ContentType="application/vnd.openxmlformats-officedocument.spreadsheetml.queryTable+xml"/>
  <Override PartName="/xl/tables/table15.xml" ContentType="application/vnd.openxmlformats-officedocument.spreadsheetml.table+xml"/>
  <Override PartName="/xl/queryTables/queryTable15.xml" ContentType="application/vnd.openxmlformats-officedocument.spreadsheetml.queryTable+xml"/>
  <Override PartName="/xl/tables/table16.xml" ContentType="application/vnd.openxmlformats-officedocument.spreadsheetml.table+xml"/>
  <Override PartName="/xl/queryTables/queryTable16.xml" ContentType="application/vnd.openxmlformats-officedocument.spreadsheetml.queryTable+xml"/>
  <Override PartName="/xl/tables/table17.xml" ContentType="application/vnd.openxmlformats-officedocument.spreadsheetml.table+xml"/>
  <Override PartName="/xl/queryTables/queryTable17.xml" ContentType="application/vnd.openxmlformats-officedocument.spreadsheetml.queryTable+xml"/>
  <Override PartName="/xl/tables/table18.xml" ContentType="application/vnd.openxmlformats-officedocument.spreadsheetml.table+xml"/>
  <Override PartName="/xl/queryTables/queryTable18.xml" ContentType="application/vnd.openxmlformats-officedocument.spreadsheetml.queryTable+xml"/>
  <Override PartName="/xl/tables/table19.xml" ContentType="application/vnd.openxmlformats-officedocument.spreadsheetml.table+xml"/>
  <Override PartName="/xl/queryTables/queryTable19.xml" ContentType="application/vnd.openxmlformats-officedocument.spreadsheetml.queryTable+xml"/>
  <Override PartName="/xl/tables/table20.xml" ContentType="application/vnd.openxmlformats-officedocument.spreadsheetml.table+xml"/>
  <Override PartName="/xl/queryTables/queryTable20.xml" ContentType="application/vnd.openxmlformats-officedocument.spreadsheetml.queryTable+xml"/>
  <Override PartName="/xl/tables/table21.xml" ContentType="application/vnd.openxmlformats-officedocument.spreadsheetml.table+xml"/>
  <Override PartName="/xl/queryTables/queryTable21.xml" ContentType="application/vnd.openxmlformats-officedocument.spreadsheetml.queryTable+xml"/>
  <Override PartName="/xl/tables/table22.xml" ContentType="application/vnd.openxmlformats-officedocument.spreadsheetml.table+xml"/>
  <Override PartName="/xl/queryTables/queryTable2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UFAVRLA\PythonProjects\Psych_Hub\Tools\SCOPE\documents\Output\Recruitment_Planning_Tables\"/>
    </mc:Choice>
  </mc:AlternateContent>
  <xr:revisionPtr revIDLastSave="0" documentId="8_{3FCF30EB-345E-4B0A-988C-668542AAA18B}" xr6:coauthVersionLast="47" xr6:coauthVersionMax="47" xr10:uidLastSave="{00000000-0000-0000-0000-000000000000}"/>
  <bookViews>
    <workbookView xWindow="-120" yWindow="-120" windowWidth="29040" windowHeight="15720" tabRatio="795" firstSheet="4" activeTab="16" xr2:uid="{63BBDDF6-41CB-814F-AB87-2DEB9C76692D}"/>
  </bookViews>
  <sheets>
    <sheet name="setup" sheetId="8" state="hidden" r:id="rId1"/>
    <sheet name="aurora_data" sheetId="2" state="hidden" r:id="rId2"/>
    <sheet name="Summary" sheetId="5" r:id="rId3"/>
    <sheet name="OSEP_AUT_P" sheetId="164" r:id="rId4"/>
    <sheet name="OSEP_AUT_D" sheetId="165" r:id="rId5"/>
    <sheet name="OSEP_DD_P" sheetId="138" r:id="rId6"/>
    <sheet name="OSEP_DD_D" sheetId="166" r:id="rId7"/>
    <sheet name="OSEP_ED_P" sheetId="136" r:id="rId8"/>
    <sheet name="OSEP_ED_D" sheetId="167" r:id="rId9"/>
    <sheet name="OSEP_MD_P" sheetId="168" r:id="rId10"/>
    <sheet name="OSEP_MD_D" sheetId="169" r:id="rId11"/>
    <sheet name="OSEP_OI_P" sheetId="170" r:id="rId12"/>
    <sheet name="OSEP_OI_D" sheetId="171" r:id="rId13"/>
    <sheet name="OSEP_OHI_P" sheetId="172" r:id="rId14"/>
    <sheet name="OSEP_OHI_D" sheetId="173" r:id="rId15"/>
    <sheet name="OSEP_SLD_P" sheetId="174" r:id="rId16"/>
    <sheet name="OSEP_SLD_D" sheetId="175" r:id="rId17"/>
    <sheet name="OSEP_SI_P" sheetId="176" r:id="rId18"/>
    <sheet name="OSEP_SI_D" sheetId="177" r:id="rId19"/>
    <sheet name="OSEP_TBI_P" sheetId="178" r:id="rId20"/>
    <sheet name="OSEP_TBI_D" sheetId="179" r:id="rId21"/>
    <sheet name="OSEP_ADHD_P" sheetId="180" r:id="rId22"/>
    <sheet name="OSEP_ADHD_D" sheetId="181" r:id="rId23"/>
  </sheets>
  <definedNames>
    <definedName name="ExternalData_1" localSheetId="0" hidden="1">setup!$H$15:$M$89</definedName>
    <definedName name="ExternalData_1" localSheetId="2" hidden="1">Summary!$A$2:$F$23</definedName>
    <definedName name="ExternalData_10" localSheetId="1" hidden="1">aurora_data!#REF!</definedName>
    <definedName name="ExternalData_100" localSheetId="1" hidden="1">aurora_data!#REF!</definedName>
    <definedName name="ExternalData_101" localSheetId="1" hidden="1">aurora_data!#REF!</definedName>
    <definedName name="ExternalData_102" localSheetId="1" hidden="1">aurora_data!$A$631:$V$647</definedName>
    <definedName name="ExternalData_103" localSheetId="1" hidden="1">aurora_data!#REF!</definedName>
    <definedName name="ExternalData_104" localSheetId="1" hidden="1">aurora_data!#REF!</definedName>
    <definedName name="ExternalData_105" localSheetId="1" hidden="1">aurora_data!$A$1131:$V$1227</definedName>
    <definedName name="ExternalData_106" localSheetId="1" hidden="1">aurora_data!$A$1431:$V$1527</definedName>
    <definedName name="ExternalData_107" localSheetId="1" hidden="1">aurora_data!#REF!</definedName>
    <definedName name="ExternalData_108" localSheetId="1" hidden="1">aurora_data!$A$731:$V$747</definedName>
    <definedName name="ExternalData_109" localSheetId="1" hidden="1">aurora_data!$A$831:$V$847</definedName>
    <definedName name="ExternalData_110" localSheetId="1" hidden="1">aurora_data!$A$1481:$V$1508</definedName>
    <definedName name="ExternalData_111" localSheetId="1" hidden="1">aurora_data!$A$931:$V$947</definedName>
    <definedName name="ExternalData_112" localSheetId="1" hidden="1">aurora_data!$A$1031:$V$1047</definedName>
    <definedName name="ExternalData_113" localSheetId="1" hidden="1">aurora_data!$A$1231:$V$1327</definedName>
    <definedName name="ExternalData_114" localSheetId="1" hidden="1">aurora_data!$A$1331:$V$1427</definedName>
    <definedName name="ExternalData_115" localSheetId="1" hidden="1">aurora_data!$A$1531:$V$1627</definedName>
    <definedName name="ExternalData_116" localSheetId="1" hidden="1">aurora_data!$A$1631:$V$1727</definedName>
    <definedName name="ExternalData_117" localSheetId="1" hidden="1">aurora_data!$A$1731:$V$1747</definedName>
    <definedName name="ExternalData_118" localSheetId="1" hidden="1">aurora_data!$A$1831:$V$1847</definedName>
    <definedName name="ExternalData_119" localSheetId="1" hidden="1">aurora_data!#REF!</definedName>
    <definedName name="ExternalData_12" localSheetId="1" hidden="1">aurora_data!#REF!</definedName>
    <definedName name="ExternalData_120" localSheetId="1" hidden="1">aurora_data!$A$1931:$V$2027</definedName>
    <definedName name="ExternalData_121" localSheetId="1" hidden="1">aurora_data!$A$2031:$V$2127</definedName>
    <definedName name="ExternalData_122" localSheetId="1" hidden="1">aurora_data!#REF!</definedName>
    <definedName name="ExternalData_123" localSheetId="1" hidden="1">aurora_data!#REF!</definedName>
    <definedName name="ExternalData_124" localSheetId="1" hidden="1">aurora_data!#REF!</definedName>
    <definedName name="ExternalData_125" localSheetId="1" hidden="1">aurora_data!#REF!</definedName>
    <definedName name="ExternalData_126" localSheetId="1" hidden="1">aurora_data!#REF!</definedName>
    <definedName name="ExternalData_127" localSheetId="1" hidden="1">aurora_data!#REF!</definedName>
    <definedName name="ExternalData_128" localSheetId="1" hidden="1">aurora_data!#REF!</definedName>
    <definedName name="ExternalData_129" localSheetId="1" hidden="1">aurora_data!#REF!</definedName>
    <definedName name="ExternalData_13" localSheetId="1" hidden="1">aurora_data!$A$231:$V$271</definedName>
    <definedName name="ExternalData_130" localSheetId="1" hidden="1">aurora_data!#REF!</definedName>
    <definedName name="ExternalData_131" localSheetId="1" hidden="1">aurora_data!#REF!</definedName>
    <definedName name="ExternalData_132" localSheetId="1" hidden="1">aurora_data!#REF!</definedName>
    <definedName name="ExternalData_133" localSheetId="1" hidden="1">aurora_data!#REF!</definedName>
    <definedName name="ExternalData_134" localSheetId="1" hidden="1">aurora_data!#REF!</definedName>
    <definedName name="ExternalData_135" localSheetId="1" hidden="1">aurora_data!#REF!</definedName>
    <definedName name="ExternalData_136" localSheetId="1" hidden="1">aurora_data!#REF!</definedName>
    <definedName name="ExternalData_137" localSheetId="1" hidden="1">aurora_data!#REF!</definedName>
    <definedName name="ExternalData_138" localSheetId="1" hidden="1">aurora_data!#REF!</definedName>
    <definedName name="ExternalData_139" localSheetId="1" hidden="1">aurora_data!#REF!</definedName>
    <definedName name="ExternalData_14" localSheetId="1" hidden="1">aurora_data!#REF!</definedName>
    <definedName name="ExternalData_140" localSheetId="1" hidden="1">aurora_data!#REF!</definedName>
    <definedName name="ExternalData_141" localSheetId="1" hidden="1">aurora_data!#REF!</definedName>
    <definedName name="ExternalData_142" localSheetId="1" hidden="1">aurora_data!#REF!</definedName>
    <definedName name="ExternalData_143" localSheetId="1" hidden="1">aurora_data!#REF!</definedName>
    <definedName name="ExternalData_15" localSheetId="1" hidden="1">aurora_data!#REF!</definedName>
    <definedName name="ExternalData_17" localSheetId="1" hidden="1">aurora_data!#REF!</definedName>
    <definedName name="ExternalData_19" localSheetId="1" hidden="1">aurora_data!#REF!</definedName>
    <definedName name="ExternalData_20" localSheetId="1" hidden="1">aurora_data!#REF!</definedName>
    <definedName name="ExternalData_21" localSheetId="1" hidden="1">aurora_data!#REF!</definedName>
    <definedName name="ExternalData_22" localSheetId="1" hidden="1">aurora_data!#REF!</definedName>
    <definedName name="ExternalData_23" localSheetId="1" hidden="1">aurora_data!#REF!</definedName>
    <definedName name="ExternalData_24" localSheetId="1" hidden="1">aurora_data!#REF!</definedName>
    <definedName name="ExternalData_25" localSheetId="1" hidden="1">aurora_data!#REF!</definedName>
    <definedName name="ExternalData_26" localSheetId="1" hidden="1">aurora_data!#REF!</definedName>
    <definedName name="ExternalData_27" localSheetId="1" hidden="1">aurora_data!#REF!</definedName>
    <definedName name="ExternalData_28" localSheetId="1" hidden="1">aurora_data!#REF!</definedName>
    <definedName name="ExternalData_29" localSheetId="1" hidden="1">aurora_data!#REF!</definedName>
    <definedName name="ExternalData_30" localSheetId="1" hidden="1">aurora_data!#REF!</definedName>
    <definedName name="ExternalData_31" localSheetId="1" hidden="1">aurora_data!#REF!</definedName>
    <definedName name="ExternalData_32" localSheetId="1" hidden="1">aurora_data!#REF!</definedName>
    <definedName name="ExternalData_33" localSheetId="1" hidden="1">aurora_data!#REF!</definedName>
    <definedName name="ExternalData_34" localSheetId="1" hidden="1">aurora_data!#REF!</definedName>
    <definedName name="ExternalData_35" localSheetId="1" hidden="1">aurora_data!#REF!</definedName>
    <definedName name="ExternalData_36" localSheetId="1" hidden="1">aurora_data!#REF!</definedName>
    <definedName name="ExternalData_37" localSheetId="1" hidden="1">aurora_data!#REF!</definedName>
    <definedName name="ExternalData_38" localSheetId="1" hidden="1">aurora_data!#REF!</definedName>
    <definedName name="ExternalData_39" localSheetId="1" hidden="1">aurora_data!#REF!</definedName>
    <definedName name="ExternalData_40" localSheetId="1" hidden="1">aurora_data!#REF!</definedName>
    <definedName name="ExternalData_41" localSheetId="1" hidden="1">aurora_data!#REF!</definedName>
    <definedName name="ExternalData_42" localSheetId="1" hidden="1">aurora_data!#REF!</definedName>
    <definedName name="ExternalData_43" localSheetId="1" hidden="1">aurora_data!#REF!</definedName>
    <definedName name="ExternalData_44" localSheetId="1" hidden="1">aurora_data!#REF!</definedName>
    <definedName name="ExternalData_48" localSheetId="1" hidden="1">aurora_data!#REF!</definedName>
    <definedName name="ExternalData_49" localSheetId="1" hidden="1">aurora_data!#REF!</definedName>
    <definedName name="ExternalData_50" localSheetId="1" hidden="1">aurora_data!#REF!</definedName>
    <definedName name="ExternalData_51" localSheetId="1" hidden="1">aurora_data!#REF!</definedName>
    <definedName name="ExternalData_52" localSheetId="1" hidden="1">aurora_data!#REF!</definedName>
    <definedName name="ExternalData_53" localSheetId="1" hidden="1">aurora_data!$A$3:$V$99</definedName>
    <definedName name="ExternalData_54" localSheetId="1" hidden="1">aurora_data!$A$131:$V$227</definedName>
    <definedName name="ExternalData_55" localSheetId="1" hidden="1">aurora_data!$A$431:$V$527</definedName>
    <definedName name="ExternalData_56" localSheetId="1" hidden="1">aurora_data!#REF!</definedName>
    <definedName name="ExternalData_57" localSheetId="1" hidden="1">aurora_data!#REF!</definedName>
    <definedName name="ExternalData_58" localSheetId="1" hidden="1">aurora_data!#REF!</definedName>
    <definedName name="ExternalData_59" localSheetId="1" hidden="1">aurora_data!#REF!</definedName>
    <definedName name="ExternalData_60" localSheetId="1" hidden="1">aurora_data!#REF!</definedName>
    <definedName name="ExternalData_61" localSheetId="1" hidden="1">aurora_data!#REF!</definedName>
    <definedName name="ExternalData_62" localSheetId="1" hidden="1">aurora_data!#REF!</definedName>
    <definedName name="ExternalData_63" localSheetId="1" hidden="1">aurora_data!#REF!</definedName>
    <definedName name="ExternalData_64" localSheetId="1" hidden="1">aurora_data!#REF!</definedName>
    <definedName name="ExternalData_65" localSheetId="1" hidden="1">aurora_data!#REF!</definedName>
    <definedName name="ExternalData_66" localSheetId="1" hidden="1">aurora_data!#REF!</definedName>
    <definedName name="ExternalData_67" localSheetId="1" hidden="1">aurora_data!#REF!</definedName>
    <definedName name="ExternalData_68" localSheetId="1" hidden="1">aurora_data!#REF!</definedName>
    <definedName name="ExternalData_69" localSheetId="1" hidden="1">aurora_data!#REF!</definedName>
    <definedName name="ExternalData_70" localSheetId="1" hidden="1">aurora_data!$A$331:$V$371</definedName>
    <definedName name="ExternalData_71" localSheetId="1" hidden="1">aurora_data!#REF!</definedName>
    <definedName name="ExternalData_72" localSheetId="1" hidden="1">aurora_data!#REF!</definedName>
    <definedName name="ExternalData_73" localSheetId="1" hidden="1">aurora_data!#REF!</definedName>
    <definedName name="ExternalData_74" localSheetId="1" hidden="1">aurora_data!#REF!</definedName>
    <definedName name="ExternalData_75" localSheetId="1" hidden="1">aurora_data!#REF!</definedName>
    <definedName name="ExternalData_76" localSheetId="1" hidden="1">aurora_data!#REF!</definedName>
    <definedName name="ExternalData_77" localSheetId="1" hidden="1">aurora_data!#REF!</definedName>
    <definedName name="ExternalData_78" localSheetId="1" hidden="1">aurora_data!#REF!</definedName>
    <definedName name="ExternalData_79" localSheetId="1" hidden="1">aurora_data!#REF!</definedName>
    <definedName name="ExternalData_80" localSheetId="1" hidden="1">aurora_data!#REF!</definedName>
    <definedName name="ExternalData_81" localSheetId="1" hidden="1">aurora_data!#REF!</definedName>
    <definedName name="ExternalData_82" localSheetId="1" hidden="1">aurora_data!#REF!</definedName>
    <definedName name="ExternalData_83" localSheetId="1" hidden="1">aurora_data!#REF!</definedName>
    <definedName name="ExternalData_84" localSheetId="1" hidden="1">aurora_data!#REF!</definedName>
    <definedName name="ExternalData_85" localSheetId="1" hidden="1">aurora_data!#REF!</definedName>
    <definedName name="ExternalData_86" localSheetId="1" hidden="1">aurora_data!#REF!</definedName>
    <definedName name="ExternalData_87" localSheetId="1" hidden="1">aurora_data!#REF!</definedName>
    <definedName name="ExternalData_88" localSheetId="1" hidden="1">aurora_data!#REF!</definedName>
    <definedName name="ExternalData_89" localSheetId="1" hidden="1">aurora_data!#REF!</definedName>
    <definedName name="ExternalData_9" localSheetId="1" hidden="1">aurora_data!#REF!</definedName>
    <definedName name="ExternalData_90" localSheetId="1" hidden="1">aurora_data!#REF!</definedName>
    <definedName name="ExternalData_91" localSheetId="1" hidden="1">aurora_data!#REF!</definedName>
    <definedName name="ExternalData_92" localSheetId="1" hidden="1">aurora_data!#REF!</definedName>
    <definedName name="ExternalData_93" localSheetId="1" hidden="1">aurora_data!#REF!</definedName>
    <definedName name="ExternalData_94" localSheetId="1" hidden="1">aurora_data!#REF!</definedName>
    <definedName name="ExternalData_95" localSheetId="1" hidden="1">aurora_data!#REF!</definedName>
    <definedName name="ExternalData_96" localSheetId="1" hidden="1">aurora_data!#REF!</definedName>
    <definedName name="ExternalData_97" localSheetId="1" hidden="1">aurora_data!#REF!</definedName>
    <definedName name="ExternalData_98" localSheetId="1" hidden="1">aurora_data!#REF!</definedName>
    <definedName name="ExternalData_99" localSheetId="1" hidden="1">aurora_data!#REF!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66" l="1"/>
  <c r="F35" i="8"/>
  <c r="H22" i="5" s="1"/>
  <c r="I22" i="5" s="1"/>
  <c r="F34" i="8"/>
  <c r="H21" i="5" s="1"/>
  <c r="I21" i="5" s="1"/>
  <c r="F33" i="8"/>
  <c r="H20" i="5" s="1"/>
  <c r="I20" i="5" s="1"/>
  <c r="F32" i="8"/>
  <c r="H19" i="5" s="1"/>
  <c r="I19" i="5" s="1"/>
  <c r="F31" i="8"/>
  <c r="H18" i="5" s="1"/>
  <c r="I18" i="5" s="1"/>
  <c r="F30" i="8"/>
  <c r="H17" i="5" s="1"/>
  <c r="I17" i="5" s="1"/>
  <c r="F29" i="8"/>
  <c r="H16" i="5" s="1"/>
  <c r="I16" i="5" s="1"/>
  <c r="F28" i="8"/>
  <c r="H15" i="5" s="1"/>
  <c r="I15" i="5" s="1"/>
  <c r="F27" i="8"/>
  <c r="H14" i="5" s="1"/>
  <c r="I14" i="5" s="1"/>
  <c r="F26" i="8"/>
  <c r="H13" i="5" s="1"/>
  <c r="I13" i="5" s="1"/>
  <c r="F25" i="8"/>
  <c r="H12" i="5" s="1"/>
  <c r="I12" i="5" s="1"/>
  <c r="F24" i="8"/>
  <c r="H11" i="5" s="1"/>
  <c r="I11" i="5" s="1"/>
  <c r="F23" i="8"/>
  <c r="H10" i="5" s="1"/>
  <c r="I10" i="5" s="1"/>
  <c r="F22" i="8"/>
  <c r="H9" i="5" s="1"/>
  <c r="I9" i="5" s="1"/>
  <c r="F21" i="8"/>
  <c r="H8" i="5" s="1"/>
  <c r="I8" i="5" s="1"/>
  <c r="F20" i="8"/>
  <c r="H7" i="5" s="1"/>
  <c r="I7" i="5" s="1"/>
  <c r="F19" i="8"/>
  <c r="H6" i="5" s="1"/>
  <c r="I6" i="5" s="1"/>
  <c r="F18" i="8"/>
  <c r="H5" i="5" s="1"/>
  <c r="I5" i="5" s="1"/>
  <c r="F17" i="8"/>
  <c r="H4" i="5" s="1"/>
  <c r="F16" i="8"/>
  <c r="H3" i="5" s="1"/>
  <c r="E13" i="181"/>
  <c r="F13" i="181"/>
  <c r="G13" i="181"/>
  <c r="H13" i="181"/>
  <c r="I13" i="181"/>
  <c r="J13" i="181"/>
  <c r="K13" i="181"/>
  <c r="L13" i="181"/>
  <c r="M13" i="181"/>
  <c r="N13" i="181"/>
  <c r="O13" i="181"/>
  <c r="P13" i="181"/>
  <c r="Q13" i="181"/>
  <c r="R13" i="181"/>
  <c r="S13" i="181"/>
  <c r="T13" i="181"/>
  <c r="U13" i="181"/>
  <c r="W13" i="181"/>
  <c r="E14" i="181"/>
  <c r="F14" i="181"/>
  <c r="G14" i="181"/>
  <c r="H14" i="181"/>
  <c r="I14" i="181"/>
  <c r="J14" i="181"/>
  <c r="K14" i="181"/>
  <c r="L14" i="181"/>
  <c r="M14" i="181"/>
  <c r="N14" i="181"/>
  <c r="O14" i="181"/>
  <c r="P14" i="181"/>
  <c r="Q14" i="181"/>
  <c r="R14" i="181"/>
  <c r="S14" i="181"/>
  <c r="T14" i="181"/>
  <c r="U14" i="181"/>
  <c r="W14" i="181"/>
  <c r="E15" i="181"/>
  <c r="F15" i="181"/>
  <c r="G15" i="181"/>
  <c r="H15" i="181"/>
  <c r="I15" i="181"/>
  <c r="J15" i="181"/>
  <c r="K15" i="181"/>
  <c r="L15" i="181"/>
  <c r="M15" i="181"/>
  <c r="N15" i="181"/>
  <c r="O15" i="181"/>
  <c r="P15" i="181"/>
  <c r="Q15" i="181"/>
  <c r="R15" i="181"/>
  <c r="S15" i="181"/>
  <c r="T15" i="181"/>
  <c r="U15" i="181"/>
  <c r="W15" i="181"/>
  <c r="E16" i="181"/>
  <c r="F16" i="181"/>
  <c r="G16" i="181"/>
  <c r="H16" i="181"/>
  <c r="I16" i="181"/>
  <c r="J16" i="181"/>
  <c r="K16" i="181"/>
  <c r="L16" i="181"/>
  <c r="M16" i="181"/>
  <c r="N16" i="181"/>
  <c r="O16" i="181"/>
  <c r="P16" i="181"/>
  <c r="Q16" i="181"/>
  <c r="R16" i="181"/>
  <c r="S16" i="181"/>
  <c r="T16" i="181"/>
  <c r="U16" i="181"/>
  <c r="W16" i="181"/>
  <c r="E17" i="181"/>
  <c r="F17" i="181"/>
  <c r="G17" i="181"/>
  <c r="H17" i="181"/>
  <c r="I17" i="181"/>
  <c r="J17" i="181"/>
  <c r="K17" i="181"/>
  <c r="L17" i="181"/>
  <c r="M17" i="181"/>
  <c r="N17" i="181"/>
  <c r="O17" i="181"/>
  <c r="P17" i="181"/>
  <c r="Q17" i="181"/>
  <c r="R17" i="181"/>
  <c r="S17" i="181"/>
  <c r="T17" i="181"/>
  <c r="U17" i="181"/>
  <c r="W17" i="181"/>
  <c r="E18" i="181"/>
  <c r="F18" i="181"/>
  <c r="G18" i="181"/>
  <c r="H18" i="181"/>
  <c r="I18" i="181"/>
  <c r="J18" i="181"/>
  <c r="K18" i="181"/>
  <c r="L18" i="181"/>
  <c r="M18" i="181"/>
  <c r="N18" i="181"/>
  <c r="O18" i="181"/>
  <c r="P18" i="181"/>
  <c r="Q18" i="181"/>
  <c r="R18" i="181"/>
  <c r="S18" i="181"/>
  <c r="T18" i="181"/>
  <c r="U18" i="181"/>
  <c r="W18" i="181"/>
  <c r="E19" i="181"/>
  <c r="F19" i="181"/>
  <c r="G19" i="181"/>
  <c r="H19" i="181"/>
  <c r="I19" i="181"/>
  <c r="J19" i="181"/>
  <c r="K19" i="181"/>
  <c r="L19" i="181"/>
  <c r="M19" i="181"/>
  <c r="N19" i="181"/>
  <c r="O19" i="181"/>
  <c r="P19" i="181"/>
  <c r="Q19" i="181"/>
  <c r="R19" i="181"/>
  <c r="S19" i="181"/>
  <c r="T19" i="181"/>
  <c r="U19" i="181"/>
  <c r="W19" i="181"/>
  <c r="E20" i="181"/>
  <c r="F20" i="181"/>
  <c r="G20" i="181"/>
  <c r="H20" i="181"/>
  <c r="I20" i="181"/>
  <c r="J20" i="181"/>
  <c r="K20" i="181"/>
  <c r="L20" i="181"/>
  <c r="M20" i="181"/>
  <c r="N20" i="181"/>
  <c r="O20" i="181"/>
  <c r="P20" i="181"/>
  <c r="Q20" i="181"/>
  <c r="R20" i="181"/>
  <c r="S20" i="181"/>
  <c r="T20" i="181"/>
  <c r="U20" i="181"/>
  <c r="W20" i="181"/>
  <c r="E21" i="181"/>
  <c r="F21" i="181"/>
  <c r="G21" i="181"/>
  <c r="H21" i="181"/>
  <c r="I21" i="181"/>
  <c r="J21" i="181"/>
  <c r="K21" i="181"/>
  <c r="L21" i="181"/>
  <c r="M21" i="181"/>
  <c r="N21" i="181"/>
  <c r="O21" i="181"/>
  <c r="P21" i="181"/>
  <c r="Q21" i="181"/>
  <c r="R21" i="181"/>
  <c r="S21" i="181"/>
  <c r="T21" i="181"/>
  <c r="U21" i="181"/>
  <c r="W21" i="181"/>
  <c r="E22" i="181"/>
  <c r="F22" i="181"/>
  <c r="G22" i="181"/>
  <c r="H22" i="181"/>
  <c r="I22" i="181"/>
  <c r="J22" i="181"/>
  <c r="K22" i="181"/>
  <c r="L22" i="181"/>
  <c r="M22" i="181"/>
  <c r="N22" i="181"/>
  <c r="O22" i="181"/>
  <c r="P22" i="181"/>
  <c r="Q22" i="181"/>
  <c r="R22" i="181"/>
  <c r="S22" i="181"/>
  <c r="T22" i="181"/>
  <c r="U22" i="181"/>
  <c r="W22" i="181"/>
  <c r="E23" i="181"/>
  <c r="F23" i="181"/>
  <c r="G23" i="181"/>
  <c r="H23" i="181"/>
  <c r="I23" i="181"/>
  <c r="J23" i="181"/>
  <c r="K23" i="181"/>
  <c r="L23" i="181"/>
  <c r="M23" i="181"/>
  <c r="N23" i="181"/>
  <c r="O23" i="181"/>
  <c r="P23" i="181"/>
  <c r="Q23" i="181"/>
  <c r="R23" i="181"/>
  <c r="S23" i="181"/>
  <c r="T23" i="181"/>
  <c r="U23" i="181"/>
  <c r="W23" i="181"/>
  <c r="E24" i="181"/>
  <c r="F24" i="181"/>
  <c r="G24" i="181"/>
  <c r="H24" i="181"/>
  <c r="I24" i="181"/>
  <c r="J24" i="181"/>
  <c r="K24" i="181"/>
  <c r="L24" i="181"/>
  <c r="M24" i="181"/>
  <c r="N24" i="181"/>
  <c r="O24" i="181"/>
  <c r="P24" i="181"/>
  <c r="Q24" i="181"/>
  <c r="R24" i="181"/>
  <c r="S24" i="181"/>
  <c r="T24" i="181"/>
  <c r="U24" i="181"/>
  <c r="W24" i="181"/>
  <c r="E25" i="181"/>
  <c r="F25" i="181"/>
  <c r="G25" i="181"/>
  <c r="H25" i="181"/>
  <c r="I25" i="181"/>
  <c r="J25" i="181"/>
  <c r="K25" i="181"/>
  <c r="L25" i="181"/>
  <c r="M25" i="181"/>
  <c r="N25" i="181"/>
  <c r="O25" i="181"/>
  <c r="P25" i="181"/>
  <c r="Q25" i="181"/>
  <c r="R25" i="181"/>
  <c r="S25" i="181"/>
  <c r="T25" i="181"/>
  <c r="U25" i="181"/>
  <c r="W25" i="181"/>
  <c r="E26" i="181"/>
  <c r="F26" i="181"/>
  <c r="G26" i="181"/>
  <c r="H26" i="181"/>
  <c r="I26" i="181"/>
  <c r="J26" i="181"/>
  <c r="K26" i="181"/>
  <c r="L26" i="181"/>
  <c r="M26" i="181"/>
  <c r="N26" i="181"/>
  <c r="O26" i="181"/>
  <c r="P26" i="181"/>
  <c r="Q26" i="181"/>
  <c r="R26" i="181"/>
  <c r="S26" i="181"/>
  <c r="T26" i="181"/>
  <c r="U26" i="181"/>
  <c r="W26" i="181"/>
  <c r="E27" i="181"/>
  <c r="F27" i="181"/>
  <c r="G27" i="181"/>
  <c r="H27" i="181"/>
  <c r="I27" i="181"/>
  <c r="J27" i="181"/>
  <c r="K27" i="181"/>
  <c r="L27" i="181"/>
  <c r="M27" i="181"/>
  <c r="N27" i="181"/>
  <c r="O27" i="181"/>
  <c r="P27" i="181"/>
  <c r="Q27" i="181"/>
  <c r="R27" i="181"/>
  <c r="S27" i="181"/>
  <c r="T27" i="181"/>
  <c r="U27" i="181"/>
  <c r="W27" i="181"/>
  <c r="E28" i="181"/>
  <c r="F28" i="181"/>
  <c r="G28" i="181"/>
  <c r="H28" i="181"/>
  <c r="I28" i="181"/>
  <c r="J28" i="181"/>
  <c r="K28" i="181"/>
  <c r="L28" i="181"/>
  <c r="M28" i="181"/>
  <c r="N28" i="181"/>
  <c r="O28" i="181"/>
  <c r="P28" i="181"/>
  <c r="Q28" i="181"/>
  <c r="R28" i="181"/>
  <c r="S28" i="181"/>
  <c r="T28" i="181"/>
  <c r="U28" i="181"/>
  <c r="W28" i="181"/>
  <c r="E29" i="181"/>
  <c r="F29" i="181"/>
  <c r="G29" i="181"/>
  <c r="H29" i="181"/>
  <c r="I29" i="181"/>
  <c r="J29" i="181"/>
  <c r="K29" i="181"/>
  <c r="L29" i="181"/>
  <c r="M29" i="181"/>
  <c r="N29" i="181"/>
  <c r="O29" i="181"/>
  <c r="P29" i="181"/>
  <c r="Q29" i="181"/>
  <c r="R29" i="181"/>
  <c r="S29" i="181"/>
  <c r="T29" i="181"/>
  <c r="U29" i="181"/>
  <c r="W29" i="181"/>
  <c r="E30" i="181"/>
  <c r="F30" i="181"/>
  <c r="G30" i="181"/>
  <c r="H30" i="181"/>
  <c r="I30" i="181"/>
  <c r="J30" i="181"/>
  <c r="K30" i="181"/>
  <c r="L30" i="181"/>
  <c r="M30" i="181"/>
  <c r="N30" i="181"/>
  <c r="O30" i="181"/>
  <c r="P30" i="181"/>
  <c r="Q30" i="181"/>
  <c r="R30" i="181"/>
  <c r="S30" i="181"/>
  <c r="T30" i="181"/>
  <c r="U30" i="181"/>
  <c r="W30" i="181"/>
  <c r="E31" i="181"/>
  <c r="F31" i="181"/>
  <c r="G31" i="181"/>
  <c r="H31" i="181"/>
  <c r="I31" i="181"/>
  <c r="J31" i="181"/>
  <c r="K31" i="181"/>
  <c r="L31" i="181"/>
  <c r="M31" i="181"/>
  <c r="N31" i="181"/>
  <c r="O31" i="181"/>
  <c r="P31" i="181"/>
  <c r="Q31" i="181"/>
  <c r="R31" i="181"/>
  <c r="S31" i="181"/>
  <c r="T31" i="181"/>
  <c r="U31" i="181"/>
  <c r="W31" i="181"/>
  <c r="E32" i="181"/>
  <c r="F32" i="181"/>
  <c r="G32" i="181"/>
  <c r="H32" i="181"/>
  <c r="I32" i="181"/>
  <c r="J32" i="181"/>
  <c r="K32" i="181"/>
  <c r="L32" i="181"/>
  <c r="M32" i="181"/>
  <c r="N32" i="181"/>
  <c r="O32" i="181"/>
  <c r="P32" i="181"/>
  <c r="Q32" i="181"/>
  <c r="R32" i="181"/>
  <c r="S32" i="181"/>
  <c r="T32" i="181"/>
  <c r="U32" i="181"/>
  <c r="W32" i="181"/>
  <c r="E33" i="181"/>
  <c r="F33" i="181"/>
  <c r="G33" i="181"/>
  <c r="H33" i="181"/>
  <c r="I33" i="181"/>
  <c r="J33" i="181"/>
  <c r="K33" i="181"/>
  <c r="L33" i="181"/>
  <c r="M33" i="181"/>
  <c r="N33" i="181"/>
  <c r="O33" i="181"/>
  <c r="P33" i="181"/>
  <c r="Q33" i="181"/>
  <c r="R33" i="181"/>
  <c r="S33" i="181"/>
  <c r="T33" i="181"/>
  <c r="U33" i="181"/>
  <c r="W33" i="181"/>
  <c r="E34" i="181"/>
  <c r="F34" i="181"/>
  <c r="G34" i="181"/>
  <c r="H34" i="181"/>
  <c r="I34" i="181"/>
  <c r="J34" i="181"/>
  <c r="K34" i="181"/>
  <c r="L34" i="181"/>
  <c r="M34" i="181"/>
  <c r="N34" i="181"/>
  <c r="O34" i="181"/>
  <c r="P34" i="181"/>
  <c r="Q34" i="181"/>
  <c r="R34" i="181"/>
  <c r="S34" i="181"/>
  <c r="T34" i="181"/>
  <c r="U34" i="181"/>
  <c r="W34" i="181"/>
  <c r="E35" i="181"/>
  <c r="F35" i="181"/>
  <c r="G35" i="181"/>
  <c r="H35" i="181"/>
  <c r="I35" i="181"/>
  <c r="J35" i="181"/>
  <c r="K35" i="181"/>
  <c r="L35" i="181"/>
  <c r="M35" i="181"/>
  <c r="N35" i="181"/>
  <c r="O35" i="181"/>
  <c r="P35" i="181"/>
  <c r="Q35" i="181"/>
  <c r="R35" i="181"/>
  <c r="S35" i="181"/>
  <c r="T35" i="181"/>
  <c r="U35" i="181"/>
  <c r="W35" i="181"/>
  <c r="E36" i="181"/>
  <c r="F36" i="181"/>
  <c r="G36" i="181"/>
  <c r="H36" i="181"/>
  <c r="I36" i="181"/>
  <c r="J36" i="181"/>
  <c r="K36" i="181"/>
  <c r="L36" i="181"/>
  <c r="M36" i="181"/>
  <c r="N36" i="181"/>
  <c r="O36" i="181"/>
  <c r="P36" i="181"/>
  <c r="Q36" i="181"/>
  <c r="R36" i="181"/>
  <c r="S36" i="181"/>
  <c r="T36" i="181"/>
  <c r="U36" i="181"/>
  <c r="W36" i="181"/>
  <c r="E37" i="181"/>
  <c r="F37" i="181"/>
  <c r="G37" i="181"/>
  <c r="H37" i="181"/>
  <c r="I37" i="181"/>
  <c r="J37" i="181"/>
  <c r="K37" i="181"/>
  <c r="L37" i="181"/>
  <c r="M37" i="181"/>
  <c r="N37" i="181"/>
  <c r="O37" i="181"/>
  <c r="P37" i="181"/>
  <c r="Q37" i="181"/>
  <c r="R37" i="181"/>
  <c r="S37" i="181"/>
  <c r="T37" i="181"/>
  <c r="U37" i="181"/>
  <c r="W37" i="181"/>
  <c r="E38" i="181"/>
  <c r="F38" i="181"/>
  <c r="G38" i="181"/>
  <c r="H38" i="181"/>
  <c r="I38" i="181"/>
  <c r="J38" i="181"/>
  <c r="K38" i="181"/>
  <c r="L38" i="181"/>
  <c r="M38" i="181"/>
  <c r="N38" i="181"/>
  <c r="O38" i="181"/>
  <c r="P38" i="181"/>
  <c r="Q38" i="181"/>
  <c r="R38" i="181"/>
  <c r="S38" i="181"/>
  <c r="T38" i="181"/>
  <c r="U38" i="181"/>
  <c r="W38" i="181"/>
  <c r="E39" i="181"/>
  <c r="F39" i="181"/>
  <c r="G39" i="181"/>
  <c r="H39" i="181"/>
  <c r="I39" i="181"/>
  <c r="J39" i="181"/>
  <c r="K39" i="181"/>
  <c r="L39" i="181"/>
  <c r="M39" i="181"/>
  <c r="N39" i="181"/>
  <c r="O39" i="181"/>
  <c r="P39" i="181"/>
  <c r="Q39" i="181"/>
  <c r="R39" i="181"/>
  <c r="S39" i="181"/>
  <c r="T39" i="181"/>
  <c r="U39" i="181"/>
  <c r="W39" i="181"/>
  <c r="E40" i="181"/>
  <c r="F40" i="181"/>
  <c r="G40" i="181"/>
  <c r="H40" i="181"/>
  <c r="I40" i="181"/>
  <c r="J40" i="181"/>
  <c r="K40" i="181"/>
  <c r="L40" i="181"/>
  <c r="M40" i="181"/>
  <c r="N40" i="181"/>
  <c r="O40" i="181"/>
  <c r="P40" i="181"/>
  <c r="Q40" i="181"/>
  <c r="R40" i="181"/>
  <c r="S40" i="181"/>
  <c r="T40" i="181"/>
  <c r="U40" i="181"/>
  <c r="W40" i="181"/>
  <c r="E41" i="181"/>
  <c r="F41" i="181"/>
  <c r="G41" i="181"/>
  <c r="H41" i="181"/>
  <c r="I41" i="181"/>
  <c r="J41" i="181"/>
  <c r="K41" i="181"/>
  <c r="L41" i="181"/>
  <c r="M41" i="181"/>
  <c r="N41" i="181"/>
  <c r="O41" i="181"/>
  <c r="P41" i="181"/>
  <c r="Q41" i="181"/>
  <c r="R41" i="181"/>
  <c r="S41" i="181"/>
  <c r="T41" i="181"/>
  <c r="U41" i="181"/>
  <c r="W41" i="181"/>
  <c r="E42" i="181"/>
  <c r="F42" i="181"/>
  <c r="G42" i="181"/>
  <c r="H42" i="181"/>
  <c r="I42" i="181"/>
  <c r="J42" i="181"/>
  <c r="K42" i="181"/>
  <c r="L42" i="181"/>
  <c r="M42" i="181"/>
  <c r="N42" i="181"/>
  <c r="O42" i="181"/>
  <c r="P42" i="181"/>
  <c r="Q42" i="181"/>
  <c r="R42" i="181"/>
  <c r="S42" i="181"/>
  <c r="T42" i="181"/>
  <c r="U42" i="181"/>
  <c r="W42" i="181"/>
  <c r="E43" i="181"/>
  <c r="F43" i="181"/>
  <c r="G43" i="181"/>
  <c r="H43" i="181"/>
  <c r="I43" i="181"/>
  <c r="J43" i="181"/>
  <c r="K43" i="181"/>
  <c r="L43" i="181"/>
  <c r="M43" i="181"/>
  <c r="N43" i="181"/>
  <c r="O43" i="181"/>
  <c r="P43" i="181"/>
  <c r="Q43" i="181"/>
  <c r="R43" i="181"/>
  <c r="S43" i="181"/>
  <c r="T43" i="181"/>
  <c r="U43" i="181"/>
  <c r="W43" i="181"/>
  <c r="E44" i="181"/>
  <c r="F44" i="181"/>
  <c r="G44" i="181"/>
  <c r="H44" i="181"/>
  <c r="I44" i="181"/>
  <c r="J44" i="181"/>
  <c r="K44" i="181"/>
  <c r="L44" i="181"/>
  <c r="M44" i="181"/>
  <c r="N44" i="181"/>
  <c r="O44" i="181"/>
  <c r="P44" i="181"/>
  <c r="Q44" i="181"/>
  <c r="R44" i="181"/>
  <c r="S44" i="181"/>
  <c r="T44" i="181"/>
  <c r="U44" i="181"/>
  <c r="W44" i="181"/>
  <c r="E45" i="181"/>
  <c r="F45" i="181"/>
  <c r="G45" i="181"/>
  <c r="H45" i="181"/>
  <c r="I45" i="181"/>
  <c r="J45" i="181"/>
  <c r="K45" i="181"/>
  <c r="L45" i="181"/>
  <c r="M45" i="181"/>
  <c r="N45" i="181"/>
  <c r="O45" i="181"/>
  <c r="P45" i="181"/>
  <c r="Q45" i="181"/>
  <c r="R45" i="181"/>
  <c r="S45" i="181"/>
  <c r="T45" i="181"/>
  <c r="U45" i="181"/>
  <c r="W45" i="181"/>
  <c r="E46" i="181"/>
  <c r="F46" i="181"/>
  <c r="G46" i="181"/>
  <c r="H46" i="181"/>
  <c r="I46" i="181"/>
  <c r="J46" i="181"/>
  <c r="K46" i="181"/>
  <c r="L46" i="181"/>
  <c r="M46" i="181"/>
  <c r="N46" i="181"/>
  <c r="O46" i="181"/>
  <c r="P46" i="181"/>
  <c r="Q46" i="181"/>
  <c r="R46" i="181"/>
  <c r="S46" i="181"/>
  <c r="T46" i="181"/>
  <c r="U46" i="181"/>
  <c r="W46" i="181"/>
  <c r="E47" i="181"/>
  <c r="F47" i="181"/>
  <c r="G47" i="181"/>
  <c r="H47" i="181"/>
  <c r="I47" i="181"/>
  <c r="J47" i="181"/>
  <c r="K47" i="181"/>
  <c r="L47" i="181"/>
  <c r="M47" i="181"/>
  <c r="N47" i="181"/>
  <c r="O47" i="181"/>
  <c r="P47" i="181"/>
  <c r="Q47" i="181"/>
  <c r="R47" i="181"/>
  <c r="S47" i="181"/>
  <c r="T47" i="181"/>
  <c r="U47" i="181"/>
  <c r="W47" i="181"/>
  <c r="E48" i="181"/>
  <c r="F48" i="181"/>
  <c r="G48" i="181"/>
  <c r="H48" i="181"/>
  <c r="I48" i="181"/>
  <c r="J48" i="181"/>
  <c r="K48" i="181"/>
  <c r="L48" i="181"/>
  <c r="M48" i="181"/>
  <c r="N48" i="181"/>
  <c r="O48" i="181"/>
  <c r="P48" i="181"/>
  <c r="Q48" i="181"/>
  <c r="R48" i="181"/>
  <c r="S48" i="181"/>
  <c r="T48" i="181"/>
  <c r="U48" i="181"/>
  <c r="W48" i="181"/>
  <c r="E49" i="181"/>
  <c r="F49" i="181"/>
  <c r="G49" i="181"/>
  <c r="H49" i="181"/>
  <c r="I49" i="181"/>
  <c r="J49" i="181"/>
  <c r="K49" i="181"/>
  <c r="L49" i="181"/>
  <c r="M49" i="181"/>
  <c r="N49" i="181"/>
  <c r="O49" i="181"/>
  <c r="P49" i="181"/>
  <c r="Q49" i="181"/>
  <c r="R49" i="181"/>
  <c r="S49" i="181"/>
  <c r="T49" i="181"/>
  <c r="U49" i="181"/>
  <c r="W49" i="181"/>
  <c r="E50" i="181"/>
  <c r="F50" i="181"/>
  <c r="G50" i="181"/>
  <c r="H50" i="181"/>
  <c r="I50" i="181"/>
  <c r="J50" i="181"/>
  <c r="K50" i="181"/>
  <c r="L50" i="181"/>
  <c r="M50" i="181"/>
  <c r="N50" i="181"/>
  <c r="O50" i="181"/>
  <c r="P50" i="181"/>
  <c r="Q50" i="181"/>
  <c r="R50" i="181"/>
  <c r="S50" i="181"/>
  <c r="T50" i="181"/>
  <c r="U50" i="181"/>
  <c r="W50" i="181"/>
  <c r="E51" i="181"/>
  <c r="F51" i="181"/>
  <c r="G51" i="181"/>
  <c r="H51" i="181"/>
  <c r="I51" i="181"/>
  <c r="J51" i="181"/>
  <c r="K51" i="181"/>
  <c r="L51" i="181"/>
  <c r="M51" i="181"/>
  <c r="N51" i="181"/>
  <c r="O51" i="181"/>
  <c r="P51" i="181"/>
  <c r="Q51" i="181"/>
  <c r="R51" i="181"/>
  <c r="S51" i="181"/>
  <c r="T51" i="181"/>
  <c r="U51" i="181"/>
  <c r="W51" i="181"/>
  <c r="E52" i="181"/>
  <c r="F52" i="181"/>
  <c r="G52" i="181"/>
  <c r="H52" i="181"/>
  <c r="I52" i="181"/>
  <c r="J52" i="181"/>
  <c r="K52" i="181"/>
  <c r="L52" i="181"/>
  <c r="M52" i="181"/>
  <c r="N52" i="181"/>
  <c r="O52" i="181"/>
  <c r="P52" i="181"/>
  <c r="Q52" i="181"/>
  <c r="R52" i="181"/>
  <c r="S52" i="181"/>
  <c r="T52" i="181"/>
  <c r="U52" i="181"/>
  <c r="W52" i="181"/>
  <c r="E53" i="181"/>
  <c r="F53" i="181"/>
  <c r="G53" i="181"/>
  <c r="H53" i="181"/>
  <c r="I53" i="181"/>
  <c r="J53" i="181"/>
  <c r="K53" i="181"/>
  <c r="L53" i="181"/>
  <c r="M53" i="181"/>
  <c r="N53" i="181"/>
  <c r="O53" i="181"/>
  <c r="P53" i="181"/>
  <c r="Q53" i="181"/>
  <c r="R53" i="181"/>
  <c r="S53" i="181"/>
  <c r="T53" i="181"/>
  <c r="U53" i="181"/>
  <c r="W53" i="181"/>
  <c r="E54" i="181"/>
  <c r="F54" i="181"/>
  <c r="G54" i="181"/>
  <c r="H54" i="181"/>
  <c r="I54" i="181"/>
  <c r="J54" i="181"/>
  <c r="K54" i="181"/>
  <c r="L54" i="181"/>
  <c r="M54" i="181"/>
  <c r="N54" i="181"/>
  <c r="O54" i="181"/>
  <c r="P54" i="181"/>
  <c r="Q54" i="181"/>
  <c r="R54" i="181"/>
  <c r="S54" i="181"/>
  <c r="T54" i="181"/>
  <c r="U54" i="181"/>
  <c r="W54" i="181"/>
  <c r="E55" i="181"/>
  <c r="F55" i="181"/>
  <c r="G55" i="181"/>
  <c r="H55" i="181"/>
  <c r="I55" i="181"/>
  <c r="J55" i="181"/>
  <c r="K55" i="181"/>
  <c r="L55" i="181"/>
  <c r="M55" i="181"/>
  <c r="N55" i="181"/>
  <c r="O55" i="181"/>
  <c r="P55" i="181"/>
  <c r="Q55" i="181"/>
  <c r="R55" i="181"/>
  <c r="S55" i="181"/>
  <c r="T55" i="181"/>
  <c r="U55" i="181"/>
  <c r="W55" i="181"/>
  <c r="E56" i="181"/>
  <c r="F56" i="181"/>
  <c r="G56" i="181"/>
  <c r="H56" i="181"/>
  <c r="I56" i="181"/>
  <c r="J56" i="181"/>
  <c r="K56" i="181"/>
  <c r="L56" i="181"/>
  <c r="M56" i="181"/>
  <c r="N56" i="181"/>
  <c r="O56" i="181"/>
  <c r="P56" i="181"/>
  <c r="Q56" i="181"/>
  <c r="R56" i="181"/>
  <c r="S56" i="181"/>
  <c r="T56" i="181"/>
  <c r="U56" i="181"/>
  <c r="W56" i="181"/>
  <c r="E57" i="181"/>
  <c r="F57" i="181"/>
  <c r="G57" i="181"/>
  <c r="H57" i="181"/>
  <c r="I57" i="181"/>
  <c r="J57" i="181"/>
  <c r="K57" i="181"/>
  <c r="L57" i="181"/>
  <c r="M57" i="181"/>
  <c r="N57" i="181"/>
  <c r="O57" i="181"/>
  <c r="P57" i="181"/>
  <c r="Q57" i="181"/>
  <c r="R57" i="181"/>
  <c r="S57" i="181"/>
  <c r="T57" i="181"/>
  <c r="U57" i="181"/>
  <c r="W57" i="181"/>
  <c r="E58" i="181"/>
  <c r="F58" i="181"/>
  <c r="G58" i="181"/>
  <c r="H58" i="181"/>
  <c r="I58" i="181"/>
  <c r="J58" i="181"/>
  <c r="K58" i="181"/>
  <c r="L58" i="181"/>
  <c r="M58" i="181"/>
  <c r="N58" i="181"/>
  <c r="O58" i="181"/>
  <c r="P58" i="181"/>
  <c r="Q58" i="181"/>
  <c r="R58" i="181"/>
  <c r="S58" i="181"/>
  <c r="T58" i="181"/>
  <c r="U58" i="181"/>
  <c r="W58" i="181"/>
  <c r="E59" i="181"/>
  <c r="F59" i="181"/>
  <c r="G59" i="181"/>
  <c r="H59" i="181"/>
  <c r="I59" i="181"/>
  <c r="J59" i="181"/>
  <c r="K59" i="181"/>
  <c r="L59" i="181"/>
  <c r="M59" i="181"/>
  <c r="N59" i="181"/>
  <c r="O59" i="181"/>
  <c r="P59" i="181"/>
  <c r="Q59" i="181"/>
  <c r="R59" i="181"/>
  <c r="S59" i="181"/>
  <c r="T59" i="181"/>
  <c r="U59" i="181"/>
  <c r="W59" i="181"/>
  <c r="E60" i="181"/>
  <c r="F60" i="181"/>
  <c r="G60" i="181"/>
  <c r="H60" i="181"/>
  <c r="I60" i="181"/>
  <c r="J60" i="181"/>
  <c r="K60" i="181"/>
  <c r="L60" i="181"/>
  <c r="M60" i="181"/>
  <c r="N60" i="181"/>
  <c r="O60" i="181"/>
  <c r="P60" i="181"/>
  <c r="Q60" i="181"/>
  <c r="R60" i="181"/>
  <c r="S60" i="181"/>
  <c r="T60" i="181"/>
  <c r="U60" i="181"/>
  <c r="W60" i="181"/>
  <c r="E61" i="181"/>
  <c r="F61" i="181"/>
  <c r="G61" i="181"/>
  <c r="H61" i="181"/>
  <c r="I61" i="181"/>
  <c r="J61" i="181"/>
  <c r="K61" i="181"/>
  <c r="L61" i="181"/>
  <c r="M61" i="181"/>
  <c r="N61" i="181"/>
  <c r="O61" i="181"/>
  <c r="P61" i="181"/>
  <c r="Q61" i="181"/>
  <c r="R61" i="181"/>
  <c r="S61" i="181"/>
  <c r="T61" i="181"/>
  <c r="U61" i="181"/>
  <c r="W61" i="181"/>
  <c r="E62" i="181"/>
  <c r="F62" i="181"/>
  <c r="G62" i="181"/>
  <c r="H62" i="181"/>
  <c r="I62" i="181"/>
  <c r="J62" i="181"/>
  <c r="K62" i="181"/>
  <c r="L62" i="181"/>
  <c r="M62" i="181"/>
  <c r="N62" i="181"/>
  <c r="O62" i="181"/>
  <c r="P62" i="181"/>
  <c r="Q62" i="181"/>
  <c r="R62" i="181"/>
  <c r="S62" i="181"/>
  <c r="T62" i="181"/>
  <c r="U62" i="181"/>
  <c r="W62" i="181"/>
  <c r="E63" i="181"/>
  <c r="F63" i="181"/>
  <c r="G63" i="181"/>
  <c r="H63" i="181"/>
  <c r="I63" i="181"/>
  <c r="J63" i="181"/>
  <c r="K63" i="181"/>
  <c r="L63" i="181"/>
  <c r="M63" i="181"/>
  <c r="N63" i="181"/>
  <c r="O63" i="181"/>
  <c r="P63" i="181"/>
  <c r="Q63" i="181"/>
  <c r="R63" i="181"/>
  <c r="S63" i="181"/>
  <c r="T63" i="181"/>
  <c r="U63" i="181"/>
  <c r="W63" i="181"/>
  <c r="E64" i="181"/>
  <c r="F64" i="181"/>
  <c r="G64" i="181"/>
  <c r="H64" i="181"/>
  <c r="I64" i="181"/>
  <c r="J64" i="181"/>
  <c r="K64" i="181"/>
  <c r="L64" i="181"/>
  <c r="M64" i="181"/>
  <c r="N64" i="181"/>
  <c r="O64" i="181"/>
  <c r="P64" i="181"/>
  <c r="Q64" i="181"/>
  <c r="R64" i="181"/>
  <c r="S64" i="181"/>
  <c r="T64" i="181"/>
  <c r="U64" i="181"/>
  <c r="W64" i="181"/>
  <c r="E65" i="181"/>
  <c r="F65" i="181"/>
  <c r="G65" i="181"/>
  <c r="H65" i="181"/>
  <c r="I65" i="181"/>
  <c r="J65" i="181"/>
  <c r="K65" i="181"/>
  <c r="L65" i="181"/>
  <c r="M65" i="181"/>
  <c r="N65" i="181"/>
  <c r="O65" i="181"/>
  <c r="P65" i="181"/>
  <c r="Q65" i="181"/>
  <c r="R65" i="181"/>
  <c r="S65" i="181"/>
  <c r="T65" i="181"/>
  <c r="U65" i="181"/>
  <c r="W65" i="181"/>
  <c r="E66" i="181"/>
  <c r="F66" i="181"/>
  <c r="G66" i="181"/>
  <c r="H66" i="181"/>
  <c r="I66" i="181"/>
  <c r="J66" i="181"/>
  <c r="K66" i="181"/>
  <c r="L66" i="181"/>
  <c r="M66" i="181"/>
  <c r="N66" i="181"/>
  <c r="O66" i="181"/>
  <c r="P66" i="181"/>
  <c r="Q66" i="181"/>
  <c r="R66" i="181"/>
  <c r="S66" i="181"/>
  <c r="T66" i="181"/>
  <c r="U66" i="181"/>
  <c r="W66" i="181"/>
  <c r="E67" i="181"/>
  <c r="F67" i="181"/>
  <c r="G67" i="181"/>
  <c r="H67" i="181"/>
  <c r="I67" i="181"/>
  <c r="J67" i="181"/>
  <c r="K67" i="181"/>
  <c r="L67" i="181"/>
  <c r="M67" i="181"/>
  <c r="N67" i="181"/>
  <c r="O67" i="181"/>
  <c r="P67" i="181"/>
  <c r="Q67" i="181"/>
  <c r="R67" i="181"/>
  <c r="S67" i="181"/>
  <c r="T67" i="181"/>
  <c r="U67" i="181"/>
  <c r="W67" i="181"/>
  <c r="E68" i="181"/>
  <c r="F68" i="181"/>
  <c r="G68" i="181"/>
  <c r="H68" i="181"/>
  <c r="I68" i="181"/>
  <c r="J68" i="181"/>
  <c r="K68" i="181"/>
  <c r="L68" i="181"/>
  <c r="M68" i="181"/>
  <c r="N68" i="181"/>
  <c r="O68" i="181"/>
  <c r="P68" i="181"/>
  <c r="Q68" i="181"/>
  <c r="R68" i="181"/>
  <c r="S68" i="181"/>
  <c r="T68" i="181"/>
  <c r="U68" i="181"/>
  <c r="W68" i="181"/>
  <c r="E69" i="181"/>
  <c r="F69" i="181"/>
  <c r="G69" i="181"/>
  <c r="H69" i="181"/>
  <c r="I69" i="181"/>
  <c r="J69" i="181"/>
  <c r="K69" i="181"/>
  <c r="L69" i="181"/>
  <c r="M69" i="181"/>
  <c r="N69" i="181"/>
  <c r="O69" i="181"/>
  <c r="P69" i="181"/>
  <c r="Q69" i="181"/>
  <c r="R69" i="181"/>
  <c r="S69" i="181"/>
  <c r="T69" i="181"/>
  <c r="U69" i="181"/>
  <c r="W69" i="181"/>
  <c r="E70" i="181"/>
  <c r="F70" i="181"/>
  <c r="G70" i="181"/>
  <c r="H70" i="181"/>
  <c r="I70" i="181"/>
  <c r="J70" i="181"/>
  <c r="K70" i="181"/>
  <c r="L70" i="181"/>
  <c r="M70" i="181"/>
  <c r="N70" i="181"/>
  <c r="O70" i="181"/>
  <c r="P70" i="181"/>
  <c r="Q70" i="181"/>
  <c r="R70" i="181"/>
  <c r="S70" i="181"/>
  <c r="T70" i="181"/>
  <c r="U70" i="181"/>
  <c r="W70" i="181"/>
  <c r="E71" i="181"/>
  <c r="F71" i="181"/>
  <c r="G71" i="181"/>
  <c r="H71" i="181"/>
  <c r="I71" i="181"/>
  <c r="J71" i="181"/>
  <c r="K71" i="181"/>
  <c r="L71" i="181"/>
  <c r="M71" i="181"/>
  <c r="N71" i="181"/>
  <c r="O71" i="181"/>
  <c r="P71" i="181"/>
  <c r="Q71" i="181"/>
  <c r="R71" i="181"/>
  <c r="S71" i="181"/>
  <c r="T71" i="181"/>
  <c r="U71" i="181"/>
  <c r="W71" i="181"/>
  <c r="E72" i="181"/>
  <c r="F72" i="181"/>
  <c r="G72" i="181"/>
  <c r="H72" i="181"/>
  <c r="I72" i="181"/>
  <c r="J72" i="181"/>
  <c r="K72" i="181"/>
  <c r="L72" i="181"/>
  <c r="M72" i="181"/>
  <c r="N72" i="181"/>
  <c r="O72" i="181"/>
  <c r="P72" i="181"/>
  <c r="Q72" i="181"/>
  <c r="R72" i="181"/>
  <c r="S72" i="181"/>
  <c r="T72" i="181"/>
  <c r="U72" i="181"/>
  <c r="W72" i="181"/>
  <c r="E73" i="181"/>
  <c r="F73" i="181"/>
  <c r="G73" i="181"/>
  <c r="H73" i="181"/>
  <c r="I73" i="181"/>
  <c r="J73" i="181"/>
  <c r="K73" i="181"/>
  <c r="L73" i="181"/>
  <c r="M73" i="181"/>
  <c r="N73" i="181"/>
  <c r="O73" i="181"/>
  <c r="P73" i="181"/>
  <c r="Q73" i="181"/>
  <c r="R73" i="181"/>
  <c r="S73" i="181"/>
  <c r="T73" i="181"/>
  <c r="U73" i="181"/>
  <c r="W73" i="181"/>
  <c r="E74" i="181"/>
  <c r="F74" i="181"/>
  <c r="G74" i="181"/>
  <c r="H74" i="181"/>
  <c r="I74" i="181"/>
  <c r="J74" i="181"/>
  <c r="K74" i="181"/>
  <c r="L74" i="181"/>
  <c r="M74" i="181"/>
  <c r="N74" i="181"/>
  <c r="O74" i="181"/>
  <c r="P74" i="181"/>
  <c r="Q74" i="181"/>
  <c r="R74" i="181"/>
  <c r="S74" i="181"/>
  <c r="T74" i="181"/>
  <c r="U74" i="181"/>
  <c r="W74" i="181"/>
  <c r="E75" i="181"/>
  <c r="F75" i="181"/>
  <c r="G75" i="181"/>
  <c r="H75" i="181"/>
  <c r="I75" i="181"/>
  <c r="J75" i="181"/>
  <c r="K75" i="181"/>
  <c r="L75" i="181"/>
  <c r="M75" i="181"/>
  <c r="N75" i="181"/>
  <c r="O75" i="181"/>
  <c r="P75" i="181"/>
  <c r="Q75" i="181"/>
  <c r="R75" i="181"/>
  <c r="S75" i="181"/>
  <c r="T75" i="181"/>
  <c r="U75" i="181"/>
  <c r="W75" i="181"/>
  <c r="E76" i="181"/>
  <c r="F76" i="181"/>
  <c r="G76" i="181"/>
  <c r="H76" i="181"/>
  <c r="I76" i="181"/>
  <c r="J76" i="181"/>
  <c r="K76" i="181"/>
  <c r="L76" i="181"/>
  <c r="M76" i="181"/>
  <c r="N76" i="181"/>
  <c r="O76" i="181"/>
  <c r="P76" i="181"/>
  <c r="Q76" i="181"/>
  <c r="R76" i="181"/>
  <c r="S76" i="181"/>
  <c r="T76" i="181"/>
  <c r="U76" i="181"/>
  <c r="W76" i="181"/>
  <c r="E77" i="181"/>
  <c r="F77" i="181"/>
  <c r="G77" i="181"/>
  <c r="H77" i="181"/>
  <c r="I77" i="181"/>
  <c r="J77" i="181"/>
  <c r="K77" i="181"/>
  <c r="L77" i="181"/>
  <c r="M77" i="181"/>
  <c r="N77" i="181"/>
  <c r="O77" i="181"/>
  <c r="P77" i="181"/>
  <c r="Q77" i="181"/>
  <c r="R77" i="181"/>
  <c r="S77" i="181"/>
  <c r="T77" i="181"/>
  <c r="U77" i="181"/>
  <c r="W77" i="181"/>
  <c r="E78" i="181"/>
  <c r="F78" i="181"/>
  <c r="G78" i="181"/>
  <c r="H78" i="181"/>
  <c r="I78" i="181"/>
  <c r="J78" i="181"/>
  <c r="K78" i="181"/>
  <c r="L78" i="181"/>
  <c r="M78" i="181"/>
  <c r="N78" i="181"/>
  <c r="O78" i="181"/>
  <c r="P78" i="181"/>
  <c r="Q78" i="181"/>
  <c r="R78" i="181"/>
  <c r="S78" i="181"/>
  <c r="T78" i="181"/>
  <c r="U78" i="181"/>
  <c r="W78" i="181"/>
  <c r="E79" i="181"/>
  <c r="F79" i="181"/>
  <c r="G79" i="181"/>
  <c r="H79" i="181"/>
  <c r="I79" i="181"/>
  <c r="J79" i="181"/>
  <c r="K79" i="181"/>
  <c r="L79" i="181"/>
  <c r="M79" i="181"/>
  <c r="N79" i="181"/>
  <c r="O79" i="181"/>
  <c r="P79" i="181"/>
  <c r="Q79" i="181"/>
  <c r="R79" i="181"/>
  <c r="S79" i="181"/>
  <c r="T79" i="181"/>
  <c r="U79" i="181"/>
  <c r="W79" i="181"/>
  <c r="E80" i="181"/>
  <c r="F80" i="181"/>
  <c r="G80" i="181"/>
  <c r="H80" i="181"/>
  <c r="I80" i="181"/>
  <c r="J80" i="181"/>
  <c r="K80" i="181"/>
  <c r="L80" i="181"/>
  <c r="M80" i="181"/>
  <c r="N80" i="181"/>
  <c r="O80" i="181"/>
  <c r="P80" i="181"/>
  <c r="Q80" i="181"/>
  <c r="R80" i="181"/>
  <c r="S80" i="181"/>
  <c r="T80" i="181"/>
  <c r="U80" i="181"/>
  <c r="W80" i="181"/>
  <c r="E81" i="181"/>
  <c r="F81" i="181"/>
  <c r="G81" i="181"/>
  <c r="H81" i="181"/>
  <c r="I81" i="181"/>
  <c r="J81" i="181"/>
  <c r="K81" i="181"/>
  <c r="L81" i="181"/>
  <c r="M81" i="181"/>
  <c r="N81" i="181"/>
  <c r="O81" i="181"/>
  <c r="P81" i="181"/>
  <c r="Q81" i="181"/>
  <c r="R81" i="181"/>
  <c r="S81" i="181"/>
  <c r="T81" i="181"/>
  <c r="U81" i="181"/>
  <c r="W81" i="181"/>
  <c r="E82" i="181"/>
  <c r="F82" i="181"/>
  <c r="G82" i="181"/>
  <c r="H82" i="181"/>
  <c r="I82" i="181"/>
  <c r="J82" i="181"/>
  <c r="K82" i="181"/>
  <c r="L82" i="181"/>
  <c r="M82" i="181"/>
  <c r="N82" i="181"/>
  <c r="O82" i="181"/>
  <c r="P82" i="181"/>
  <c r="Q82" i="181"/>
  <c r="R82" i="181"/>
  <c r="S82" i="181"/>
  <c r="T82" i="181"/>
  <c r="U82" i="181"/>
  <c r="W82" i="181"/>
  <c r="E83" i="181"/>
  <c r="F83" i="181"/>
  <c r="G83" i="181"/>
  <c r="H83" i="181"/>
  <c r="I83" i="181"/>
  <c r="J83" i="181"/>
  <c r="K83" i="181"/>
  <c r="L83" i="181"/>
  <c r="M83" i="181"/>
  <c r="N83" i="181"/>
  <c r="O83" i="181"/>
  <c r="P83" i="181"/>
  <c r="Q83" i="181"/>
  <c r="R83" i="181"/>
  <c r="S83" i="181"/>
  <c r="T83" i="181"/>
  <c r="U83" i="181"/>
  <c r="W83" i="181"/>
  <c r="E84" i="181"/>
  <c r="F84" i="181"/>
  <c r="G84" i="181"/>
  <c r="H84" i="181"/>
  <c r="I84" i="181"/>
  <c r="J84" i="181"/>
  <c r="K84" i="181"/>
  <c r="L84" i="181"/>
  <c r="M84" i="181"/>
  <c r="N84" i="181"/>
  <c r="O84" i="181"/>
  <c r="P84" i="181"/>
  <c r="Q84" i="181"/>
  <c r="R84" i="181"/>
  <c r="S84" i="181"/>
  <c r="T84" i="181"/>
  <c r="U84" i="181"/>
  <c r="W84" i="181"/>
  <c r="E85" i="181"/>
  <c r="F85" i="181"/>
  <c r="G85" i="181"/>
  <c r="H85" i="181"/>
  <c r="I85" i="181"/>
  <c r="J85" i="181"/>
  <c r="K85" i="181"/>
  <c r="L85" i="181"/>
  <c r="M85" i="181"/>
  <c r="N85" i="181"/>
  <c r="O85" i="181"/>
  <c r="P85" i="181"/>
  <c r="Q85" i="181"/>
  <c r="R85" i="181"/>
  <c r="S85" i="181"/>
  <c r="T85" i="181"/>
  <c r="U85" i="181"/>
  <c r="W85" i="181"/>
  <c r="E86" i="181"/>
  <c r="F86" i="181"/>
  <c r="G86" i="181"/>
  <c r="H86" i="181"/>
  <c r="I86" i="181"/>
  <c r="J86" i="181"/>
  <c r="K86" i="181"/>
  <c r="L86" i="181"/>
  <c r="M86" i="181"/>
  <c r="N86" i="181"/>
  <c r="O86" i="181"/>
  <c r="P86" i="181"/>
  <c r="Q86" i="181"/>
  <c r="R86" i="181"/>
  <c r="S86" i="181"/>
  <c r="T86" i="181"/>
  <c r="U86" i="181"/>
  <c r="W86" i="181"/>
  <c r="E87" i="181"/>
  <c r="F87" i="181"/>
  <c r="G87" i="181"/>
  <c r="H87" i="181"/>
  <c r="I87" i="181"/>
  <c r="J87" i="181"/>
  <c r="K87" i="181"/>
  <c r="L87" i="181"/>
  <c r="M87" i="181"/>
  <c r="N87" i="181"/>
  <c r="O87" i="181"/>
  <c r="P87" i="181"/>
  <c r="Q87" i="181"/>
  <c r="R87" i="181"/>
  <c r="S87" i="181"/>
  <c r="T87" i="181"/>
  <c r="U87" i="181"/>
  <c r="W87" i="181"/>
  <c r="E88" i="181"/>
  <c r="F88" i="181"/>
  <c r="G88" i="181"/>
  <c r="H88" i="181"/>
  <c r="I88" i="181"/>
  <c r="J88" i="181"/>
  <c r="K88" i="181"/>
  <c r="L88" i="181"/>
  <c r="M88" i="181"/>
  <c r="N88" i="181"/>
  <c r="O88" i="181"/>
  <c r="P88" i="181"/>
  <c r="Q88" i="181"/>
  <c r="R88" i="181"/>
  <c r="S88" i="181"/>
  <c r="T88" i="181"/>
  <c r="U88" i="181"/>
  <c r="W88" i="181"/>
  <c r="E89" i="181"/>
  <c r="F89" i="181"/>
  <c r="G89" i="181"/>
  <c r="H89" i="181"/>
  <c r="I89" i="181"/>
  <c r="J89" i="181"/>
  <c r="K89" i="181"/>
  <c r="L89" i="181"/>
  <c r="M89" i="181"/>
  <c r="N89" i="181"/>
  <c r="O89" i="181"/>
  <c r="P89" i="181"/>
  <c r="Q89" i="181"/>
  <c r="R89" i="181"/>
  <c r="S89" i="181"/>
  <c r="T89" i="181"/>
  <c r="U89" i="181"/>
  <c r="W89" i="181"/>
  <c r="E90" i="181"/>
  <c r="F90" i="181"/>
  <c r="G90" i="181"/>
  <c r="H90" i="181"/>
  <c r="I90" i="181"/>
  <c r="J90" i="181"/>
  <c r="K90" i="181"/>
  <c r="L90" i="181"/>
  <c r="M90" i="181"/>
  <c r="N90" i="181"/>
  <c r="O90" i="181"/>
  <c r="P90" i="181"/>
  <c r="Q90" i="181"/>
  <c r="R90" i="181"/>
  <c r="S90" i="181"/>
  <c r="T90" i="181"/>
  <c r="U90" i="181"/>
  <c r="W90" i="181"/>
  <c r="E91" i="181"/>
  <c r="F91" i="181"/>
  <c r="G91" i="181"/>
  <c r="H91" i="181"/>
  <c r="I91" i="181"/>
  <c r="J91" i="181"/>
  <c r="K91" i="181"/>
  <c r="L91" i="181"/>
  <c r="M91" i="181"/>
  <c r="N91" i="181"/>
  <c r="O91" i="181"/>
  <c r="P91" i="181"/>
  <c r="Q91" i="181"/>
  <c r="R91" i="181"/>
  <c r="S91" i="181"/>
  <c r="T91" i="181"/>
  <c r="U91" i="181"/>
  <c r="W91" i="181"/>
  <c r="E92" i="181"/>
  <c r="F92" i="181"/>
  <c r="G92" i="181"/>
  <c r="H92" i="181"/>
  <c r="I92" i="181"/>
  <c r="J92" i="181"/>
  <c r="K92" i="181"/>
  <c r="L92" i="181"/>
  <c r="M92" i="181"/>
  <c r="N92" i="181"/>
  <c r="O92" i="181"/>
  <c r="P92" i="181"/>
  <c r="Q92" i="181"/>
  <c r="R92" i="181"/>
  <c r="S92" i="181"/>
  <c r="T92" i="181"/>
  <c r="U92" i="181"/>
  <c r="W92" i="181"/>
  <c r="E93" i="181"/>
  <c r="F93" i="181"/>
  <c r="G93" i="181"/>
  <c r="H93" i="181"/>
  <c r="I93" i="181"/>
  <c r="J93" i="181"/>
  <c r="K93" i="181"/>
  <c r="L93" i="181"/>
  <c r="M93" i="181"/>
  <c r="N93" i="181"/>
  <c r="O93" i="181"/>
  <c r="P93" i="181"/>
  <c r="Q93" i="181"/>
  <c r="R93" i="181"/>
  <c r="S93" i="181"/>
  <c r="T93" i="181"/>
  <c r="U93" i="181"/>
  <c r="W93" i="181"/>
  <c r="E94" i="181"/>
  <c r="F94" i="181"/>
  <c r="G94" i="181"/>
  <c r="H94" i="181"/>
  <c r="I94" i="181"/>
  <c r="J94" i="181"/>
  <c r="K94" i="181"/>
  <c r="L94" i="181"/>
  <c r="M94" i="181"/>
  <c r="N94" i="181"/>
  <c r="O94" i="181"/>
  <c r="P94" i="181"/>
  <c r="Q94" i="181"/>
  <c r="R94" i="181"/>
  <c r="S94" i="181"/>
  <c r="T94" i="181"/>
  <c r="U94" i="181"/>
  <c r="W94" i="181"/>
  <c r="E95" i="181"/>
  <c r="F95" i="181"/>
  <c r="G95" i="181"/>
  <c r="H95" i="181"/>
  <c r="I95" i="181"/>
  <c r="J95" i="181"/>
  <c r="K95" i="181"/>
  <c r="L95" i="181"/>
  <c r="M95" i="181"/>
  <c r="N95" i="181"/>
  <c r="O95" i="181"/>
  <c r="P95" i="181"/>
  <c r="Q95" i="181"/>
  <c r="R95" i="181"/>
  <c r="S95" i="181"/>
  <c r="T95" i="181"/>
  <c r="U95" i="181"/>
  <c r="W95" i="181"/>
  <c r="E96" i="181"/>
  <c r="F96" i="181"/>
  <c r="G96" i="181"/>
  <c r="H96" i="181"/>
  <c r="I96" i="181"/>
  <c r="J96" i="181"/>
  <c r="K96" i="181"/>
  <c r="L96" i="181"/>
  <c r="M96" i="181"/>
  <c r="N96" i="181"/>
  <c r="O96" i="181"/>
  <c r="P96" i="181"/>
  <c r="Q96" i="181"/>
  <c r="R96" i="181"/>
  <c r="S96" i="181"/>
  <c r="T96" i="181"/>
  <c r="U96" i="181"/>
  <c r="W96" i="181"/>
  <c r="E97" i="181"/>
  <c r="F97" i="181"/>
  <c r="G97" i="181"/>
  <c r="H97" i="181"/>
  <c r="I97" i="181"/>
  <c r="J97" i="181"/>
  <c r="K97" i="181"/>
  <c r="L97" i="181"/>
  <c r="M97" i="181"/>
  <c r="N97" i="181"/>
  <c r="O97" i="181"/>
  <c r="P97" i="181"/>
  <c r="Q97" i="181"/>
  <c r="R97" i="181"/>
  <c r="S97" i="181"/>
  <c r="T97" i="181"/>
  <c r="U97" i="181"/>
  <c r="W97" i="181"/>
  <c r="E98" i="181"/>
  <c r="F98" i="181"/>
  <c r="G98" i="181"/>
  <c r="H98" i="181"/>
  <c r="I98" i="181"/>
  <c r="J98" i="181"/>
  <c r="K98" i="181"/>
  <c r="L98" i="181"/>
  <c r="M98" i="181"/>
  <c r="N98" i="181"/>
  <c r="O98" i="181"/>
  <c r="P98" i="181"/>
  <c r="Q98" i="181"/>
  <c r="R98" i="181"/>
  <c r="S98" i="181"/>
  <c r="T98" i="181"/>
  <c r="U98" i="181"/>
  <c r="W98" i="181"/>
  <c r="E99" i="181"/>
  <c r="F99" i="181"/>
  <c r="G99" i="181"/>
  <c r="H99" i="181"/>
  <c r="I99" i="181"/>
  <c r="J99" i="181"/>
  <c r="K99" i="181"/>
  <c r="L99" i="181"/>
  <c r="M99" i="181"/>
  <c r="N99" i="181"/>
  <c r="O99" i="181"/>
  <c r="P99" i="181"/>
  <c r="Q99" i="181"/>
  <c r="R99" i="181"/>
  <c r="S99" i="181"/>
  <c r="T99" i="181"/>
  <c r="U99" i="181"/>
  <c r="W99" i="181"/>
  <c r="E100" i="181"/>
  <c r="F100" i="181"/>
  <c r="G100" i="181"/>
  <c r="H100" i="181"/>
  <c r="I100" i="181"/>
  <c r="J100" i="181"/>
  <c r="K100" i="181"/>
  <c r="L100" i="181"/>
  <c r="M100" i="181"/>
  <c r="N100" i="181"/>
  <c r="O100" i="181"/>
  <c r="P100" i="181"/>
  <c r="Q100" i="181"/>
  <c r="R100" i="181"/>
  <c r="S100" i="181"/>
  <c r="T100" i="181"/>
  <c r="U100" i="181"/>
  <c r="W100" i="181"/>
  <c r="E101" i="181"/>
  <c r="F101" i="181"/>
  <c r="G101" i="181"/>
  <c r="H101" i="181"/>
  <c r="I101" i="181"/>
  <c r="J101" i="181"/>
  <c r="K101" i="181"/>
  <c r="L101" i="181"/>
  <c r="M101" i="181"/>
  <c r="N101" i="181"/>
  <c r="O101" i="181"/>
  <c r="P101" i="181"/>
  <c r="Q101" i="181"/>
  <c r="R101" i="181"/>
  <c r="S101" i="181"/>
  <c r="T101" i="181"/>
  <c r="U101" i="181"/>
  <c r="W101" i="181"/>
  <c r="E102" i="181"/>
  <c r="F102" i="181"/>
  <c r="G102" i="181"/>
  <c r="H102" i="181"/>
  <c r="I102" i="181"/>
  <c r="J102" i="181"/>
  <c r="K102" i="181"/>
  <c r="L102" i="181"/>
  <c r="M102" i="181"/>
  <c r="N102" i="181"/>
  <c r="O102" i="181"/>
  <c r="P102" i="181"/>
  <c r="Q102" i="181"/>
  <c r="R102" i="181"/>
  <c r="S102" i="181"/>
  <c r="T102" i="181"/>
  <c r="U102" i="181"/>
  <c r="W102" i="181"/>
  <c r="E103" i="181"/>
  <c r="F103" i="181"/>
  <c r="G103" i="181"/>
  <c r="H103" i="181"/>
  <c r="I103" i="181"/>
  <c r="J103" i="181"/>
  <c r="K103" i="181"/>
  <c r="L103" i="181"/>
  <c r="M103" i="181"/>
  <c r="N103" i="181"/>
  <c r="O103" i="181"/>
  <c r="P103" i="181"/>
  <c r="Q103" i="181"/>
  <c r="R103" i="181"/>
  <c r="S103" i="181"/>
  <c r="T103" i="181"/>
  <c r="U103" i="181"/>
  <c r="W103" i="181"/>
  <c r="E104" i="181"/>
  <c r="F104" i="181"/>
  <c r="G104" i="181"/>
  <c r="H104" i="181"/>
  <c r="I104" i="181"/>
  <c r="J104" i="181"/>
  <c r="K104" i="181"/>
  <c r="L104" i="181"/>
  <c r="M104" i="181"/>
  <c r="N104" i="181"/>
  <c r="O104" i="181"/>
  <c r="P104" i="181"/>
  <c r="Q104" i="181"/>
  <c r="R104" i="181"/>
  <c r="S104" i="181"/>
  <c r="T104" i="181"/>
  <c r="U104" i="181"/>
  <c r="W104" i="181"/>
  <c r="E105" i="181"/>
  <c r="F105" i="181"/>
  <c r="G105" i="181"/>
  <c r="H105" i="181"/>
  <c r="I105" i="181"/>
  <c r="J105" i="181"/>
  <c r="K105" i="181"/>
  <c r="L105" i="181"/>
  <c r="M105" i="181"/>
  <c r="N105" i="181"/>
  <c r="O105" i="181"/>
  <c r="P105" i="181"/>
  <c r="Q105" i="181"/>
  <c r="R105" i="181"/>
  <c r="S105" i="181"/>
  <c r="T105" i="181"/>
  <c r="U105" i="181"/>
  <c r="W105" i="181"/>
  <c r="E106" i="181"/>
  <c r="F106" i="181"/>
  <c r="G106" i="181"/>
  <c r="H106" i="181"/>
  <c r="I106" i="181"/>
  <c r="J106" i="181"/>
  <c r="K106" i="181"/>
  <c r="L106" i="181"/>
  <c r="M106" i="181"/>
  <c r="N106" i="181"/>
  <c r="O106" i="181"/>
  <c r="P106" i="181"/>
  <c r="Q106" i="181"/>
  <c r="R106" i="181"/>
  <c r="S106" i="181"/>
  <c r="T106" i="181"/>
  <c r="U106" i="181"/>
  <c r="W106" i="181"/>
  <c r="E107" i="181"/>
  <c r="F107" i="181"/>
  <c r="G107" i="181"/>
  <c r="H107" i="181"/>
  <c r="I107" i="181"/>
  <c r="J107" i="181"/>
  <c r="K107" i="181"/>
  <c r="L107" i="181"/>
  <c r="M107" i="181"/>
  <c r="N107" i="181"/>
  <c r="O107" i="181"/>
  <c r="P107" i="181"/>
  <c r="Q107" i="181"/>
  <c r="R107" i="181"/>
  <c r="S107" i="181"/>
  <c r="T107" i="181"/>
  <c r="U107" i="181"/>
  <c r="W107" i="181"/>
  <c r="W12" i="181"/>
  <c r="F12" i="181"/>
  <c r="G12" i="181"/>
  <c r="H12" i="181"/>
  <c r="I12" i="181"/>
  <c r="J12" i="181"/>
  <c r="K12" i="181"/>
  <c r="L12" i="181"/>
  <c r="M12" i="181"/>
  <c r="N12" i="181"/>
  <c r="O12" i="181"/>
  <c r="P12" i="181"/>
  <c r="Q12" i="181"/>
  <c r="R12" i="181"/>
  <c r="S12" i="181"/>
  <c r="T12" i="181"/>
  <c r="U12" i="181"/>
  <c r="E12" i="181"/>
  <c r="C92" i="181"/>
  <c r="C84" i="181"/>
  <c r="C76" i="181"/>
  <c r="C68" i="181"/>
  <c r="C60" i="181"/>
  <c r="C52" i="181"/>
  <c r="C44" i="181"/>
  <c r="C36" i="181"/>
  <c r="C28" i="181"/>
  <c r="C20" i="181"/>
  <c r="C12" i="181"/>
  <c r="B8" i="181"/>
  <c r="D2" i="181"/>
  <c r="D3" i="181"/>
  <c r="E13" i="180"/>
  <c r="F13" i="180"/>
  <c r="G13" i="180"/>
  <c r="H13" i="180"/>
  <c r="I13" i="180"/>
  <c r="J13" i="180"/>
  <c r="K13" i="180"/>
  <c r="L13" i="180"/>
  <c r="M13" i="180"/>
  <c r="N13" i="180"/>
  <c r="O13" i="180"/>
  <c r="P13" i="180"/>
  <c r="Q13" i="180"/>
  <c r="R13" i="180"/>
  <c r="S13" i="180"/>
  <c r="T13" i="180"/>
  <c r="U13" i="180"/>
  <c r="W13" i="180"/>
  <c r="E14" i="180"/>
  <c r="F14" i="180"/>
  <c r="G14" i="180"/>
  <c r="H14" i="180"/>
  <c r="I14" i="180"/>
  <c r="J14" i="180"/>
  <c r="K14" i="180"/>
  <c r="L14" i="180"/>
  <c r="M14" i="180"/>
  <c r="N14" i="180"/>
  <c r="O14" i="180"/>
  <c r="P14" i="180"/>
  <c r="Q14" i="180"/>
  <c r="R14" i="180"/>
  <c r="S14" i="180"/>
  <c r="T14" i="180"/>
  <c r="U14" i="180"/>
  <c r="W14" i="180"/>
  <c r="E15" i="180"/>
  <c r="F15" i="180"/>
  <c r="G15" i="180"/>
  <c r="H15" i="180"/>
  <c r="I15" i="180"/>
  <c r="J15" i="180"/>
  <c r="K15" i="180"/>
  <c r="L15" i="180"/>
  <c r="M15" i="180"/>
  <c r="N15" i="180"/>
  <c r="O15" i="180"/>
  <c r="P15" i="180"/>
  <c r="Q15" i="180"/>
  <c r="R15" i="180"/>
  <c r="S15" i="180"/>
  <c r="T15" i="180"/>
  <c r="U15" i="180"/>
  <c r="W15" i="180"/>
  <c r="E16" i="180"/>
  <c r="F16" i="180"/>
  <c r="G16" i="180"/>
  <c r="H16" i="180"/>
  <c r="I16" i="180"/>
  <c r="J16" i="180"/>
  <c r="K16" i="180"/>
  <c r="L16" i="180"/>
  <c r="M16" i="180"/>
  <c r="N16" i="180"/>
  <c r="O16" i="180"/>
  <c r="P16" i="180"/>
  <c r="Q16" i="180"/>
  <c r="R16" i="180"/>
  <c r="S16" i="180"/>
  <c r="T16" i="180"/>
  <c r="U16" i="180"/>
  <c r="W16" i="180"/>
  <c r="E17" i="180"/>
  <c r="F17" i="180"/>
  <c r="G17" i="180"/>
  <c r="H17" i="180"/>
  <c r="I17" i="180"/>
  <c r="J17" i="180"/>
  <c r="K17" i="180"/>
  <c r="L17" i="180"/>
  <c r="M17" i="180"/>
  <c r="N17" i="180"/>
  <c r="O17" i="180"/>
  <c r="P17" i="180"/>
  <c r="Q17" i="180"/>
  <c r="R17" i="180"/>
  <c r="S17" i="180"/>
  <c r="T17" i="180"/>
  <c r="U17" i="180"/>
  <c r="W17" i="180"/>
  <c r="E18" i="180"/>
  <c r="F18" i="180"/>
  <c r="G18" i="180"/>
  <c r="H18" i="180"/>
  <c r="I18" i="180"/>
  <c r="J18" i="180"/>
  <c r="K18" i="180"/>
  <c r="L18" i="180"/>
  <c r="M18" i="180"/>
  <c r="N18" i="180"/>
  <c r="O18" i="180"/>
  <c r="P18" i="180"/>
  <c r="Q18" i="180"/>
  <c r="R18" i="180"/>
  <c r="S18" i="180"/>
  <c r="T18" i="180"/>
  <c r="U18" i="180"/>
  <c r="W18" i="180"/>
  <c r="E19" i="180"/>
  <c r="F19" i="180"/>
  <c r="G19" i="180"/>
  <c r="H19" i="180"/>
  <c r="I19" i="180"/>
  <c r="J19" i="180"/>
  <c r="K19" i="180"/>
  <c r="L19" i="180"/>
  <c r="M19" i="180"/>
  <c r="N19" i="180"/>
  <c r="O19" i="180"/>
  <c r="P19" i="180"/>
  <c r="Q19" i="180"/>
  <c r="R19" i="180"/>
  <c r="S19" i="180"/>
  <c r="T19" i="180"/>
  <c r="U19" i="180"/>
  <c r="W19" i="180"/>
  <c r="E20" i="180"/>
  <c r="F20" i="180"/>
  <c r="G20" i="180"/>
  <c r="H20" i="180"/>
  <c r="I20" i="180"/>
  <c r="J20" i="180"/>
  <c r="K20" i="180"/>
  <c r="L20" i="180"/>
  <c r="M20" i="180"/>
  <c r="N20" i="180"/>
  <c r="O20" i="180"/>
  <c r="P20" i="180"/>
  <c r="Q20" i="180"/>
  <c r="R20" i="180"/>
  <c r="S20" i="180"/>
  <c r="T20" i="180"/>
  <c r="U20" i="180"/>
  <c r="W20" i="180"/>
  <c r="E21" i="180"/>
  <c r="F21" i="180"/>
  <c r="G21" i="180"/>
  <c r="H21" i="180"/>
  <c r="I21" i="180"/>
  <c r="J21" i="180"/>
  <c r="K21" i="180"/>
  <c r="L21" i="180"/>
  <c r="M21" i="180"/>
  <c r="N21" i="180"/>
  <c r="O21" i="180"/>
  <c r="P21" i="180"/>
  <c r="Q21" i="180"/>
  <c r="R21" i="180"/>
  <c r="S21" i="180"/>
  <c r="T21" i="180"/>
  <c r="U21" i="180"/>
  <c r="W21" i="180"/>
  <c r="E22" i="180"/>
  <c r="F22" i="180"/>
  <c r="G22" i="180"/>
  <c r="H22" i="180"/>
  <c r="I22" i="180"/>
  <c r="J22" i="180"/>
  <c r="K22" i="180"/>
  <c r="L22" i="180"/>
  <c r="M22" i="180"/>
  <c r="N22" i="180"/>
  <c r="O22" i="180"/>
  <c r="P22" i="180"/>
  <c r="Q22" i="180"/>
  <c r="R22" i="180"/>
  <c r="S22" i="180"/>
  <c r="T22" i="180"/>
  <c r="U22" i="180"/>
  <c r="W22" i="180"/>
  <c r="E23" i="180"/>
  <c r="F23" i="180"/>
  <c r="G23" i="180"/>
  <c r="H23" i="180"/>
  <c r="I23" i="180"/>
  <c r="J23" i="180"/>
  <c r="K23" i="180"/>
  <c r="L23" i="180"/>
  <c r="M23" i="180"/>
  <c r="N23" i="180"/>
  <c r="O23" i="180"/>
  <c r="P23" i="180"/>
  <c r="Q23" i="180"/>
  <c r="R23" i="180"/>
  <c r="S23" i="180"/>
  <c r="T23" i="180"/>
  <c r="U23" i="180"/>
  <c r="W23" i="180"/>
  <c r="E24" i="180"/>
  <c r="F24" i="180"/>
  <c r="G24" i="180"/>
  <c r="H24" i="180"/>
  <c r="I24" i="180"/>
  <c r="J24" i="180"/>
  <c r="K24" i="180"/>
  <c r="L24" i="180"/>
  <c r="M24" i="180"/>
  <c r="N24" i="180"/>
  <c r="O24" i="180"/>
  <c r="P24" i="180"/>
  <c r="Q24" i="180"/>
  <c r="R24" i="180"/>
  <c r="S24" i="180"/>
  <c r="T24" i="180"/>
  <c r="U24" i="180"/>
  <c r="W24" i="180"/>
  <c r="E25" i="180"/>
  <c r="F25" i="180"/>
  <c r="G25" i="180"/>
  <c r="H25" i="180"/>
  <c r="I25" i="180"/>
  <c r="J25" i="180"/>
  <c r="K25" i="180"/>
  <c r="L25" i="180"/>
  <c r="M25" i="180"/>
  <c r="N25" i="180"/>
  <c r="O25" i="180"/>
  <c r="P25" i="180"/>
  <c r="Q25" i="180"/>
  <c r="R25" i="180"/>
  <c r="S25" i="180"/>
  <c r="T25" i="180"/>
  <c r="U25" i="180"/>
  <c r="W25" i="180"/>
  <c r="E26" i="180"/>
  <c r="F26" i="180"/>
  <c r="G26" i="180"/>
  <c r="H26" i="180"/>
  <c r="I26" i="180"/>
  <c r="J26" i="180"/>
  <c r="K26" i="180"/>
  <c r="L26" i="180"/>
  <c r="M26" i="180"/>
  <c r="N26" i="180"/>
  <c r="O26" i="180"/>
  <c r="P26" i="180"/>
  <c r="Q26" i="180"/>
  <c r="R26" i="180"/>
  <c r="S26" i="180"/>
  <c r="T26" i="180"/>
  <c r="U26" i="180"/>
  <c r="W26" i="180"/>
  <c r="E27" i="180"/>
  <c r="F27" i="180"/>
  <c r="G27" i="180"/>
  <c r="H27" i="180"/>
  <c r="I27" i="180"/>
  <c r="J27" i="180"/>
  <c r="K27" i="180"/>
  <c r="L27" i="180"/>
  <c r="M27" i="180"/>
  <c r="N27" i="180"/>
  <c r="O27" i="180"/>
  <c r="P27" i="180"/>
  <c r="Q27" i="180"/>
  <c r="R27" i="180"/>
  <c r="S27" i="180"/>
  <c r="T27" i="180"/>
  <c r="U27" i="180"/>
  <c r="W27" i="180"/>
  <c r="E28" i="180"/>
  <c r="F28" i="180"/>
  <c r="G28" i="180"/>
  <c r="H28" i="180"/>
  <c r="I28" i="180"/>
  <c r="J28" i="180"/>
  <c r="K28" i="180"/>
  <c r="L28" i="180"/>
  <c r="M28" i="180"/>
  <c r="N28" i="180"/>
  <c r="O28" i="180"/>
  <c r="P28" i="180"/>
  <c r="Q28" i="180"/>
  <c r="R28" i="180"/>
  <c r="S28" i="180"/>
  <c r="T28" i="180"/>
  <c r="U28" i="180"/>
  <c r="W28" i="180"/>
  <c r="E29" i="180"/>
  <c r="F29" i="180"/>
  <c r="G29" i="180"/>
  <c r="H29" i="180"/>
  <c r="I29" i="180"/>
  <c r="J29" i="180"/>
  <c r="K29" i="180"/>
  <c r="L29" i="180"/>
  <c r="M29" i="180"/>
  <c r="N29" i="180"/>
  <c r="O29" i="180"/>
  <c r="P29" i="180"/>
  <c r="Q29" i="180"/>
  <c r="R29" i="180"/>
  <c r="S29" i="180"/>
  <c r="T29" i="180"/>
  <c r="U29" i="180"/>
  <c r="W29" i="180"/>
  <c r="E30" i="180"/>
  <c r="F30" i="180"/>
  <c r="G30" i="180"/>
  <c r="H30" i="180"/>
  <c r="I30" i="180"/>
  <c r="J30" i="180"/>
  <c r="K30" i="180"/>
  <c r="L30" i="180"/>
  <c r="M30" i="180"/>
  <c r="N30" i="180"/>
  <c r="O30" i="180"/>
  <c r="P30" i="180"/>
  <c r="Q30" i="180"/>
  <c r="R30" i="180"/>
  <c r="S30" i="180"/>
  <c r="T30" i="180"/>
  <c r="U30" i="180"/>
  <c r="W30" i="180"/>
  <c r="E31" i="180"/>
  <c r="F31" i="180"/>
  <c r="G31" i="180"/>
  <c r="H31" i="180"/>
  <c r="I31" i="180"/>
  <c r="J31" i="180"/>
  <c r="K31" i="180"/>
  <c r="L31" i="180"/>
  <c r="M31" i="180"/>
  <c r="N31" i="180"/>
  <c r="O31" i="180"/>
  <c r="P31" i="180"/>
  <c r="Q31" i="180"/>
  <c r="R31" i="180"/>
  <c r="S31" i="180"/>
  <c r="T31" i="180"/>
  <c r="U31" i="180"/>
  <c r="W31" i="180"/>
  <c r="E32" i="180"/>
  <c r="F32" i="180"/>
  <c r="G32" i="180"/>
  <c r="H32" i="180"/>
  <c r="I32" i="180"/>
  <c r="J32" i="180"/>
  <c r="K32" i="180"/>
  <c r="L32" i="180"/>
  <c r="M32" i="180"/>
  <c r="N32" i="180"/>
  <c r="O32" i="180"/>
  <c r="P32" i="180"/>
  <c r="Q32" i="180"/>
  <c r="R32" i="180"/>
  <c r="S32" i="180"/>
  <c r="T32" i="180"/>
  <c r="U32" i="180"/>
  <c r="W32" i="180"/>
  <c r="E33" i="180"/>
  <c r="F33" i="180"/>
  <c r="G33" i="180"/>
  <c r="H33" i="180"/>
  <c r="I33" i="180"/>
  <c r="J33" i="180"/>
  <c r="K33" i="180"/>
  <c r="L33" i="180"/>
  <c r="M33" i="180"/>
  <c r="N33" i="180"/>
  <c r="O33" i="180"/>
  <c r="P33" i="180"/>
  <c r="Q33" i="180"/>
  <c r="R33" i="180"/>
  <c r="S33" i="180"/>
  <c r="T33" i="180"/>
  <c r="U33" i="180"/>
  <c r="W33" i="180"/>
  <c r="E34" i="180"/>
  <c r="F34" i="180"/>
  <c r="G34" i="180"/>
  <c r="H34" i="180"/>
  <c r="I34" i="180"/>
  <c r="J34" i="180"/>
  <c r="K34" i="180"/>
  <c r="L34" i="180"/>
  <c r="M34" i="180"/>
  <c r="N34" i="180"/>
  <c r="O34" i="180"/>
  <c r="P34" i="180"/>
  <c r="Q34" i="180"/>
  <c r="R34" i="180"/>
  <c r="S34" i="180"/>
  <c r="T34" i="180"/>
  <c r="U34" i="180"/>
  <c r="W34" i="180"/>
  <c r="E35" i="180"/>
  <c r="F35" i="180"/>
  <c r="G35" i="180"/>
  <c r="H35" i="180"/>
  <c r="I35" i="180"/>
  <c r="J35" i="180"/>
  <c r="K35" i="180"/>
  <c r="L35" i="180"/>
  <c r="M35" i="180"/>
  <c r="N35" i="180"/>
  <c r="O35" i="180"/>
  <c r="P35" i="180"/>
  <c r="Q35" i="180"/>
  <c r="R35" i="180"/>
  <c r="S35" i="180"/>
  <c r="T35" i="180"/>
  <c r="U35" i="180"/>
  <c r="W35" i="180"/>
  <c r="E36" i="180"/>
  <c r="F36" i="180"/>
  <c r="G36" i="180"/>
  <c r="H36" i="180"/>
  <c r="I36" i="180"/>
  <c r="J36" i="180"/>
  <c r="K36" i="180"/>
  <c r="L36" i="180"/>
  <c r="M36" i="180"/>
  <c r="N36" i="180"/>
  <c r="O36" i="180"/>
  <c r="P36" i="180"/>
  <c r="Q36" i="180"/>
  <c r="R36" i="180"/>
  <c r="S36" i="180"/>
  <c r="T36" i="180"/>
  <c r="U36" i="180"/>
  <c r="W36" i="180"/>
  <c r="E37" i="180"/>
  <c r="F37" i="180"/>
  <c r="G37" i="180"/>
  <c r="H37" i="180"/>
  <c r="I37" i="180"/>
  <c r="J37" i="180"/>
  <c r="K37" i="180"/>
  <c r="L37" i="180"/>
  <c r="M37" i="180"/>
  <c r="N37" i="180"/>
  <c r="O37" i="180"/>
  <c r="P37" i="180"/>
  <c r="Q37" i="180"/>
  <c r="R37" i="180"/>
  <c r="S37" i="180"/>
  <c r="T37" i="180"/>
  <c r="U37" i="180"/>
  <c r="W37" i="180"/>
  <c r="E38" i="180"/>
  <c r="F38" i="180"/>
  <c r="G38" i="180"/>
  <c r="H38" i="180"/>
  <c r="I38" i="180"/>
  <c r="J38" i="180"/>
  <c r="K38" i="180"/>
  <c r="L38" i="180"/>
  <c r="M38" i="180"/>
  <c r="N38" i="180"/>
  <c r="O38" i="180"/>
  <c r="P38" i="180"/>
  <c r="Q38" i="180"/>
  <c r="R38" i="180"/>
  <c r="S38" i="180"/>
  <c r="T38" i="180"/>
  <c r="U38" i="180"/>
  <c r="W38" i="180"/>
  <c r="E39" i="180"/>
  <c r="F39" i="180"/>
  <c r="G39" i="180"/>
  <c r="H39" i="180"/>
  <c r="I39" i="180"/>
  <c r="J39" i="180"/>
  <c r="K39" i="180"/>
  <c r="L39" i="180"/>
  <c r="M39" i="180"/>
  <c r="N39" i="180"/>
  <c r="O39" i="180"/>
  <c r="P39" i="180"/>
  <c r="Q39" i="180"/>
  <c r="R39" i="180"/>
  <c r="S39" i="180"/>
  <c r="T39" i="180"/>
  <c r="U39" i="180"/>
  <c r="W39" i="180"/>
  <c r="E40" i="180"/>
  <c r="F40" i="180"/>
  <c r="G40" i="180"/>
  <c r="H40" i="180"/>
  <c r="I40" i="180"/>
  <c r="J40" i="180"/>
  <c r="K40" i="180"/>
  <c r="L40" i="180"/>
  <c r="M40" i="180"/>
  <c r="N40" i="180"/>
  <c r="O40" i="180"/>
  <c r="P40" i="180"/>
  <c r="Q40" i="180"/>
  <c r="R40" i="180"/>
  <c r="S40" i="180"/>
  <c r="T40" i="180"/>
  <c r="U40" i="180"/>
  <c r="W40" i="180"/>
  <c r="E41" i="180"/>
  <c r="F41" i="180"/>
  <c r="G41" i="180"/>
  <c r="H41" i="180"/>
  <c r="I41" i="180"/>
  <c r="J41" i="180"/>
  <c r="K41" i="180"/>
  <c r="L41" i="180"/>
  <c r="M41" i="180"/>
  <c r="N41" i="180"/>
  <c r="O41" i="180"/>
  <c r="P41" i="180"/>
  <c r="Q41" i="180"/>
  <c r="R41" i="180"/>
  <c r="S41" i="180"/>
  <c r="T41" i="180"/>
  <c r="U41" i="180"/>
  <c r="W41" i="180"/>
  <c r="E42" i="180"/>
  <c r="F42" i="180"/>
  <c r="G42" i="180"/>
  <c r="H42" i="180"/>
  <c r="I42" i="180"/>
  <c r="J42" i="180"/>
  <c r="K42" i="180"/>
  <c r="L42" i="180"/>
  <c r="M42" i="180"/>
  <c r="N42" i="180"/>
  <c r="O42" i="180"/>
  <c r="P42" i="180"/>
  <c r="Q42" i="180"/>
  <c r="R42" i="180"/>
  <c r="S42" i="180"/>
  <c r="T42" i="180"/>
  <c r="U42" i="180"/>
  <c r="W42" i="180"/>
  <c r="E43" i="180"/>
  <c r="F43" i="180"/>
  <c r="G43" i="180"/>
  <c r="H43" i="180"/>
  <c r="I43" i="180"/>
  <c r="J43" i="180"/>
  <c r="K43" i="180"/>
  <c r="L43" i="180"/>
  <c r="M43" i="180"/>
  <c r="N43" i="180"/>
  <c r="O43" i="180"/>
  <c r="P43" i="180"/>
  <c r="Q43" i="180"/>
  <c r="R43" i="180"/>
  <c r="S43" i="180"/>
  <c r="T43" i="180"/>
  <c r="U43" i="180"/>
  <c r="W43" i="180"/>
  <c r="E44" i="180"/>
  <c r="F44" i="180"/>
  <c r="G44" i="180"/>
  <c r="H44" i="180"/>
  <c r="I44" i="180"/>
  <c r="J44" i="180"/>
  <c r="K44" i="180"/>
  <c r="L44" i="180"/>
  <c r="M44" i="180"/>
  <c r="N44" i="180"/>
  <c r="O44" i="180"/>
  <c r="P44" i="180"/>
  <c r="Q44" i="180"/>
  <c r="R44" i="180"/>
  <c r="S44" i="180"/>
  <c r="T44" i="180"/>
  <c r="U44" i="180"/>
  <c r="W44" i="180"/>
  <c r="E45" i="180"/>
  <c r="F45" i="180"/>
  <c r="G45" i="180"/>
  <c r="H45" i="180"/>
  <c r="I45" i="180"/>
  <c r="J45" i="180"/>
  <c r="K45" i="180"/>
  <c r="L45" i="180"/>
  <c r="M45" i="180"/>
  <c r="N45" i="180"/>
  <c r="O45" i="180"/>
  <c r="P45" i="180"/>
  <c r="Q45" i="180"/>
  <c r="R45" i="180"/>
  <c r="S45" i="180"/>
  <c r="T45" i="180"/>
  <c r="U45" i="180"/>
  <c r="W45" i="180"/>
  <c r="E46" i="180"/>
  <c r="F46" i="180"/>
  <c r="G46" i="180"/>
  <c r="H46" i="180"/>
  <c r="I46" i="180"/>
  <c r="J46" i="180"/>
  <c r="K46" i="180"/>
  <c r="L46" i="180"/>
  <c r="M46" i="180"/>
  <c r="N46" i="180"/>
  <c r="O46" i="180"/>
  <c r="P46" i="180"/>
  <c r="Q46" i="180"/>
  <c r="R46" i="180"/>
  <c r="S46" i="180"/>
  <c r="T46" i="180"/>
  <c r="U46" i="180"/>
  <c r="W46" i="180"/>
  <c r="E47" i="180"/>
  <c r="F47" i="180"/>
  <c r="G47" i="180"/>
  <c r="H47" i="180"/>
  <c r="I47" i="180"/>
  <c r="J47" i="180"/>
  <c r="K47" i="180"/>
  <c r="L47" i="180"/>
  <c r="M47" i="180"/>
  <c r="N47" i="180"/>
  <c r="O47" i="180"/>
  <c r="P47" i="180"/>
  <c r="Q47" i="180"/>
  <c r="R47" i="180"/>
  <c r="S47" i="180"/>
  <c r="T47" i="180"/>
  <c r="U47" i="180"/>
  <c r="W47" i="180"/>
  <c r="E48" i="180"/>
  <c r="F48" i="180"/>
  <c r="G48" i="180"/>
  <c r="H48" i="180"/>
  <c r="I48" i="180"/>
  <c r="J48" i="180"/>
  <c r="K48" i="180"/>
  <c r="L48" i="180"/>
  <c r="M48" i="180"/>
  <c r="N48" i="180"/>
  <c r="O48" i="180"/>
  <c r="P48" i="180"/>
  <c r="Q48" i="180"/>
  <c r="R48" i="180"/>
  <c r="S48" i="180"/>
  <c r="T48" i="180"/>
  <c r="U48" i="180"/>
  <c r="W48" i="180"/>
  <c r="E49" i="180"/>
  <c r="F49" i="180"/>
  <c r="G49" i="180"/>
  <c r="H49" i="180"/>
  <c r="I49" i="180"/>
  <c r="J49" i="180"/>
  <c r="K49" i="180"/>
  <c r="L49" i="180"/>
  <c r="M49" i="180"/>
  <c r="N49" i="180"/>
  <c r="O49" i="180"/>
  <c r="P49" i="180"/>
  <c r="Q49" i="180"/>
  <c r="R49" i="180"/>
  <c r="S49" i="180"/>
  <c r="T49" i="180"/>
  <c r="U49" i="180"/>
  <c r="W49" i="180"/>
  <c r="E50" i="180"/>
  <c r="F50" i="180"/>
  <c r="G50" i="180"/>
  <c r="H50" i="180"/>
  <c r="I50" i="180"/>
  <c r="J50" i="180"/>
  <c r="K50" i="180"/>
  <c r="L50" i="180"/>
  <c r="M50" i="180"/>
  <c r="N50" i="180"/>
  <c r="O50" i="180"/>
  <c r="P50" i="180"/>
  <c r="Q50" i="180"/>
  <c r="R50" i="180"/>
  <c r="S50" i="180"/>
  <c r="T50" i="180"/>
  <c r="U50" i="180"/>
  <c r="W50" i="180"/>
  <c r="E51" i="180"/>
  <c r="F51" i="180"/>
  <c r="G51" i="180"/>
  <c r="H51" i="180"/>
  <c r="I51" i="180"/>
  <c r="J51" i="180"/>
  <c r="K51" i="180"/>
  <c r="L51" i="180"/>
  <c r="M51" i="180"/>
  <c r="N51" i="180"/>
  <c r="O51" i="180"/>
  <c r="P51" i="180"/>
  <c r="Q51" i="180"/>
  <c r="R51" i="180"/>
  <c r="S51" i="180"/>
  <c r="T51" i="180"/>
  <c r="U51" i="180"/>
  <c r="W51" i="180"/>
  <c r="E52" i="180"/>
  <c r="F52" i="180"/>
  <c r="G52" i="180"/>
  <c r="H52" i="180"/>
  <c r="I52" i="180"/>
  <c r="J52" i="180"/>
  <c r="K52" i="180"/>
  <c r="L52" i="180"/>
  <c r="M52" i="180"/>
  <c r="N52" i="180"/>
  <c r="O52" i="180"/>
  <c r="P52" i="180"/>
  <c r="Q52" i="180"/>
  <c r="R52" i="180"/>
  <c r="S52" i="180"/>
  <c r="T52" i="180"/>
  <c r="U52" i="180"/>
  <c r="W52" i="180"/>
  <c r="E53" i="180"/>
  <c r="F53" i="180"/>
  <c r="G53" i="180"/>
  <c r="H53" i="180"/>
  <c r="I53" i="180"/>
  <c r="J53" i="180"/>
  <c r="K53" i="180"/>
  <c r="L53" i="180"/>
  <c r="M53" i="180"/>
  <c r="N53" i="180"/>
  <c r="O53" i="180"/>
  <c r="P53" i="180"/>
  <c r="Q53" i="180"/>
  <c r="R53" i="180"/>
  <c r="S53" i="180"/>
  <c r="T53" i="180"/>
  <c r="U53" i="180"/>
  <c r="W53" i="180"/>
  <c r="E54" i="180"/>
  <c r="F54" i="180"/>
  <c r="G54" i="180"/>
  <c r="H54" i="180"/>
  <c r="I54" i="180"/>
  <c r="J54" i="180"/>
  <c r="K54" i="180"/>
  <c r="L54" i="180"/>
  <c r="M54" i="180"/>
  <c r="N54" i="180"/>
  <c r="O54" i="180"/>
  <c r="P54" i="180"/>
  <c r="Q54" i="180"/>
  <c r="R54" i="180"/>
  <c r="S54" i="180"/>
  <c r="T54" i="180"/>
  <c r="U54" i="180"/>
  <c r="W54" i="180"/>
  <c r="E55" i="180"/>
  <c r="F55" i="180"/>
  <c r="G55" i="180"/>
  <c r="H55" i="180"/>
  <c r="I55" i="180"/>
  <c r="J55" i="180"/>
  <c r="K55" i="180"/>
  <c r="L55" i="180"/>
  <c r="M55" i="180"/>
  <c r="N55" i="180"/>
  <c r="O55" i="180"/>
  <c r="P55" i="180"/>
  <c r="Q55" i="180"/>
  <c r="R55" i="180"/>
  <c r="S55" i="180"/>
  <c r="T55" i="180"/>
  <c r="U55" i="180"/>
  <c r="W55" i="180"/>
  <c r="E56" i="180"/>
  <c r="F56" i="180"/>
  <c r="G56" i="180"/>
  <c r="H56" i="180"/>
  <c r="I56" i="180"/>
  <c r="J56" i="180"/>
  <c r="K56" i="180"/>
  <c r="L56" i="180"/>
  <c r="M56" i="180"/>
  <c r="N56" i="180"/>
  <c r="O56" i="180"/>
  <c r="P56" i="180"/>
  <c r="Q56" i="180"/>
  <c r="R56" i="180"/>
  <c r="S56" i="180"/>
  <c r="T56" i="180"/>
  <c r="U56" i="180"/>
  <c r="W56" i="180"/>
  <c r="E57" i="180"/>
  <c r="F57" i="180"/>
  <c r="G57" i="180"/>
  <c r="H57" i="180"/>
  <c r="I57" i="180"/>
  <c r="J57" i="180"/>
  <c r="K57" i="180"/>
  <c r="L57" i="180"/>
  <c r="M57" i="180"/>
  <c r="N57" i="180"/>
  <c r="O57" i="180"/>
  <c r="P57" i="180"/>
  <c r="Q57" i="180"/>
  <c r="R57" i="180"/>
  <c r="S57" i="180"/>
  <c r="T57" i="180"/>
  <c r="U57" i="180"/>
  <c r="W57" i="180"/>
  <c r="E58" i="180"/>
  <c r="F58" i="180"/>
  <c r="G58" i="180"/>
  <c r="H58" i="180"/>
  <c r="I58" i="180"/>
  <c r="J58" i="180"/>
  <c r="K58" i="180"/>
  <c r="L58" i="180"/>
  <c r="M58" i="180"/>
  <c r="N58" i="180"/>
  <c r="O58" i="180"/>
  <c r="P58" i="180"/>
  <c r="Q58" i="180"/>
  <c r="R58" i="180"/>
  <c r="S58" i="180"/>
  <c r="T58" i="180"/>
  <c r="U58" i="180"/>
  <c r="W58" i="180"/>
  <c r="E59" i="180"/>
  <c r="F59" i="180"/>
  <c r="G59" i="180"/>
  <c r="H59" i="180"/>
  <c r="I59" i="180"/>
  <c r="J59" i="180"/>
  <c r="K59" i="180"/>
  <c r="L59" i="180"/>
  <c r="M59" i="180"/>
  <c r="N59" i="180"/>
  <c r="O59" i="180"/>
  <c r="P59" i="180"/>
  <c r="Q59" i="180"/>
  <c r="R59" i="180"/>
  <c r="S59" i="180"/>
  <c r="T59" i="180"/>
  <c r="U59" i="180"/>
  <c r="W59" i="180"/>
  <c r="E60" i="180"/>
  <c r="F60" i="180"/>
  <c r="G60" i="180"/>
  <c r="H60" i="180"/>
  <c r="I60" i="180"/>
  <c r="J60" i="180"/>
  <c r="K60" i="180"/>
  <c r="L60" i="180"/>
  <c r="M60" i="180"/>
  <c r="N60" i="180"/>
  <c r="O60" i="180"/>
  <c r="P60" i="180"/>
  <c r="Q60" i="180"/>
  <c r="R60" i="180"/>
  <c r="S60" i="180"/>
  <c r="T60" i="180"/>
  <c r="U60" i="180"/>
  <c r="W60" i="180"/>
  <c r="E61" i="180"/>
  <c r="F61" i="180"/>
  <c r="G61" i="180"/>
  <c r="H61" i="180"/>
  <c r="I61" i="180"/>
  <c r="J61" i="180"/>
  <c r="K61" i="180"/>
  <c r="L61" i="180"/>
  <c r="M61" i="180"/>
  <c r="N61" i="180"/>
  <c r="O61" i="180"/>
  <c r="P61" i="180"/>
  <c r="Q61" i="180"/>
  <c r="R61" i="180"/>
  <c r="S61" i="180"/>
  <c r="T61" i="180"/>
  <c r="U61" i="180"/>
  <c r="W61" i="180"/>
  <c r="E62" i="180"/>
  <c r="F62" i="180"/>
  <c r="G62" i="180"/>
  <c r="H62" i="180"/>
  <c r="I62" i="180"/>
  <c r="J62" i="180"/>
  <c r="K62" i="180"/>
  <c r="L62" i="180"/>
  <c r="M62" i="180"/>
  <c r="N62" i="180"/>
  <c r="O62" i="180"/>
  <c r="P62" i="180"/>
  <c r="Q62" i="180"/>
  <c r="R62" i="180"/>
  <c r="S62" i="180"/>
  <c r="T62" i="180"/>
  <c r="U62" i="180"/>
  <c r="W62" i="180"/>
  <c r="E63" i="180"/>
  <c r="F63" i="180"/>
  <c r="G63" i="180"/>
  <c r="H63" i="180"/>
  <c r="I63" i="180"/>
  <c r="J63" i="180"/>
  <c r="K63" i="180"/>
  <c r="L63" i="180"/>
  <c r="M63" i="180"/>
  <c r="N63" i="180"/>
  <c r="O63" i="180"/>
  <c r="P63" i="180"/>
  <c r="Q63" i="180"/>
  <c r="R63" i="180"/>
  <c r="S63" i="180"/>
  <c r="T63" i="180"/>
  <c r="U63" i="180"/>
  <c r="W63" i="180"/>
  <c r="E64" i="180"/>
  <c r="F64" i="180"/>
  <c r="G64" i="180"/>
  <c r="H64" i="180"/>
  <c r="I64" i="180"/>
  <c r="J64" i="180"/>
  <c r="K64" i="180"/>
  <c r="L64" i="180"/>
  <c r="M64" i="180"/>
  <c r="N64" i="180"/>
  <c r="O64" i="180"/>
  <c r="P64" i="180"/>
  <c r="Q64" i="180"/>
  <c r="R64" i="180"/>
  <c r="S64" i="180"/>
  <c r="T64" i="180"/>
  <c r="U64" i="180"/>
  <c r="W64" i="180"/>
  <c r="E65" i="180"/>
  <c r="F65" i="180"/>
  <c r="G65" i="180"/>
  <c r="H65" i="180"/>
  <c r="I65" i="180"/>
  <c r="J65" i="180"/>
  <c r="K65" i="180"/>
  <c r="L65" i="180"/>
  <c r="M65" i="180"/>
  <c r="N65" i="180"/>
  <c r="O65" i="180"/>
  <c r="P65" i="180"/>
  <c r="Q65" i="180"/>
  <c r="R65" i="180"/>
  <c r="S65" i="180"/>
  <c r="T65" i="180"/>
  <c r="U65" i="180"/>
  <c r="W65" i="180"/>
  <c r="E66" i="180"/>
  <c r="F66" i="180"/>
  <c r="G66" i="180"/>
  <c r="H66" i="180"/>
  <c r="I66" i="180"/>
  <c r="J66" i="180"/>
  <c r="K66" i="180"/>
  <c r="L66" i="180"/>
  <c r="M66" i="180"/>
  <c r="N66" i="180"/>
  <c r="O66" i="180"/>
  <c r="P66" i="180"/>
  <c r="Q66" i="180"/>
  <c r="R66" i="180"/>
  <c r="S66" i="180"/>
  <c r="T66" i="180"/>
  <c r="U66" i="180"/>
  <c r="W66" i="180"/>
  <c r="E67" i="180"/>
  <c r="F67" i="180"/>
  <c r="G67" i="180"/>
  <c r="H67" i="180"/>
  <c r="I67" i="180"/>
  <c r="J67" i="180"/>
  <c r="K67" i="180"/>
  <c r="L67" i="180"/>
  <c r="M67" i="180"/>
  <c r="N67" i="180"/>
  <c r="O67" i="180"/>
  <c r="P67" i="180"/>
  <c r="Q67" i="180"/>
  <c r="R67" i="180"/>
  <c r="S67" i="180"/>
  <c r="T67" i="180"/>
  <c r="U67" i="180"/>
  <c r="W67" i="180"/>
  <c r="E68" i="180"/>
  <c r="F68" i="180"/>
  <c r="G68" i="180"/>
  <c r="H68" i="180"/>
  <c r="I68" i="180"/>
  <c r="J68" i="180"/>
  <c r="K68" i="180"/>
  <c r="L68" i="180"/>
  <c r="M68" i="180"/>
  <c r="N68" i="180"/>
  <c r="O68" i="180"/>
  <c r="P68" i="180"/>
  <c r="Q68" i="180"/>
  <c r="R68" i="180"/>
  <c r="S68" i="180"/>
  <c r="T68" i="180"/>
  <c r="U68" i="180"/>
  <c r="W68" i="180"/>
  <c r="E69" i="180"/>
  <c r="F69" i="180"/>
  <c r="G69" i="180"/>
  <c r="H69" i="180"/>
  <c r="I69" i="180"/>
  <c r="J69" i="180"/>
  <c r="K69" i="180"/>
  <c r="L69" i="180"/>
  <c r="M69" i="180"/>
  <c r="N69" i="180"/>
  <c r="O69" i="180"/>
  <c r="P69" i="180"/>
  <c r="Q69" i="180"/>
  <c r="R69" i="180"/>
  <c r="S69" i="180"/>
  <c r="T69" i="180"/>
  <c r="U69" i="180"/>
  <c r="W69" i="180"/>
  <c r="E70" i="180"/>
  <c r="F70" i="180"/>
  <c r="G70" i="180"/>
  <c r="H70" i="180"/>
  <c r="I70" i="180"/>
  <c r="J70" i="180"/>
  <c r="K70" i="180"/>
  <c r="L70" i="180"/>
  <c r="M70" i="180"/>
  <c r="N70" i="180"/>
  <c r="O70" i="180"/>
  <c r="P70" i="180"/>
  <c r="Q70" i="180"/>
  <c r="R70" i="180"/>
  <c r="S70" i="180"/>
  <c r="T70" i="180"/>
  <c r="U70" i="180"/>
  <c r="W70" i="180"/>
  <c r="E71" i="180"/>
  <c r="F71" i="180"/>
  <c r="G71" i="180"/>
  <c r="H71" i="180"/>
  <c r="I71" i="180"/>
  <c r="J71" i="180"/>
  <c r="K71" i="180"/>
  <c r="L71" i="180"/>
  <c r="M71" i="180"/>
  <c r="N71" i="180"/>
  <c r="O71" i="180"/>
  <c r="P71" i="180"/>
  <c r="Q71" i="180"/>
  <c r="R71" i="180"/>
  <c r="S71" i="180"/>
  <c r="T71" i="180"/>
  <c r="U71" i="180"/>
  <c r="W71" i="180"/>
  <c r="E72" i="180"/>
  <c r="F72" i="180"/>
  <c r="G72" i="180"/>
  <c r="H72" i="180"/>
  <c r="I72" i="180"/>
  <c r="J72" i="180"/>
  <c r="K72" i="180"/>
  <c r="L72" i="180"/>
  <c r="M72" i="180"/>
  <c r="N72" i="180"/>
  <c r="O72" i="180"/>
  <c r="P72" i="180"/>
  <c r="Q72" i="180"/>
  <c r="R72" i="180"/>
  <c r="S72" i="180"/>
  <c r="T72" i="180"/>
  <c r="U72" i="180"/>
  <c r="W72" i="180"/>
  <c r="E73" i="180"/>
  <c r="F73" i="180"/>
  <c r="G73" i="180"/>
  <c r="H73" i="180"/>
  <c r="I73" i="180"/>
  <c r="J73" i="180"/>
  <c r="K73" i="180"/>
  <c r="L73" i="180"/>
  <c r="M73" i="180"/>
  <c r="N73" i="180"/>
  <c r="O73" i="180"/>
  <c r="P73" i="180"/>
  <c r="Q73" i="180"/>
  <c r="R73" i="180"/>
  <c r="S73" i="180"/>
  <c r="T73" i="180"/>
  <c r="U73" i="180"/>
  <c r="W73" i="180"/>
  <c r="E74" i="180"/>
  <c r="F74" i="180"/>
  <c r="G74" i="180"/>
  <c r="H74" i="180"/>
  <c r="I74" i="180"/>
  <c r="J74" i="180"/>
  <c r="K74" i="180"/>
  <c r="L74" i="180"/>
  <c r="M74" i="180"/>
  <c r="N74" i="180"/>
  <c r="O74" i="180"/>
  <c r="P74" i="180"/>
  <c r="Q74" i="180"/>
  <c r="R74" i="180"/>
  <c r="S74" i="180"/>
  <c r="T74" i="180"/>
  <c r="U74" i="180"/>
  <c r="W74" i="180"/>
  <c r="E75" i="180"/>
  <c r="F75" i="180"/>
  <c r="G75" i="180"/>
  <c r="H75" i="180"/>
  <c r="I75" i="180"/>
  <c r="J75" i="180"/>
  <c r="K75" i="180"/>
  <c r="L75" i="180"/>
  <c r="M75" i="180"/>
  <c r="N75" i="180"/>
  <c r="O75" i="180"/>
  <c r="P75" i="180"/>
  <c r="Q75" i="180"/>
  <c r="R75" i="180"/>
  <c r="S75" i="180"/>
  <c r="T75" i="180"/>
  <c r="U75" i="180"/>
  <c r="W75" i="180"/>
  <c r="E76" i="180"/>
  <c r="F76" i="180"/>
  <c r="G76" i="180"/>
  <c r="H76" i="180"/>
  <c r="I76" i="180"/>
  <c r="J76" i="180"/>
  <c r="K76" i="180"/>
  <c r="L76" i="180"/>
  <c r="M76" i="180"/>
  <c r="N76" i="180"/>
  <c r="O76" i="180"/>
  <c r="P76" i="180"/>
  <c r="Q76" i="180"/>
  <c r="R76" i="180"/>
  <c r="S76" i="180"/>
  <c r="T76" i="180"/>
  <c r="U76" i="180"/>
  <c r="W76" i="180"/>
  <c r="E77" i="180"/>
  <c r="F77" i="180"/>
  <c r="G77" i="180"/>
  <c r="H77" i="180"/>
  <c r="I77" i="180"/>
  <c r="J77" i="180"/>
  <c r="K77" i="180"/>
  <c r="L77" i="180"/>
  <c r="M77" i="180"/>
  <c r="N77" i="180"/>
  <c r="O77" i="180"/>
  <c r="P77" i="180"/>
  <c r="Q77" i="180"/>
  <c r="R77" i="180"/>
  <c r="S77" i="180"/>
  <c r="T77" i="180"/>
  <c r="U77" i="180"/>
  <c r="W77" i="180"/>
  <c r="E78" i="180"/>
  <c r="F78" i="180"/>
  <c r="G78" i="180"/>
  <c r="H78" i="180"/>
  <c r="I78" i="180"/>
  <c r="J78" i="180"/>
  <c r="K78" i="180"/>
  <c r="L78" i="180"/>
  <c r="M78" i="180"/>
  <c r="N78" i="180"/>
  <c r="O78" i="180"/>
  <c r="P78" i="180"/>
  <c r="Q78" i="180"/>
  <c r="R78" i="180"/>
  <c r="S78" i="180"/>
  <c r="T78" i="180"/>
  <c r="U78" i="180"/>
  <c r="W78" i="180"/>
  <c r="E79" i="180"/>
  <c r="F79" i="180"/>
  <c r="G79" i="180"/>
  <c r="H79" i="180"/>
  <c r="I79" i="180"/>
  <c r="J79" i="180"/>
  <c r="K79" i="180"/>
  <c r="L79" i="180"/>
  <c r="M79" i="180"/>
  <c r="N79" i="180"/>
  <c r="O79" i="180"/>
  <c r="P79" i="180"/>
  <c r="Q79" i="180"/>
  <c r="R79" i="180"/>
  <c r="S79" i="180"/>
  <c r="T79" i="180"/>
  <c r="U79" i="180"/>
  <c r="W79" i="180"/>
  <c r="E80" i="180"/>
  <c r="F80" i="180"/>
  <c r="G80" i="180"/>
  <c r="H80" i="180"/>
  <c r="I80" i="180"/>
  <c r="J80" i="180"/>
  <c r="K80" i="180"/>
  <c r="L80" i="180"/>
  <c r="M80" i="180"/>
  <c r="N80" i="180"/>
  <c r="O80" i="180"/>
  <c r="P80" i="180"/>
  <c r="Q80" i="180"/>
  <c r="R80" i="180"/>
  <c r="S80" i="180"/>
  <c r="T80" i="180"/>
  <c r="U80" i="180"/>
  <c r="W80" i="180"/>
  <c r="E81" i="180"/>
  <c r="F81" i="180"/>
  <c r="G81" i="180"/>
  <c r="H81" i="180"/>
  <c r="I81" i="180"/>
  <c r="J81" i="180"/>
  <c r="K81" i="180"/>
  <c r="L81" i="180"/>
  <c r="M81" i="180"/>
  <c r="N81" i="180"/>
  <c r="O81" i="180"/>
  <c r="P81" i="180"/>
  <c r="Q81" i="180"/>
  <c r="R81" i="180"/>
  <c r="S81" i="180"/>
  <c r="T81" i="180"/>
  <c r="U81" i="180"/>
  <c r="W81" i="180"/>
  <c r="E82" i="180"/>
  <c r="F82" i="180"/>
  <c r="G82" i="180"/>
  <c r="H82" i="180"/>
  <c r="I82" i="180"/>
  <c r="J82" i="180"/>
  <c r="K82" i="180"/>
  <c r="L82" i="180"/>
  <c r="M82" i="180"/>
  <c r="N82" i="180"/>
  <c r="O82" i="180"/>
  <c r="P82" i="180"/>
  <c r="Q82" i="180"/>
  <c r="R82" i="180"/>
  <c r="S82" i="180"/>
  <c r="T82" i="180"/>
  <c r="U82" i="180"/>
  <c r="W82" i="180"/>
  <c r="E83" i="180"/>
  <c r="F83" i="180"/>
  <c r="G83" i="180"/>
  <c r="H83" i="180"/>
  <c r="I83" i="180"/>
  <c r="J83" i="180"/>
  <c r="K83" i="180"/>
  <c r="L83" i="180"/>
  <c r="M83" i="180"/>
  <c r="N83" i="180"/>
  <c r="O83" i="180"/>
  <c r="P83" i="180"/>
  <c r="Q83" i="180"/>
  <c r="R83" i="180"/>
  <c r="S83" i="180"/>
  <c r="T83" i="180"/>
  <c r="U83" i="180"/>
  <c r="W83" i="180"/>
  <c r="E84" i="180"/>
  <c r="F84" i="180"/>
  <c r="G84" i="180"/>
  <c r="H84" i="180"/>
  <c r="I84" i="180"/>
  <c r="J84" i="180"/>
  <c r="K84" i="180"/>
  <c r="L84" i="180"/>
  <c r="M84" i="180"/>
  <c r="N84" i="180"/>
  <c r="O84" i="180"/>
  <c r="P84" i="180"/>
  <c r="Q84" i="180"/>
  <c r="R84" i="180"/>
  <c r="S84" i="180"/>
  <c r="T84" i="180"/>
  <c r="U84" i="180"/>
  <c r="W84" i="180"/>
  <c r="E85" i="180"/>
  <c r="F85" i="180"/>
  <c r="G85" i="180"/>
  <c r="H85" i="180"/>
  <c r="I85" i="180"/>
  <c r="J85" i="180"/>
  <c r="K85" i="180"/>
  <c r="L85" i="180"/>
  <c r="M85" i="180"/>
  <c r="N85" i="180"/>
  <c r="O85" i="180"/>
  <c r="P85" i="180"/>
  <c r="Q85" i="180"/>
  <c r="R85" i="180"/>
  <c r="S85" i="180"/>
  <c r="T85" i="180"/>
  <c r="U85" i="180"/>
  <c r="W85" i="180"/>
  <c r="E86" i="180"/>
  <c r="F86" i="180"/>
  <c r="G86" i="180"/>
  <c r="H86" i="180"/>
  <c r="I86" i="180"/>
  <c r="J86" i="180"/>
  <c r="K86" i="180"/>
  <c r="L86" i="180"/>
  <c r="M86" i="180"/>
  <c r="N86" i="180"/>
  <c r="O86" i="180"/>
  <c r="P86" i="180"/>
  <c r="Q86" i="180"/>
  <c r="R86" i="180"/>
  <c r="S86" i="180"/>
  <c r="T86" i="180"/>
  <c r="U86" i="180"/>
  <c r="W86" i="180"/>
  <c r="E87" i="180"/>
  <c r="F87" i="180"/>
  <c r="G87" i="180"/>
  <c r="H87" i="180"/>
  <c r="I87" i="180"/>
  <c r="J87" i="180"/>
  <c r="K87" i="180"/>
  <c r="L87" i="180"/>
  <c r="M87" i="180"/>
  <c r="N87" i="180"/>
  <c r="O87" i="180"/>
  <c r="P87" i="180"/>
  <c r="Q87" i="180"/>
  <c r="R87" i="180"/>
  <c r="S87" i="180"/>
  <c r="T87" i="180"/>
  <c r="U87" i="180"/>
  <c r="W87" i="180"/>
  <c r="E88" i="180"/>
  <c r="F88" i="180"/>
  <c r="G88" i="180"/>
  <c r="H88" i="180"/>
  <c r="I88" i="180"/>
  <c r="J88" i="180"/>
  <c r="K88" i="180"/>
  <c r="L88" i="180"/>
  <c r="M88" i="180"/>
  <c r="N88" i="180"/>
  <c r="O88" i="180"/>
  <c r="P88" i="180"/>
  <c r="Q88" i="180"/>
  <c r="R88" i="180"/>
  <c r="S88" i="180"/>
  <c r="T88" i="180"/>
  <c r="U88" i="180"/>
  <c r="W88" i="180"/>
  <c r="E89" i="180"/>
  <c r="F89" i="180"/>
  <c r="G89" i="180"/>
  <c r="H89" i="180"/>
  <c r="I89" i="180"/>
  <c r="J89" i="180"/>
  <c r="K89" i="180"/>
  <c r="L89" i="180"/>
  <c r="M89" i="180"/>
  <c r="N89" i="180"/>
  <c r="O89" i="180"/>
  <c r="P89" i="180"/>
  <c r="Q89" i="180"/>
  <c r="R89" i="180"/>
  <c r="S89" i="180"/>
  <c r="T89" i="180"/>
  <c r="U89" i="180"/>
  <c r="W89" i="180"/>
  <c r="E90" i="180"/>
  <c r="F90" i="180"/>
  <c r="G90" i="180"/>
  <c r="H90" i="180"/>
  <c r="I90" i="180"/>
  <c r="J90" i="180"/>
  <c r="K90" i="180"/>
  <c r="L90" i="180"/>
  <c r="M90" i="180"/>
  <c r="N90" i="180"/>
  <c r="O90" i="180"/>
  <c r="P90" i="180"/>
  <c r="Q90" i="180"/>
  <c r="R90" i="180"/>
  <c r="S90" i="180"/>
  <c r="T90" i="180"/>
  <c r="U90" i="180"/>
  <c r="W90" i="180"/>
  <c r="E91" i="180"/>
  <c r="F91" i="180"/>
  <c r="G91" i="180"/>
  <c r="H91" i="180"/>
  <c r="I91" i="180"/>
  <c r="J91" i="180"/>
  <c r="K91" i="180"/>
  <c r="L91" i="180"/>
  <c r="M91" i="180"/>
  <c r="N91" i="180"/>
  <c r="O91" i="180"/>
  <c r="P91" i="180"/>
  <c r="Q91" i="180"/>
  <c r="R91" i="180"/>
  <c r="S91" i="180"/>
  <c r="T91" i="180"/>
  <c r="U91" i="180"/>
  <c r="W91" i="180"/>
  <c r="E92" i="180"/>
  <c r="F92" i="180"/>
  <c r="G92" i="180"/>
  <c r="H92" i="180"/>
  <c r="I92" i="180"/>
  <c r="J92" i="180"/>
  <c r="K92" i="180"/>
  <c r="L92" i="180"/>
  <c r="M92" i="180"/>
  <c r="N92" i="180"/>
  <c r="O92" i="180"/>
  <c r="P92" i="180"/>
  <c r="Q92" i="180"/>
  <c r="R92" i="180"/>
  <c r="S92" i="180"/>
  <c r="T92" i="180"/>
  <c r="U92" i="180"/>
  <c r="W92" i="180"/>
  <c r="E93" i="180"/>
  <c r="F93" i="180"/>
  <c r="G93" i="180"/>
  <c r="H93" i="180"/>
  <c r="I93" i="180"/>
  <c r="J93" i="180"/>
  <c r="K93" i="180"/>
  <c r="L93" i="180"/>
  <c r="M93" i="180"/>
  <c r="N93" i="180"/>
  <c r="O93" i="180"/>
  <c r="P93" i="180"/>
  <c r="Q93" i="180"/>
  <c r="R93" i="180"/>
  <c r="S93" i="180"/>
  <c r="T93" i="180"/>
  <c r="U93" i="180"/>
  <c r="W93" i="180"/>
  <c r="E94" i="180"/>
  <c r="F94" i="180"/>
  <c r="G94" i="180"/>
  <c r="H94" i="180"/>
  <c r="I94" i="180"/>
  <c r="J94" i="180"/>
  <c r="K94" i="180"/>
  <c r="L94" i="180"/>
  <c r="M94" i="180"/>
  <c r="N94" i="180"/>
  <c r="O94" i="180"/>
  <c r="P94" i="180"/>
  <c r="Q94" i="180"/>
  <c r="R94" i="180"/>
  <c r="S94" i="180"/>
  <c r="T94" i="180"/>
  <c r="U94" i="180"/>
  <c r="W94" i="180"/>
  <c r="E95" i="180"/>
  <c r="F95" i="180"/>
  <c r="G95" i="180"/>
  <c r="H95" i="180"/>
  <c r="I95" i="180"/>
  <c r="J95" i="180"/>
  <c r="K95" i="180"/>
  <c r="L95" i="180"/>
  <c r="M95" i="180"/>
  <c r="N95" i="180"/>
  <c r="O95" i="180"/>
  <c r="P95" i="180"/>
  <c r="Q95" i="180"/>
  <c r="R95" i="180"/>
  <c r="S95" i="180"/>
  <c r="T95" i="180"/>
  <c r="U95" i="180"/>
  <c r="W95" i="180"/>
  <c r="E96" i="180"/>
  <c r="F96" i="180"/>
  <c r="G96" i="180"/>
  <c r="H96" i="180"/>
  <c r="I96" i="180"/>
  <c r="J96" i="180"/>
  <c r="K96" i="180"/>
  <c r="L96" i="180"/>
  <c r="M96" i="180"/>
  <c r="N96" i="180"/>
  <c r="O96" i="180"/>
  <c r="P96" i="180"/>
  <c r="Q96" i="180"/>
  <c r="R96" i="180"/>
  <c r="S96" i="180"/>
  <c r="T96" i="180"/>
  <c r="U96" i="180"/>
  <c r="W96" i="180"/>
  <c r="E97" i="180"/>
  <c r="F97" i="180"/>
  <c r="G97" i="180"/>
  <c r="H97" i="180"/>
  <c r="I97" i="180"/>
  <c r="J97" i="180"/>
  <c r="K97" i="180"/>
  <c r="L97" i="180"/>
  <c r="M97" i="180"/>
  <c r="N97" i="180"/>
  <c r="O97" i="180"/>
  <c r="P97" i="180"/>
  <c r="Q97" i="180"/>
  <c r="R97" i="180"/>
  <c r="S97" i="180"/>
  <c r="T97" i="180"/>
  <c r="U97" i="180"/>
  <c r="W97" i="180"/>
  <c r="E98" i="180"/>
  <c r="F98" i="180"/>
  <c r="G98" i="180"/>
  <c r="H98" i="180"/>
  <c r="I98" i="180"/>
  <c r="J98" i="180"/>
  <c r="K98" i="180"/>
  <c r="L98" i="180"/>
  <c r="M98" i="180"/>
  <c r="N98" i="180"/>
  <c r="O98" i="180"/>
  <c r="P98" i="180"/>
  <c r="Q98" i="180"/>
  <c r="R98" i="180"/>
  <c r="S98" i="180"/>
  <c r="T98" i="180"/>
  <c r="U98" i="180"/>
  <c r="W98" i="180"/>
  <c r="E99" i="180"/>
  <c r="F99" i="180"/>
  <c r="G99" i="180"/>
  <c r="H99" i="180"/>
  <c r="I99" i="180"/>
  <c r="J99" i="180"/>
  <c r="K99" i="180"/>
  <c r="L99" i="180"/>
  <c r="M99" i="180"/>
  <c r="N99" i="180"/>
  <c r="O99" i="180"/>
  <c r="P99" i="180"/>
  <c r="Q99" i="180"/>
  <c r="R99" i="180"/>
  <c r="S99" i="180"/>
  <c r="T99" i="180"/>
  <c r="U99" i="180"/>
  <c r="W99" i="180"/>
  <c r="E100" i="180"/>
  <c r="F100" i="180"/>
  <c r="G100" i="180"/>
  <c r="H100" i="180"/>
  <c r="I100" i="180"/>
  <c r="J100" i="180"/>
  <c r="K100" i="180"/>
  <c r="L100" i="180"/>
  <c r="M100" i="180"/>
  <c r="N100" i="180"/>
  <c r="O100" i="180"/>
  <c r="P100" i="180"/>
  <c r="Q100" i="180"/>
  <c r="R100" i="180"/>
  <c r="S100" i="180"/>
  <c r="T100" i="180"/>
  <c r="U100" i="180"/>
  <c r="W100" i="180"/>
  <c r="E101" i="180"/>
  <c r="F101" i="180"/>
  <c r="G101" i="180"/>
  <c r="H101" i="180"/>
  <c r="I101" i="180"/>
  <c r="J101" i="180"/>
  <c r="K101" i="180"/>
  <c r="L101" i="180"/>
  <c r="M101" i="180"/>
  <c r="N101" i="180"/>
  <c r="O101" i="180"/>
  <c r="P101" i="180"/>
  <c r="Q101" i="180"/>
  <c r="R101" i="180"/>
  <c r="S101" i="180"/>
  <c r="T101" i="180"/>
  <c r="U101" i="180"/>
  <c r="W101" i="180"/>
  <c r="E102" i="180"/>
  <c r="F102" i="180"/>
  <c r="G102" i="180"/>
  <c r="H102" i="180"/>
  <c r="I102" i="180"/>
  <c r="J102" i="180"/>
  <c r="K102" i="180"/>
  <c r="L102" i="180"/>
  <c r="M102" i="180"/>
  <c r="N102" i="180"/>
  <c r="O102" i="180"/>
  <c r="P102" i="180"/>
  <c r="Q102" i="180"/>
  <c r="R102" i="180"/>
  <c r="S102" i="180"/>
  <c r="T102" i="180"/>
  <c r="U102" i="180"/>
  <c r="W102" i="180"/>
  <c r="E103" i="180"/>
  <c r="F103" i="180"/>
  <c r="G103" i="180"/>
  <c r="H103" i="180"/>
  <c r="I103" i="180"/>
  <c r="J103" i="180"/>
  <c r="K103" i="180"/>
  <c r="L103" i="180"/>
  <c r="M103" i="180"/>
  <c r="N103" i="180"/>
  <c r="O103" i="180"/>
  <c r="P103" i="180"/>
  <c r="Q103" i="180"/>
  <c r="R103" i="180"/>
  <c r="S103" i="180"/>
  <c r="T103" i="180"/>
  <c r="U103" i="180"/>
  <c r="W103" i="180"/>
  <c r="E104" i="180"/>
  <c r="F104" i="180"/>
  <c r="G104" i="180"/>
  <c r="H104" i="180"/>
  <c r="I104" i="180"/>
  <c r="J104" i="180"/>
  <c r="K104" i="180"/>
  <c r="L104" i="180"/>
  <c r="M104" i="180"/>
  <c r="N104" i="180"/>
  <c r="O104" i="180"/>
  <c r="P104" i="180"/>
  <c r="Q104" i="180"/>
  <c r="R104" i="180"/>
  <c r="S104" i="180"/>
  <c r="T104" i="180"/>
  <c r="U104" i="180"/>
  <c r="W104" i="180"/>
  <c r="E105" i="180"/>
  <c r="F105" i="180"/>
  <c r="G105" i="180"/>
  <c r="H105" i="180"/>
  <c r="I105" i="180"/>
  <c r="J105" i="180"/>
  <c r="K105" i="180"/>
  <c r="L105" i="180"/>
  <c r="M105" i="180"/>
  <c r="N105" i="180"/>
  <c r="O105" i="180"/>
  <c r="P105" i="180"/>
  <c r="Q105" i="180"/>
  <c r="R105" i="180"/>
  <c r="S105" i="180"/>
  <c r="T105" i="180"/>
  <c r="U105" i="180"/>
  <c r="W105" i="180"/>
  <c r="E106" i="180"/>
  <c r="F106" i="180"/>
  <c r="G106" i="180"/>
  <c r="H106" i="180"/>
  <c r="I106" i="180"/>
  <c r="J106" i="180"/>
  <c r="K106" i="180"/>
  <c r="L106" i="180"/>
  <c r="M106" i="180"/>
  <c r="N106" i="180"/>
  <c r="O106" i="180"/>
  <c r="P106" i="180"/>
  <c r="Q106" i="180"/>
  <c r="R106" i="180"/>
  <c r="S106" i="180"/>
  <c r="T106" i="180"/>
  <c r="U106" i="180"/>
  <c r="W106" i="180"/>
  <c r="E107" i="180"/>
  <c r="F107" i="180"/>
  <c r="G107" i="180"/>
  <c r="H107" i="180"/>
  <c r="I107" i="180"/>
  <c r="J107" i="180"/>
  <c r="K107" i="180"/>
  <c r="L107" i="180"/>
  <c r="M107" i="180"/>
  <c r="N107" i="180"/>
  <c r="O107" i="180"/>
  <c r="P107" i="180"/>
  <c r="Q107" i="180"/>
  <c r="R107" i="180"/>
  <c r="S107" i="180"/>
  <c r="T107" i="180"/>
  <c r="U107" i="180"/>
  <c r="W107" i="180"/>
  <c r="W12" i="180"/>
  <c r="F12" i="180"/>
  <c r="G12" i="180"/>
  <c r="H12" i="180"/>
  <c r="I12" i="180"/>
  <c r="J12" i="180"/>
  <c r="K12" i="180"/>
  <c r="L12" i="180"/>
  <c r="M12" i="180"/>
  <c r="N12" i="180"/>
  <c r="O12" i="180"/>
  <c r="P12" i="180"/>
  <c r="Q12" i="180"/>
  <c r="R12" i="180"/>
  <c r="S12" i="180"/>
  <c r="T12" i="180"/>
  <c r="U12" i="180"/>
  <c r="E12" i="180"/>
  <c r="C92" i="180"/>
  <c r="C84" i="180"/>
  <c r="C76" i="180"/>
  <c r="C68" i="180"/>
  <c r="C60" i="180"/>
  <c r="C52" i="180"/>
  <c r="C44" i="180"/>
  <c r="C36" i="180"/>
  <c r="C28" i="180"/>
  <c r="C20" i="180"/>
  <c r="C12" i="180"/>
  <c r="B8" i="180"/>
  <c r="D3" i="180"/>
  <c r="D2" i="180"/>
  <c r="E13" i="179"/>
  <c r="F13" i="179"/>
  <c r="G13" i="179"/>
  <c r="H13" i="179"/>
  <c r="I13" i="179"/>
  <c r="J13" i="179"/>
  <c r="K13" i="179"/>
  <c r="L13" i="179"/>
  <c r="M13" i="179"/>
  <c r="N13" i="179"/>
  <c r="O13" i="179"/>
  <c r="P13" i="179"/>
  <c r="Q13" i="179"/>
  <c r="R13" i="179"/>
  <c r="S13" i="179"/>
  <c r="T13" i="179"/>
  <c r="U13" i="179"/>
  <c r="W13" i="179"/>
  <c r="E14" i="179"/>
  <c r="F14" i="179"/>
  <c r="G14" i="179"/>
  <c r="H14" i="179"/>
  <c r="I14" i="179"/>
  <c r="J14" i="179"/>
  <c r="K14" i="179"/>
  <c r="L14" i="179"/>
  <c r="M14" i="179"/>
  <c r="N14" i="179"/>
  <c r="O14" i="179"/>
  <c r="P14" i="179"/>
  <c r="Q14" i="179"/>
  <c r="R14" i="179"/>
  <c r="S14" i="179"/>
  <c r="T14" i="179"/>
  <c r="U14" i="179"/>
  <c r="W14" i="179"/>
  <c r="E15" i="179"/>
  <c r="F15" i="179"/>
  <c r="G15" i="179"/>
  <c r="H15" i="179"/>
  <c r="I15" i="179"/>
  <c r="J15" i="179"/>
  <c r="K15" i="179"/>
  <c r="L15" i="179"/>
  <c r="M15" i="179"/>
  <c r="N15" i="179"/>
  <c r="O15" i="179"/>
  <c r="P15" i="179"/>
  <c r="Q15" i="179"/>
  <c r="R15" i="179"/>
  <c r="S15" i="179"/>
  <c r="T15" i="179"/>
  <c r="U15" i="179"/>
  <c r="W15" i="179"/>
  <c r="E16" i="179"/>
  <c r="F16" i="179"/>
  <c r="G16" i="179"/>
  <c r="H16" i="179"/>
  <c r="I16" i="179"/>
  <c r="J16" i="179"/>
  <c r="K16" i="179"/>
  <c r="L16" i="179"/>
  <c r="M16" i="179"/>
  <c r="N16" i="179"/>
  <c r="O16" i="179"/>
  <c r="P16" i="179"/>
  <c r="Q16" i="179"/>
  <c r="R16" i="179"/>
  <c r="S16" i="179"/>
  <c r="T16" i="179"/>
  <c r="U16" i="179"/>
  <c r="W16" i="179"/>
  <c r="E17" i="179"/>
  <c r="F17" i="179"/>
  <c r="G17" i="179"/>
  <c r="H17" i="179"/>
  <c r="I17" i="179"/>
  <c r="J17" i="179"/>
  <c r="K17" i="179"/>
  <c r="L17" i="179"/>
  <c r="M17" i="179"/>
  <c r="N17" i="179"/>
  <c r="O17" i="179"/>
  <c r="P17" i="179"/>
  <c r="Q17" i="179"/>
  <c r="R17" i="179"/>
  <c r="S17" i="179"/>
  <c r="T17" i="179"/>
  <c r="U17" i="179"/>
  <c r="W17" i="179"/>
  <c r="E18" i="179"/>
  <c r="F18" i="179"/>
  <c r="G18" i="179"/>
  <c r="H18" i="179"/>
  <c r="I18" i="179"/>
  <c r="J18" i="179"/>
  <c r="K18" i="179"/>
  <c r="L18" i="179"/>
  <c r="M18" i="179"/>
  <c r="N18" i="179"/>
  <c r="O18" i="179"/>
  <c r="P18" i="179"/>
  <c r="Q18" i="179"/>
  <c r="R18" i="179"/>
  <c r="S18" i="179"/>
  <c r="T18" i="179"/>
  <c r="U18" i="179"/>
  <c r="W18" i="179"/>
  <c r="E19" i="179"/>
  <c r="F19" i="179"/>
  <c r="G19" i="179"/>
  <c r="H19" i="179"/>
  <c r="I19" i="179"/>
  <c r="J19" i="179"/>
  <c r="K19" i="179"/>
  <c r="L19" i="179"/>
  <c r="M19" i="179"/>
  <c r="N19" i="179"/>
  <c r="O19" i="179"/>
  <c r="P19" i="179"/>
  <c r="Q19" i="179"/>
  <c r="R19" i="179"/>
  <c r="S19" i="179"/>
  <c r="T19" i="179"/>
  <c r="U19" i="179"/>
  <c r="W19" i="179"/>
  <c r="E20" i="179"/>
  <c r="F20" i="179"/>
  <c r="G20" i="179"/>
  <c r="H20" i="179"/>
  <c r="I20" i="179"/>
  <c r="J20" i="179"/>
  <c r="K20" i="179"/>
  <c r="L20" i="179"/>
  <c r="M20" i="179"/>
  <c r="N20" i="179"/>
  <c r="O20" i="179"/>
  <c r="P20" i="179"/>
  <c r="Q20" i="179"/>
  <c r="R20" i="179"/>
  <c r="S20" i="179"/>
  <c r="T20" i="179"/>
  <c r="U20" i="179"/>
  <c r="W20" i="179"/>
  <c r="E21" i="179"/>
  <c r="F21" i="179"/>
  <c r="G21" i="179"/>
  <c r="H21" i="179"/>
  <c r="I21" i="179"/>
  <c r="J21" i="179"/>
  <c r="K21" i="179"/>
  <c r="L21" i="179"/>
  <c r="M21" i="179"/>
  <c r="N21" i="179"/>
  <c r="O21" i="179"/>
  <c r="P21" i="179"/>
  <c r="Q21" i="179"/>
  <c r="R21" i="179"/>
  <c r="S21" i="179"/>
  <c r="T21" i="179"/>
  <c r="U21" i="179"/>
  <c r="W21" i="179"/>
  <c r="E22" i="179"/>
  <c r="F22" i="179"/>
  <c r="G22" i="179"/>
  <c r="H22" i="179"/>
  <c r="I22" i="179"/>
  <c r="J22" i="179"/>
  <c r="K22" i="179"/>
  <c r="L22" i="179"/>
  <c r="M22" i="179"/>
  <c r="N22" i="179"/>
  <c r="O22" i="179"/>
  <c r="P22" i="179"/>
  <c r="Q22" i="179"/>
  <c r="R22" i="179"/>
  <c r="S22" i="179"/>
  <c r="T22" i="179"/>
  <c r="U22" i="179"/>
  <c r="W22" i="179"/>
  <c r="E23" i="179"/>
  <c r="F23" i="179"/>
  <c r="G23" i="179"/>
  <c r="H23" i="179"/>
  <c r="I23" i="179"/>
  <c r="J23" i="179"/>
  <c r="K23" i="179"/>
  <c r="L23" i="179"/>
  <c r="M23" i="179"/>
  <c r="N23" i="179"/>
  <c r="O23" i="179"/>
  <c r="P23" i="179"/>
  <c r="Q23" i="179"/>
  <c r="R23" i="179"/>
  <c r="S23" i="179"/>
  <c r="T23" i="179"/>
  <c r="U23" i="179"/>
  <c r="W23" i="179"/>
  <c r="E24" i="179"/>
  <c r="F24" i="179"/>
  <c r="G24" i="179"/>
  <c r="H24" i="179"/>
  <c r="I24" i="179"/>
  <c r="J24" i="179"/>
  <c r="K24" i="179"/>
  <c r="L24" i="179"/>
  <c r="M24" i="179"/>
  <c r="N24" i="179"/>
  <c r="O24" i="179"/>
  <c r="P24" i="179"/>
  <c r="Q24" i="179"/>
  <c r="R24" i="179"/>
  <c r="S24" i="179"/>
  <c r="T24" i="179"/>
  <c r="U24" i="179"/>
  <c r="W24" i="179"/>
  <c r="E25" i="179"/>
  <c r="F25" i="179"/>
  <c r="G25" i="179"/>
  <c r="H25" i="179"/>
  <c r="I25" i="179"/>
  <c r="J25" i="179"/>
  <c r="K25" i="179"/>
  <c r="L25" i="179"/>
  <c r="M25" i="179"/>
  <c r="N25" i="179"/>
  <c r="O25" i="179"/>
  <c r="P25" i="179"/>
  <c r="Q25" i="179"/>
  <c r="R25" i="179"/>
  <c r="S25" i="179"/>
  <c r="T25" i="179"/>
  <c r="U25" i="179"/>
  <c r="W25" i="179"/>
  <c r="E26" i="179"/>
  <c r="F26" i="179"/>
  <c r="G26" i="179"/>
  <c r="H26" i="179"/>
  <c r="I26" i="179"/>
  <c r="J26" i="179"/>
  <c r="K26" i="179"/>
  <c r="L26" i="179"/>
  <c r="M26" i="179"/>
  <c r="N26" i="179"/>
  <c r="O26" i="179"/>
  <c r="P26" i="179"/>
  <c r="Q26" i="179"/>
  <c r="R26" i="179"/>
  <c r="S26" i="179"/>
  <c r="T26" i="179"/>
  <c r="U26" i="179"/>
  <c r="W26" i="179"/>
  <c r="E27" i="179"/>
  <c r="F27" i="179"/>
  <c r="G27" i="179"/>
  <c r="H27" i="179"/>
  <c r="I27" i="179"/>
  <c r="J27" i="179"/>
  <c r="K27" i="179"/>
  <c r="L27" i="179"/>
  <c r="M27" i="179"/>
  <c r="N27" i="179"/>
  <c r="O27" i="179"/>
  <c r="P27" i="179"/>
  <c r="Q27" i="179"/>
  <c r="R27" i="179"/>
  <c r="S27" i="179"/>
  <c r="T27" i="179"/>
  <c r="U27" i="179"/>
  <c r="W27" i="179"/>
  <c r="W12" i="179"/>
  <c r="X12" i="179" s="1"/>
  <c r="F12" i="179"/>
  <c r="G12" i="179"/>
  <c r="H12" i="179"/>
  <c r="I12" i="179"/>
  <c r="J12" i="179"/>
  <c r="K12" i="179"/>
  <c r="L12" i="179"/>
  <c r="M12" i="179"/>
  <c r="N12" i="179"/>
  <c r="O12" i="179"/>
  <c r="P12" i="179"/>
  <c r="Q12" i="179"/>
  <c r="R12" i="179"/>
  <c r="S12" i="179"/>
  <c r="T12" i="179"/>
  <c r="U12" i="179"/>
  <c r="E12" i="179"/>
  <c r="C12" i="179"/>
  <c r="B8" i="179"/>
  <c r="D2" i="179"/>
  <c r="D3" i="179"/>
  <c r="E13" i="178"/>
  <c r="F13" i="178"/>
  <c r="G13" i="178"/>
  <c r="H13" i="178"/>
  <c r="I13" i="178"/>
  <c r="J13" i="178"/>
  <c r="K13" i="178"/>
  <c r="L13" i="178"/>
  <c r="M13" i="178"/>
  <c r="N13" i="178"/>
  <c r="O13" i="178"/>
  <c r="P13" i="178"/>
  <c r="Q13" i="178"/>
  <c r="R13" i="178"/>
  <c r="S13" i="178"/>
  <c r="T13" i="178"/>
  <c r="U13" i="178"/>
  <c r="W13" i="178"/>
  <c r="E14" i="178"/>
  <c r="F14" i="178"/>
  <c r="G14" i="178"/>
  <c r="H14" i="178"/>
  <c r="I14" i="178"/>
  <c r="J14" i="178"/>
  <c r="K14" i="178"/>
  <c r="L14" i="178"/>
  <c r="M14" i="178"/>
  <c r="N14" i="178"/>
  <c r="O14" i="178"/>
  <c r="P14" i="178"/>
  <c r="Q14" i="178"/>
  <c r="R14" i="178"/>
  <c r="S14" i="178"/>
  <c r="T14" i="178"/>
  <c r="U14" i="178"/>
  <c r="W14" i="178"/>
  <c r="E15" i="178"/>
  <c r="F15" i="178"/>
  <c r="G15" i="178"/>
  <c r="H15" i="178"/>
  <c r="I15" i="178"/>
  <c r="J15" i="178"/>
  <c r="K15" i="178"/>
  <c r="L15" i="178"/>
  <c r="M15" i="178"/>
  <c r="N15" i="178"/>
  <c r="O15" i="178"/>
  <c r="P15" i="178"/>
  <c r="Q15" i="178"/>
  <c r="R15" i="178"/>
  <c r="S15" i="178"/>
  <c r="T15" i="178"/>
  <c r="U15" i="178"/>
  <c r="W15" i="178"/>
  <c r="E16" i="178"/>
  <c r="F16" i="178"/>
  <c r="G16" i="178"/>
  <c r="H16" i="178"/>
  <c r="I16" i="178"/>
  <c r="J16" i="178"/>
  <c r="K16" i="178"/>
  <c r="L16" i="178"/>
  <c r="M16" i="178"/>
  <c r="N16" i="178"/>
  <c r="O16" i="178"/>
  <c r="P16" i="178"/>
  <c r="Q16" i="178"/>
  <c r="R16" i="178"/>
  <c r="S16" i="178"/>
  <c r="T16" i="178"/>
  <c r="U16" i="178"/>
  <c r="W16" i="178"/>
  <c r="E17" i="178"/>
  <c r="F17" i="178"/>
  <c r="G17" i="178"/>
  <c r="H17" i="178"/>
  <c r="I17" i="178"/>
  <c r="J17" i="178"/>
  <c r="K17" i="178"/>
  <c r="L17" i="178"/>
  <c r="M17" i="178"/>
  <c r="N17" i="178"/>
  <c r="O17" i="178"/>
  <c r="P17" i="178"/>
  <c r="Q17" i="178"/>
  <c r="R17" i="178"/>
  <c r="S17" i="178"/>
  <c r="T17" i="178"/>
  <c r="U17" i="178"/>
  <c r="W17" i="178"/>
  <c r="E18" i="178"/>
  <c r="F18" i="178"/>
  <c r="G18" i="178"/>
  <c r="H18" i="178"/>
  <c r="I18" i="178"/>
  <c r="J18" i="178"/>
  <c r="K18" i="178"/>
  <c r="L18" i="178"/>
  <c r="M18" i="178"/>
  <c r="N18" i="178"/>
  <c r="O18" i="178"/>
  <c r="P18" i="178"/>
  <c r="Q18" i="178"/>
  <c r="R18" i="178"/>
  <c r="S18" i="178"/>
  <c r="T18" i="178"/>
  <c r="U18" i="178"/>
  <c r="W18" i="178"/>
  <c r="E19" i="178"/>
  <c r="F19" i="178"/>
  <c r="G19" i="178"/>
  <c r="H19" i="178"/>
  <c r="I19" i="178"/>
  <c r="J19" i="178"/>
  <c r="K19" i="178"/>
  <c r="L19" i="178"/>
  <c r="M19" i="178"/>
  <c r="N19" i="178"/>
  <c r="O19" i="178"/>
  <c r="P19" i="178"/>
  <c r="Q19" i="178"/>
  <c r="R19" i="178"/>
  <c r="S19" i="178"/>
  <c r="T19" i="178"/>
  <c r="U19" i="178"/>
  <c r="W19" i="178"/>
  <c r="E20" i="178"/>
  <c r="F20" i="178"/>
  <c r="G20" i="178"/>
  <c r="H20" i="178"/>
  <c r="I20" i="178"/>
  <c r="J20" i="178"/>
  <c r="K20" i="178"/>
  <c r="L20" i="178"/>
  <c r="M20" i="178"/>
  <c r="N20" i="178"/>
  <c r="O20" i="178"/>
  <c r="P20" i="178"/>
  <c r="Q20" i="178"/>
  <c r="R20" i="178"/>
  <c r="S20" i="178"/>
  <c r="T20" i="178"/>
  <c r="U20" i="178"/>
  <c r="W20" i="178"/>
  <c r="X20" i="178" s="1"/>
  <c r="E21" i="178"/>
  <c r="F21" i="178"/>
  <c r="G21" i="178"/>
  <c r="H21" i="178"/>
  <c r="I21" i="178"/>
  <c r="J21" i="178"/>
  <c r="K21" i="178"/>
  <c r="L21" i="178"/>
  <c r="M21" i="178"/>
  <c r="N21" i="178"/>
  <c r="O21" i="178"/>
  <c r="P21" i="178"/>
  <c r="Q21" i="178"/>
  <c r="R21" i="178"/>
  <c r="S21" i="178"/>
  <c r="T21" i="178"/>
  <c r="U21" i="178"/>
  <c r="W21" i="178"/>
  <c r="E22" i="178"/>
  <c r="F22" i="178"/>
  <c r="G22" i="178"/>
  <c r="H22" i="178"/>
  <c r="I22" i="178"/>
  <c r="J22" i="178"/>
  <c r="K22" i="178"/>
  <c r="L22" i="178"/>
  <c r="M22" i="178"/>
  <c r="N22" i="178"/>
  <c r="O22" i="178"/>
  <c r="P22" i="178"/>
  <c r="Q22" i="178"/>
  <c r="R22" i="178"/>
  <c r="S22" i="178"/>
  <c r="T22" i="178"/>
  <c r="U22" i="178"/>
  <c r="W22" i="178"/>
  <c r="E23" i="178"/>
  <c r="F23" i="178"/>
  <c r="G23" i="178"/>
  <c r="H23" i="178"/>
  <c r="I23" i="178"/>
  <c r="J23" i="178"/>
  <c r="K23" i="178"/>
  <c r="L23" i="178"/>
  <c r="M23" i="178"/>
  <c r="N23" i="178"/>
  <c r="O23" i="178"/>
  <c r="P23" i="178"/>
  <c r="Q23" i="178"/>
  <c r="R23" i="178"/>
  <c r="S23" i="178"/>
  <c r="T23" i="178"/>
  <c r="U23" i="178"/>
  <c r="W23" i="178"/>
  <c r="E24" i="178"/>
  <c r="F24" i="178"/>
  <c r="G24" i="178"/>
  <c r="H24" i="178"/>
  <c r="I24" i="178"/>
  <c r="J24" i="178"/>
  <c r="K24" i="178"/>
  <c r="L24" i="178"/>
  <c r="M24" i="178"/>
  <c r="N24" i="178"/>
  <c r="O24" i="178"/>
  <c r="P24" i="178"/>
  <c r="Q24" i="178"/>
  <c r="R24" i="178"/>
  <c r="S24" i="178"/>
  <c r="T24" i="178"/>
  <c r="U24" i="178"/>
  <c r="W24" i="178"/>
  <c r="E25" i="178"/>
  <c r="F25" i="178"/>
  <c r="G25" i="178"/>
  <c r="H25" i="178"/>
  <c r="I25" i="178"/>
  <c r="J25" i="178"/>
  <c r="K25" i="178"/>
  <c r="L25" i="178"/>
  <c r="M25" i="178"/>
  <c r="N25" i="178"/>
  <c r="O25" i="178"/>
  <c r="P25" i="178"/>
  <c r="Q25" i="178"/>
  <c r="R25" i="178"/>
  <c r="S25" i="178"/>
  <c r="T25" i="178"/>
  <c r="U25" i="178"/>
  <c r="W25" i="178"/>
  <c r="E26" i="178"/>
  <c r="F26" i="178"/>
  <c r="G26" i="178"/>
  <c r="H26" i="178"/>
  <c r="I26" i="178"/>
  <c r="J26" i="178"/>
  <c r="K26" i="178"/>
  <c r="L26" i="178"/>
  <c r="M26" i="178"/>
  <c r="N26" i="178"/>
  <c r="O26" i="178"/>
  <c r="P26" i="178"/>
  <c r="Q26" i="178"/>
  <c r="R26" i="178"/>
  <c r="S26" i="178"/>
  <c r="T26" i="178"/>
  <c r="U26" i="178"/>
  <c r="W26" i="178"/>
  <c r="E27" i="178"/>
  <c r="F27" i="178"/>
  <c r="G27" i="178"/>
  <c r="H27" i="178"/>
  <c r="I27" i="178"/>
  <c r="J27" i="178"/>
  <c r="K27" i="178"/>
  <c r="L27" i="178"/>
  <c r="M27" i="178"/>
  <c r="N27" i="178"/>
  <c r="O27" i="178"/>
  <c r="P27" i="178"/>
  <c r="Q27" i="178"/>
  <c r="R27" i="178"/>
  <c r="S27" i="178"/>
  <c r="T27" i="178"/>
  <c r="U27" i="178"/>
  <c r="W27" i="178"/>
  <c r="W12" i="178"/>
  <c r="F12" i="178"/>
  <c r="G12" i="178"/>
  <c r="H12" i="178"/>
  <c r="I12" i="178"/>
  <c r="J12" i="178"/>
  <c r="K12" i="178"/>
  <c r="L12" i="178"/>
  <c r="M12" i="178"/>
  <c r="N12" i="178"/>
  <c r="O12" i="178"/>
  <c r="P12" i="178"/>
  <c r="Q12" i="178"/>
  <c r="R12" i="178"/>
  <c r="S12" i="178"/>
  <c r="T12" i="178"/>
  <c r="U12" i="178"/>
  <c r="E12" i="178"/>
  <c r="C12" i="178"/>
  <c r="B8" i="178"/>
  <c r="D2" i="178"/>
  <c r="D3" i="178"/>
  <c r="E13" i="177"/>
  <c r="F13" i="177"/>
  <c r="G13" i="177"/>
  <c r="H13" i="177"/>
  <c r="I13" i="177"/>
  <c r="J13" i="177"/>
  <c r="K13" i="177"/>
  <c r="L13" i="177"/>
  <c r="M13" i="177"/>
  <c r="N13" i="177"/>
  <c r="O13" i="177"/>
  <c r="P13" i="177"/>
  <c r="Q13" i="177"/>
  <c r="R13" i="177"/>
  <c r="S13" i="177"/>
  <c r="T13" i="177"/>
  <c r="U13" i="177"/>
  <c r="W13" i="177"/>
  <c r="E14" i="177"/>
  <c r="F14" i="177"/>
  <c r="G14" i="177"/>
  <c r="H14" i="177"/>
  <c r="I14" i="177"/>
  <c r="J14" i="177"/>
  <c r="K14" i="177"/>
  <c r="L14" i="177"/>
  <c r="M14" i="177"/>
  <c r="N14" i="177"/>
  <c r="O14" i="177"/>
  <c r="P14" i="177"/>
  <c r="Q14" i="177"/>
  <c r="R14" i="177"/>
  <c r="S14" i="177"/>
  <c r="T14" i="177"/>
  <c r="U14" i="177"/>
  <c r="W14" i="177"/>
  <c r="E15" i="177"/>
  <c r="F15" i="177"/>
  <c r="G15" i="177"/>
  <c r="H15" i="177"/>
  <c r="I15" i="177"/>
  <c r="J15" i="177"/>
  <c r="K15" i="177"/>
  <c r="L15" i="177"/>
  <c r="M15" i="177"/>
  <c r="N15" i="177"/>
  <c r="O15" i="177"/>
  <c r="P15" i="177"/>
  <c r="Q15" i="177"/>
  <c r="R15" i="177"/>
  <c r="S15" i="177"/>
  <c r="T15" i="177"/>
  <c r="U15" i="177"/>
  <c r="W15" i="177"/>
  <c r="E16" i="177"/>
  <c r="F16" i="177"/>
  <c r="G16" i="177"/>
  <c r="H16" i="177"/>
  <c r="I16" i="177"/>
  <c r="J16" i="177"/>
  <c r="K16" i="177"/>
  <c r="L16" i="177"/>
  <c r="M16" i="177"/>
  <c r="N16" i="177"/>
  <c r="O16" i="177"/>
  <c r="P16" i="177"/>
  <c r="Q16" i="177"/>
  <c r="R16" i="177"/>
  <c r="S16" i="177"/>
  <c r="T16" i="177"/>
  <c r="U16" i="177"/>
  <c r="W16" i="177"/>
  <c r="E17" i="177"/>
  <c r="F17" i="177"/>
  <c r="G17" i="177"/>
  <c r="H17" i="177"/>
  <c r="I17" i="177"/>
  <c r="J17" i="177"/>
  <c r="K17" i="177"/>
  <c r="L17" i="177"/>
  <c r="M17" i="177"/>
  <c r="N17" i="177"/>
  <c r="O17" i="177"/>
  <c r="P17" i="177"/>
  <c r="Q17" i="177"/>
  <c r="R17" i="177"/>
  <c r="S17" i="177"/>
  <c r="T17" i="177"/>
  <c r="U17" i="177"/>
  <c r="W17" i="177"/>
  <c r="E18" i="177"/>
  <c r="F18" i="177"/>
  <c r="G18" i="177"/>
  <c r="H18" i="177"/>
  <c r="I18" i="177"/>
  <c r="J18" i="177"/>
  <c r="K18" i="177"/>
  <c r="L18" i="177"/>
  <c r="M18" i="177"/>
  <c r="N18" i="177"/>
  <c r="O18" i="177"/>
  <c r="P18" i="177"/>
  <c r="Q18" i="177"/>
  <c r="R18" i="177"/>
  <c r="S18" i="177"/>
  <c r="T18" i="177"/>
  <c r="U18" i="177"/>
  <c r="W18" i="177"/>
  <c r="E19" i="177"/>
  <c r="F19" i="177"/>
  <c r="G19" i="177"/>
  <c r="H19" i="177"/>
  <c r="I19" i="177"/>
  <c r="J19" i="177"/>
  <c r="K19" i="177"/>
  <c r="L19" i="177"/>
  <c r="M19" i="177"/>
  <c r="N19" i="177"/>
  <c r="O19" i="177"/>
  <c r="P19" i="177"/>
  <c r="Q19" i="177"/>
  <c r="R19" i="177"/>
  <c r="S19" i="177"/>
  <c r="T19" i="177"/>
  <c r="U19" i="177"/>
  <c r="W19" i="177"/>
  <c r="E20" i="177"/>
  <c r="F20" i="177"/>
  <c r="G20" i="177"/>
  <c r="H20" i="177"/>
  <c r="I20" i="177"/>
  <c r="J20" i="177"/>
  <c r="K20" i="177"/>
  <c r="L20" i="177"/>
  <c r="M20" i="177"/>
  <c r="N20" i="177"/>
  <c r="O20" i="177"/>
  <c r="P20" i="177"/>
  <c r="Q20" i="177"/>
  <c r="R20" i="177"/>
  <c r="S20" i="177"/>
  <c r="T20" i="177"/>
  <c r="U20" i="177"/>
  <c r="W20" i="177"/>
  <c r="E21" i="177"/>
  <c r="F21" i="177"/>
  <c r="G21" i="177"/>
  <c r="H21" i="177"/>
  <c r="I21" i="177"/>
  <c r="J21" i="177"/>
  <c r="K21" i="177"/>
  <c r="L21" i="177"/>
  <c r="M21" i="177"/>
  <c r="N21" i="177"/>
  <c r="O21" i="177"/>
  <c r="P21" i="177"/>
  <c r="Q21" i="177"/>
  <c r="R21" i="177"/>
  <c r="S21" i="177"/>
  <c r="T21" i="177"/>
  <c r="U21" i="177"/>
  <c r="W21" i="177"/>
  <c r="E22" i="177"/>
  <c r="F22" i="177"/>
  <c r="G22" i="177"/>
  <c r="H22" i="177"/>
  <c r="I22" i="177"/>
  <c r="J22" i="177"/>
  <c r="K22" i="177"/>
  <c r="L22" i="177"/>
  <c r="M22" i="177"/>
  <c r="N22" i="177"/>
  <c r="O22" i="177"/>
  <c r="P22" i="177"/>
  <c r="Q22" i="177"/>
  <c r="R22" i="177"/>
  <c r="S22" i="177"/>
  <c r="T22" i="177"/>
  <c r="U22" i="177"/>
  <c r="W22" i="177"/>
  <c r="E23" i="177"/>
  <c r="F23" i="177"/>
  <c r="G23" i="177"/>
  <c r="H23" i="177"/>
  <c r="I23" i="177"/>
  <c r="J23" i="177"/>
  <c r="K23" i="177"/>
  <c r="L23" i="177"/>
  <c r="M23" i="177"/>
  <c r="N23" i="177"/>
  <c r="O23" i="177"/>
  <c r="P23" i="177"/>
  <c r="Q23" i="177"/>
  <c r="R23" i="177"/>
  <c r="S23" i="177"/>
  <c r="T23" i="177"/>
  <c r="U23" i="177"/>
  <c r="W23" i="177"/>
  <c r="E24" i="177"/>
  <c r="F24" i="177"/>
  <c r="G24" i="177"/>
  <c r="H24" i="177"/>
  <c r="I24" i="177"/>
  <c r="J24" i="177"/>
  <c r="K24" i="177"/>
  <c r="L24" i="177"/>
  <c r="M24" i="177"/>
  <c r="N24" i="177"/>
  <c r="O24" i="177"/>
  <c r="P24" i="177"/>
  <c r="Q24" i="177"/>
  <c r="R24" i="177"/>
  <c r="S24" i="177"/>
  <c r="T24" i="177"/>
  <c r="U24" i="177"/>
  <c r="W24" i="177"/>
  <c r="E25" i="177"/>
  <c r="F25" i="177"/>
  <c r="G25" i="177"/>
  <c r="H25" i="177"/>
  <c r="I25" i="177"/>
  <c r="J25" i="177"/>
  <c r="K25" i="177"/>
  <c r="L25" i="177"/>
  <c r="M25" i="177"/>
  <c r="N25" i="177"/>
  <c r="O25" i="177"/>
  <c r="P25" i="177"/>
  <c r="Q25" i="177"/>
  <c r="R25" i="177"/>
  <c r="S25" i="177"/>
  <c r="T25" i="177"/>
  <c r="U25" i="177"/>
  <c r="W25" i="177"/>
  <c r="E26" i="177"/>
  <c r="F26" i="177"/>
  <c r="G26" i="177"/>
  <c r="H26" i="177"/>
  <c r="I26" i="177"/>
  <c r="J26" i="177"/>
  <c r="K26" i="177"/>
  <c r="L26" i="177"/>
  <c r="M26" i="177"/>
  <c r="N26" i="177"/>
  <c r="O26" i="177"/>
  <c r="P26" i="177"/>
  <c r="Q26" i="177"/>
  <c r="R26" i="177"/>
  <c r="S26" i="177"/>
  <c r="T26" i="177"/>
  <c r="U26" i="177"/>
  <c r="W26" i="177"/>
  <c r="E27" i="177"/>
  <c r="F27" i="177"/>
  <c r="G27" i="177"/>
  <c r="H27" i="177"/>
  <c r="I27" i="177"/>
  <c r="J27" i="177"/>
  <c r="K27" i="177"/>
  <c r="L27" i="177"/>
  <c r="M27" i="177"/>
  <c r="N27" i="177"/>
  <c r="O27" i="177"/>
  <c r="P27" i="177"/>
  <c r="Q27" i="177"/>
  <c r="R27" i="177"/>
  <c r="S27" i="177"/>
  <c r="T27" i="177"/>
  <c r="U27" i="177"/>
  <c r="W27" i="177"/>
  <c r="E28" i="177"/>
  <c r="F28" i="177"/>
  <c r="G28" i="177"/>
  <c r="H28" i="177"/>
  <c r="I28" i="177"/>
  <c r="J28" i="177"/>
  <c r="K28" i="177"/>
  <c r="L28" i="177"/>
  <c r="M28" i="177"/>
  <c r="N28" i="177"/>
  <c r="O28" i="177"/>
  <c r="P28" i="177"/>
  <c r="Q28" i="177"/>
  <c r="R28" i="177"/>
  <c r="S28" i="177"/>
  <c r="T28" i="177"/>
  <c r="U28" i="177"/>
  <c r="W28" i="177"/>
  <c r="E29" i="177"/>
  <c r="F29" i="177"/>
  <c r="G29" i="177"/>
  <c r="H29" i="177"/>
  <c r="I29" i="177"/>
  <c r="J29" i="177"/>
  <c r="K29" i="177"/>
  <c r="L29" i="177"/>
  <c r="M29" i="177"/>
  <c r="N29" i="177"/>
  <c r="O29" i="177"/>
  <c r="P29" i="177"/>
  <c r="Q29" i="177"/>
  <c r="R29" i="177"/>
  <c r="S29" i="177"/>
  <c r="T29" i="177"/>
  <c r="U29" i="177"/>
  <c r="W29" i="177"/>
  <c r="E30" i="177"/>
  <c r="F30" i="177"/>
  <c r="G30" i="177"/>
  <c r="H30" i="177"/>
  <c r="I30" i="177"/>
  <c r="J30" i="177"/>
  <c r="K30" i="177"/>
  <c r="L30" i="177"/>
  <c r="M30" i="177"/>
  <c r="N30" i="177"/>
  <c r="O30" i="177"/>
  <c r="P30" i="177"/>
  <c r="Q30" i="177"/>
  <c r="R30" i="177"/>
  <c r="S30" i="177"/>
  <c r="T30" i="177"/>
  <c r="U30" i="177"/>
  <c r="W30" i="177"/>
  <c r="E31" i="177"/>
  <c r="F31" i="177"/>
  <c r="G31" i="177"/>
  <c r="H31" i="177"/>
  <c r="I31" i="177"/>
  <c r="J31" i="177"/>
  <c r="K31" i="177"/>
  <c r="L31" i="177"/>
  <c r="M31" i="177"/>
  <c r="N31" i="177"/>
  <c r="O31" i="177"/>
  <c r="P31" i="177"/>
  <c r="Q31" i="177"/>
  <c r="R31" i="177"/>
  <c r="S31" i="177"/>
  <c r="T31" i="177"/>
  <c r="U31" i="177"/>
  <c r="W31" i="177"/>
  <c r="E32" i="177"/>
  <c r="F32" i="177"/>
  <c r="G32" i="177"/>
  <c r="H32" i="177"/>
  <c r="I32" i="177"/>
  <c r="J32" i="177"/>
  <c r="K32" i="177"/>
  <c r="L32" i="177"/>
  <c r="M32" i="177"/>
  <c r="N32" i="177"/>
  <c r="O32" i="177"/>
  <c r="P32" i="177"/>
  <c r="Q32" i="177"/>
  <c r="R32" i="177"/>
  <c r="S32" i="177"/>
  <c r="T32" i="177"/>
  <c r="U32" i="177"/>
  <c r="W32" i="177"/>
  <c r="E33" i="177"/>
  <c r="F33" i="177"/>
  <c r="G33" i="177"/>
  <c r="H33" i="177"/>
  <c r="I33" i="177"/>
  <c r="J33" i="177"/>
  <c r="K33" i="177"/>
  <c r="L33" i="177"/>
  <c r="M33" i="177"/>
  <c r="N33" i="177"/>
  <c r="O33" i="177"/>
  <c r="P33" i="177"/>
  <c r="Q33" i="177"/>
  <c r="R33" i="177"/>
  <c r="S33" i="177"/>
  <c r="T33" i="177"/>
  <c r="U33" i="177"/>
  <c r="W33" i="177"/>
  <c r="E34" i="177"/>
  <c r="F34" i="177"/>
  <c r="G34" i="177"/>
  <c r="H34" i="177"/>
  <c r="I34" i="177"/>
  <c r="J34" i="177"/>
  <c r="K34" i="177"/>
  <c r="L34" i="177"/>
  <c r="M34" i="177"/>
  <c r="N34" i="177"/>
  <c r="O34" i="177"/>
  <c r="P34" i="177"/>
  <c r="Q34" i="177"/>
  <c r="R34" i="177"/>
  <c r="S34" i="177"/>
  <c r="T34" i="177"/>
  <c r="U34" i="177"/>
  <c r="W34" i="177"/>
  <c r="E35" i="177"/>
  <c r="F35" i="177"/>
  <c r="G35" i="177"/>
  <c r="H35" i="177"/>
  <c r="I35" i="177"/>
  <c r="J35" i="177"/>
  <c r="K35" i="177"/>
  <c r="L35" i="177"/>
  <c r="M35" i="177"/>
  <c r="N35" i="177"/>
  <c r="O35" i="177"/>
  <c r="P35" i="177"/>
  <c r="Q35" i="177"/>
  <c r="R35" i="177"/>
  <c r="S35" i="177"/>
  <c r="T35" i="177"/>
  <c r="U35" i="177"/>
  <c r="W35" i="177"/>
  <c r="E36" i="177"/>
  <c r="F36" i="177"/>
  <c r="G36" i="177"/>
  <c r="H36" i="177"/>
  <c r="I36" i="177"/>
  <c r="J36" i="177"/>
  <c r="K36" i="177"/>
  <c r="L36" i="177"/>
  <c r="M36" i="177"/>
  <c r="N36" i="177"/>
  <c r="O36" i="177"/>
  <c r="P36" i="177"/>
  <c r="Q36" i="177"/>
  <c r="R36" i="177"/>
  <c r="S36" i="177"/>
  <c r="T36" i="177"/>
  <c r="U36" i="177"/>
  <c r="W36" i="177"/>
  <c r="E37" i="177"/>
  <c r="F37" i="177"/>
  <c r="G37" i="177"/>
  <c r="H37" i="177"/>
  <c r="I37" i="177"/>
  <c r="J37" i="177"/>
  <c r="K37" i="177"/>
  <c r="L37" i="177"/>
  <c r="M37" i="177"/>
  <c r="N37" i="177"/>
  <c r="O37" i="177"/>
  <c r="P37" i="177"/>
  <c r="Q37" i="177"/>
  <c r="R37" i="177"/>
  <c r="S37" i="177"/>
  <c r="T37" i="177"/>
  <c r="U37" i="177"/>
  <c r="W37" i="177"/>
  <c r="E38" i="177"/>
  <c r="F38" i="177"/>
  <c r="G38" i="177"/>
  <c r="H38" i="177"/>
  <c r="I38" i="177"/>
  <c r="J38" i="177"/>
  <c r="K38" i="177"/>
  <c r="L38" i="177"/>
  <c r="M38" i="177"/>
  <c r="N38" i="177"/>
  <c r="O38" i="177"/>
  <c r="P38" i="177"/>
  <c r="Q38" i="177"/>
  <c r="R38" i="177"/>
  <c r="S38" i="177"/>
  <c r="T38" i="177"/>
  <c r="U38" i="177"/>
  <c r="W38" i="177"/>
  <c r="E39" i="177"/>
  <c r="F39" i="177"/>
  <c r="G39" i="177"/>
  <c r="H39" i="177"/>
  <c r="I39" i="177"/>
  <c r="J39" i="177"/>
  <c r="K39" i="177"/>
  <c r="L39" i="177"/>
  <c r="M39" i="177"/>
  <c r="N39" i="177"/>
  <c r="O39" i="177"/>
  <c r="P39" i="177"/>
  <c r="Q39" i="177"/>
  <c r="R39" i="177"/>
  <c r="S39" i="177"/>
  <c r="T39" i="177"/>
  <c r="U39" i="177"/>
  <c r="W39" i="177"/>
  <c r="E40" i="177"/>
  <c r="F40" i="177"/>
  <c r="G40" i="177"/>
  <c r="H40" i="177"/>
  <c r="I40" i="177"/>
  <c r="J40" i="177"/>
  <c r="K40" i="177"/>
  <c r="L40" i="177"/>
  <c r="M40" i="177"/>
  <c r="N40" i="177"/>
  <c r="O40" i="177"/>
  <c r="P40" i="177"/>
  <c r="Q40" i="177"/>
  <c r="R40" i="177"/>
  <c r="S40" i="177"/>
  <c r="T40" i="177"/>
  <c r="U40" i="177"/>
  <c r="W40" i="177"/>
  <c r="E41" i="177"/>
  <c r="F41" i="177"/>
  <c r="G41" i="177"/>
  <c r="H41" i="177"/>
  <c r="I41" i="177"/>
  <c r="J41" i="177"/>
  <c r="K41" i="177"/>
  <c r="L41" i="177"/>
  <c r="M41" i="177"/>
  <c r="N41" i="177"/>
  <c r="O41" i="177"/>
  <c r="P41" i="177"/>
  <c r="Q41" i="177"/>
  <c r="R41" i="177"/>
  <c r="S41" i="177"/>
  <c r="T41" i="177"/>
  <c r="U41" i="177"/>
  <c r="W41" i="177"/>
  <c r="E42" i="177"/>
  <c r="F42" i="177"/>
  <c r="G42" i="177"/>
  <c r="H42" i="177"/>
  <c r="I42" i="177"/>
  <c r="J42" i="177"/>
  <c r="K42" i="177"/>
  <c r="L42" i="177"/>
  <c r="M42" i="177"/>
  <c r="N42" i="177"/>
  <c r="O42" i="177"/>
  <c r="P42" i="177"/>
  <c r="Q42" i="177"/>
  <c r="R42" i="177"/>
  <c r="S42" i="177"/>
  <c r="T42" i="177"/>
  <c r="U42" i="177"/>
  <c r="W42" i="177"/>
  <c r="E43" i="177"/>
  <c r="F43" i="177"/>
  <c r="G43" i="177"/>
  <c r="H43" i="177"/>
  <c r="I43" i="177"/>
  <c r="J43" i="177"/>
  <c r="K43" i="177"/>
  <c r="L43" i="177"/>
  <c r="M43" i="177"/>
  <c r="N43" i="177"/>
  <c r="O43" i="177"/>
  <c r="P43" i="177"/>
  <c r="Q43" i="177"/>
  <c r="R43" i="177"/>
  <c r="S43" i="177"/>
  <c r="T43" i="177"/>
  <c r="U43" i="177"/>
  <c r="W43" i="177"/>
  <c r="E44" i="177"/>
  <c r="F44" i="177"/>
  <c r="G44" i="177"/>
  <c r="H44" i="177"/>
  <c r="I44" i="177"/>
  <c r="J44" i="177"/>
  <c r="K44" i="177"/>
  <c r="L44" i="177"/>
  <c r="M44" i="177"/>
  <c r="N44" i="177"/>
  <c r="O44" i="177"/>
  <c r="P44" i="177"/>
  <c r="Q44" i="177"/>
  <c r="R44" i="177"/>
  <c r="S44" i="177"/>
  <c r="T44" i="177"/>
  <c r="U44" i="177"/>
  <c r="W44" i="177"/>
  <c r="E45" i="177"/>
  <c r="F45" i="177"/>
  <c r="G45" i="177"/>
  <c r="H45" i="177"/>
  <c r="I45" i="177"/>
  <c r="J45" i="177"/>
  <c r="K45" i="177"/>
  <c r="L45" i="177"/>
  <c r="M45" i="177"/>
  <c r="N45" i="177"/>
  <c r="O45" i="177"/>
  <c r="P45" i="177"/>
  <c r="Q45" i="177"/>
  <c r="R45" i="177"/>
  <c r="S45" i="177"/>
  <c r="T45" i="177"/>
  <c r="U45" i="177"/>
  <c r="W45" i="177"/>
  <c r="E46" i="177"/>
  <c r="F46" i="177"/>
  <c r="G46" i="177"/>
  <c r="H46" i="177"/>
  <c r="I46" i="177"/>
  <c r="J46" i="177"/>
  <c r="K46" i="177"/>
  <c r="L46" i="177"/>
  <c r="M46" i="177"/>
  <c r="N46" i="177"/>
  <c r="O46" i="177"/>
  <c r="P46" i="177"/>
  <c r="Q46" i="177"/>
  <c r="R46" i="177"/>
  <c r="S46" i="177"/>
  <c r="T46" i="177"/>
  <c r="U46" i="177"/>
  <c r="W46" i="177"/>
  <c r="E47" i="177"/>
  <c r="F47" i="177"/>
  <c r="G47" i="177"/>
  <c r="H47" i="177"/>
  <c r="I47" i="177"/>
  <c r="J47" i="177"/>
  <c r="K47" i="177"/>
  <c r="L47" i="177"/>
  <c r="M47" i="177"/>
  <c r="N47" i="177"/>
  <c r="O47" i="177"/>
  <c r="P47" i="177"/>
  <c r="Q47" i="177"/>
  <c r="R47" i="177"/>
  <c r="S47" i="177"/>
  <c r="T47" i="177"/>
  <c r="U47" i="177"/>
  <c r="W47" i="177"/>
  <c r="E48" i="177"/>
  <c r="F48" i="177"/>
  <c r="G48" i="177"/>
  <c r="H48" i="177"/>
  <c r="I48" i="177"/>
  <c r="J48" i="177"/>
  <c r="K48" i="177"/>
  <c r="L48" i="177"/>
  <c r="M48" i="177"/>
  <c r="N48" i="177"/>
  <c r="O48" i="177"/>
  <c r="P48" i="177"/>
  <c r="Q48" i="177"/>
  <c r="R48" i="177"/>
  <c r="S48" i="177"/>
  <c r="T48" i="177"/>
  <c r="U48" i="177"/>
  <c r="W48" i="177"/>
  <c r="E49" i="177"/>
  <c r="F49" i="177"/>
  <c r="G49" i="177"/>
  <c r="H49" i="177"/>
  <c r="I49" i="177"/>
  <c r="J49" i="177"/>
  <c r="K49" i="177"/>
  <c r="L49" i="177"/>
  <c r="M49" i="177"/>
  <c r="N49" i="177"/>
  <c r="O49" i="177"/>
  <c r="P49" i="177"/>
  <c r="Q49" i="177"/>
  <c r="R49" i="177"/>
  <c r="S49" i="177"/>
  <c r="T49" i="177"/>
  <c r="U49" i="177"/>
  <c r="W49" i="177"/>
  <c r="E50" i="177"/>
  <c r="F50" i="177"/>
  <c r="G50" i="177"/>
  <c r="H50" i="177"/>
  <c r="I50" i="177"/>
  <c r="J50" i="177"/>
  <c r="K50" i="177"/>
  <c r="L50" i="177"/>
  <c r="M50" i="177"/>
  <c r="N50" i="177"/>
  <c r="O50" i="177"/>
  <c r="P50" i="177"/>
  <c r="Q50" i="177"/>
  <c r="R50" i="177"/>
  <c r="S50" i="177"/>
  <c r="T50" i="177"/>
  <c r="U50" i="177"/>
  <c r="W50" i="177"/>
  <c r="E51" i="177"/>
  <c r="F51" i="177"/>
  <c r="G51" i="177"/>
  <c r="H51" i="177"/>
  <c r="I51" i="177"/>
  <c r="J51" i="177"/>
  <c r="K51" i="177"/>
  <c r="L51" i="177"/>
  <c r="M51" i="177"/>
  <c r="N51" i="177"/>
  <c r="O51" i="177"/>
  <c r="P51" i="177"/>
  <c r="Q51" i="177"/>
  <c r="R51" i="177"/>
  <c r="S51" i="177"/>
  <c r="T51" i="177"/>
  <c r="U51" i="177"/>
  <c r="W51" i="177"/>
  <c r="E52" i="177"/>
  <c r="F52" i="177"/>
  <c r="G52" i="177"/>
  <c r="H52" i="177"/>
  <c r="I52" i="177"/>
  <c r="J52" i="177"/>
  <c r="K52" i="177"/>
  <c r="L52" i="177"/>
  <c r="M52" i="177"/>
  <c r="N52" i="177"/>
  <c r="O52" i="177"/>
  <c r="P52" i="177"/>
  <c r="Q52" i="177"/>
  <c r="R52" i="177"/>
  <c r="S52" i="177"/>
  <c r="T52" i="177"/>
  <c r="U52" i="177"/>
  <c r="W52" i="177"/>
  <c r="E53" i="177"/>
  <c r="F53" i="177"/>
  <c r="G53" i="177"/>
  <c r="H53" i="177"/>
  <c r="I53" i="177"/>
  <c r="J53" i="177"/>
  <c r="K53" i="177"/>
  <c r="L53" i="177"/>
  <c r="M53" i="177"/>
  <c r="N53" i="177"/>
  <c r="O53" i="177"/>
  <c r="P53" i="177"/>
  <c r="Q53" i="177"/>
  <c r="R53" i="177"/>
  <c r="S53" i="177"/>
  <c r="T53" i="177"/>
  <c r="U53" i="177"/>
  <c r="W53" i="177"/>
  <c r="E54" i="177"/>
  <c r="F54" i="177"/>
  <c r="G54" i="177"/>
  <c r="H54" i="177"/>
  <c r="I54" i="177"/>
  <c r="J54" i="177"/>
  <c r="K54" i="177"/>
  <c r="L54" i="177"/>
  <c r="M54" i="177"/>
  <c r="N54" i="177"/>
  <c r="O54" i="177"/>
  <c r="P54" i="177"/>
  <c r="Q54" i="177"/>
  <c r="R54" i="177"/>
  <c r="S54" i="177"/>
  <c r="T54" i="177"/>
  <c r="U54" i="177"/>
  <c r="W54" i="177"/>
  <c r="E55" i="177"/>
  <c r="F55" i="177"/>
  <c r="G55" i="177"/>
  <c r="H55" i="177"/>
  <c r="I55" i="177"/>
  <c r="J55" i="177"/>
  <c r="K55" i="177"/>
  <c r="L55" i="177"/>
  <c r="M55" i="177"/>
  <c r="N55" i="177"/>
  <c r="O55" i="177"/>
  <c r="P55" i="177"/>
  <c r="Q55" i="177"/>
  <c r="R55" i="177"/>
  <c r="S55" i="177"/>
  <c r="T55" i="177"/>
  <c r="U55" i="177"/>
  <c r="W55" i="177"/>
  <c r="E56" i="177"/>
  <c r="F56" i="177"/>
  <c r="G56" i="177"/>
  <c r="H56" i="177"/>
  <c r="I56" i="177"/>
  <c r="J56" i="177"/>
  <c r="K56" i="177"/>
  <c r="L56" i="177"/>
  <c r="M56" i="177"/>
  <c r="N56" i="177"/>
  <c r="O56" i="177"/>
  <c r="P56" i="177"/>
  <c r="Q56" i="177"/>
  <c r="R56" i="177"/>
  <c r="S56" i="177"/>
  <c r="T56" i="177"/>
  <c r="U56" i="177"/>
  <c r="W56" i="177"/>
  <c r="E57" i="177"/>
  <c r="F57" i="177"/>
  <c r="G57" i="177"/>
  <c r="H57" i="177"/>
  <c r="I57" i="177"/>
  <c r="J57" i="177"/>
  <c r="K57" i="177"/>
  <c r="L57" i="177"/>
  <c r="M57" i="177"/>
  <c r="N57" i="177"/>
  <c r="O57" i="177"/>
  <c r="P57" i="177"/>
  <c r="Q57" i="177"/>
  <c r="R57" i="177"/>
  <c r="S57" i="177"/>
  <c r="T57" i="177"/>
  <c r="U57" i="177"/>
  <c r="W57" i="177"/>
  <c r="E58" i="177"/>
  <c r="F58" i="177"/>
  <c r="G58" i="177"/>
  <c r="H58" i="177"/>
  <c r="I58" i="177"/>
  <c r="J58" i="177"/>
  <c r="K58" i="177"/>
  <c r="L58" i="177"/>
  <c r="M58" i="177"/>
  <c r="N58" i="177"/>
  <c r="O58" i="177"/>
  <c r="P58" i="177"/>
  <c r="Q58" i="177"/>
  <c r="R58" i="177"/>
  <c r="S58" i="177"/>
  <c r="T58" i="177"/>
  <c r="U58" i="177"/>
  <c r="W58" i="177"/>
  <c r="E59" i="177"/>
  <c r="F59" i="177"/>
  <c r="G59" i="177"/>
  <c r="H59" i="177"/>
  <c r="I59" i="177"/>
  <c r="J59" i="177"/>
  <c r="K59" i="177"/>
  <c r="L59" i="177"/>
  <c r="M59" i="177"/>
  <c r="N59" i="177"/>
  <c r="O59" i="177"/>
  <c r="P59" i="177"/>
  <c r="Q59" i="177"/>
  <c r="R59" i="177"/>
  <c r="S59" i="177"/>
  <c r="T59" i="177"/>
  <c r="U59" i="177"/>
  <c r="W59" i="177"/>
  <c r="E60" i="177"/>
  <c r="F60" i="177"/>
  <c r="G60" i="177"/>
  <c r="H60" i="177"/>
  <c r="I60" i="177"/>
  <c r="J60" i="177"/>
  <c r="K60" i="177"/>
  <c r="L60" i="177"/>
  <c r="M60" i="177"/>
  <c r="N60" i="177"/>
  <c r="O60" i="177"/>
  <c r="P60" i="177"/>
  <c r="Q60" i="177"/>
  <c r="R60" i="177"/>
  <c r="S60" i="177"/>
  <c r="T60" i="177"/>
  <c r="U60" i="177"/>
  <c r="W60" i="177"/>
  <c r="E61" i="177"/>
  <c r="F61" i="177"/>
  <c r="G61" i="177"/>
  <c r="H61" i="177"/>
  <c r="I61" i="177"/>
  <c r="J61" i="177"/>
  <c r="K61" i="177"/>
  <c r="L61" i="177"/>
  <c r="M61" i="177"/>
  <c r="N61" i="177"/>
  <c r="O61" i="177"/>
  <c r="P61" i="177"/>
  <c r="Q61" i="177"/>
  <c r="R61" i="177"/>
  <c r="S61" i="177"/>
  <c r="T61" i="177"/>
  <c r="U61" i="177"/>
  <c r="W61" i="177"/>
  <c r="E62" i="177"/>
  <c r="F62" i="177"/>
  <c r="G62" i="177"/>
  <c r="H62" i="177"/>
  <c r="I62" i="177"/>
  <c r="J62" i="177"/>
  <c r="K62" i="177"/>
  <c r="L62" i="177"/>
  <c r="M62" i="177"/>
  <c r="N62" i="177"/>
  <c r="O62" i="177"/>
  <c r="P62" i="177"/>
  <c r="Q62" i="177"/>
  <c r="R62" i="177"/>
  <c r="S62" i="177"/>
  <c r="T62" i="177"/>
  <c r="U62" i="177"/>
  <c r="W62" i="177"/>
  <c r="E63" i="177"/>
  <c r="F63" i="177"/>
  <c r="G63" i="177"/>
  <c r="H63" i="177"/>
  <c r="I63" i="177"/>
  <c r="J63" i="177"/>
  <c r="K63" i="177"/>
  <c r="L63" i="177"/>
  <c r="M63" i="177"/>
  <c r="N63" i="177"/>
  <c r="O63" i="177"/>
  <c r="P63" i="177"/>
  <c r="Q63" i="177"/>
  <c r="R63" i="177"/>
  <c r="S63" i="177"/>
  <c r="T63" i="177"/>
  <c r="U63" i="177"/>
  <c r="W63" i="177"/>
  <c r="E64" i="177"/>
  <c r="F64" i="177"/>
  <c r="G64" i="177"/>
  <c r="H64" i="177"/>
  <c r="I64" i="177"/>
  <c r="J64" i="177"/>
  <c r="K64" i="177"/>
  <c r="L64" i="177"/>
  <c r="M64" i="177"/>
  <c r="N64" i="177"/>
  <c r="O64" i="177"/>
  <c r="P64" i="177"/>
  <c r="Q64" i="177"/>
  <c r="R64" i="177"/>
  <c r="S64" i="177"/>
  <c r="T64" i="177"/>
  <c r="U64" i="177"/>
  <c r="W64" i="177"/>
  <c r="E65" i="177"/>
  <c r="F65" i="177"/>
  <c r="G65" i="177"/>
  <c r="H65" i="177"/>
  <c r="I65" i="177"/>
  <c r="J65" i="177"/>
  <c r="K65" i="177"/>
  <c r="L65" i="177"/>
  <c r="M65" i="177"/>
  <c r="N65" i="177"/>
  <c r="O65" i="177"/>
  <c r="P65" i="177"/>
  <c r="Q65" i="177"/>
  <c r="R65" i="177"/>
  <c r="S65" i="177"/>
  <c r="T65" i="177"/>
  <c r="U65" i="177"/>
  <c r="W65" i="177"/>
  <c r="E66" i="177"/>
  <c r="F66" i="177"/>
  <c r="G66" i="177"/>
  <c r="H66" i="177"/>
  <c r="I66" i="177"/>
  <c r="J66" i="177"/>
  <c r="K66" i="177"/>
  <c r="L66" i="177"/>
  <c r="M66" i="177"/>
  <c r="N66" i="177"/>
  <c r="O66" i="177"/>
  <c r="P66" i="177"/>
  <c r="Q66" i="177"/>
  <c r="R66" i="177"/>
  <c r="S66" i="177"/>
  <c r="T66" i="177"/>
  <c r="U66" i="177"/>
  <c r="W66" i="177"/>
  <c r="E67" i="177"/>
  <c r="F67" i="177"/>
  <c r="G67" i="177"/>
  <c r="H67" i="177"/>
  <c r="I67" i="177"/>
  <c r="J67" i="177"/>
  <c r="K67" i="177"/>
  <c r="L67" i="177"/>
  <c r="M67" i="177"/>
  <c r="N67" i="177"/>
  <c r="O67" i="177"/>
  <c r="P67" i="177"/>
  <c r="Q67" i="177"/>
  <c r="R67" i="177"/>
  <c r="S67" i="177"/>
  <c r="T67" i="177"/>
  <c r="U67" i="177"/>
  <c r="W67" i="177"/>
  <c r="E68" i="177"/>
  <c r="F68" i="177"/>
  <c r="G68" i="177"/>
  <c r="H68" i="177"/>
  <c r="I68" i="177"/>
  <c r="J68" i="177"/>
  <c r="K68" i="177"/>
  <c r="L68" i="177"/>
  <c r="M68" i="177"/>
  <c r="N68" i="177"/>
  <c r="O68" i="177"/>
  <c r="P68" i="177"/>
  <c r="Q68" i="177"/>
  <c r="R68" i="177"/>
  <c r="S68" i="177"/>
  <c r="T68" i="177"/>
  <c r="U68" i="177"/>
  <c r="W68" i="177"/>
  <c r="E69" i="177"/>
  <c r="F69" i="177"/>
  <c r="G69" i="177"/>
  <c r="H69" i="177"/>
  <c r="I69" i="177"/>
  <c r="J69" i="177"/>
  <c r="K69" i="177"/>
  <c r="L69" i="177"/>
  <c r="M69" i="177"/>
  <c r="N69" i="177"/>
  <c r="O69" i="177"/>
  <c r="P69" i="177"/>
  <c r="Q69" i="177"/>
  <c r="R69" i="177"/>
  <c r="S69" i="177"/>
  <c r="T69" i="177"/>
  <c r="U69" i="177"/>
  <c r="W69" i="177"/>
  <c r="E70" i="177"/>
  <c r="F70" i="177"/>
  <c r="G70" i="177"/>
  <c r="H70" i="177"/>
  <c r="I70" i="177"/>
  <c r="J70" i="177"/>
  <c r="K70" i="177"/>
  <c r="L70" i="177"/>
  <c r="M70" i="177"/>
  <c r="N70" i="177"/>
  <c r="O70" i="177"/>
  <c r="P70" i="177"/>
  <c r="Q70" i="177"/>
  <c r="R70" i="177"/>
  <c r="S70" i="177"/>
  <c r="T70" i="177"/>
  <c r="U70" i="177"/>
  <c r="W70" i="177"/>
  <c r="E71" i="177"/>
  <c r="F71" i="177"/>
  <c r="G71" i="177"/>
  <c r="H71" i="177"/>
  <c r="I71" i="177"/>
  <c r="J71" i="177"/>
  <c r="K71" i="177"/>
  <c r="L71" i="177"/>
  <c r="M71" i="177"/>
  <c r="N71" i="177"/>
  <c r="O71" i="177"/>
  <c r="P71" i="177"/>
  <c r="Q71" i="177"/>
  <c r="R71" i="177"/>
  <c r="S71" i="177"/>
  <c r="T71" i="177"/>
  <c r="U71" i="177"/>
  <c r="W71" i="177"/>
  <c r="E72" i="177"/>
  <c r="F72" i="177"/>
  <c r="G72" i="177"/>
  <c r="H72" i="177"/>
  <c r="I72" i="177"/>
  <c r="J72" i="177"/>
  <c r="K72" i="177"/>
  <c r="L72" i="177"/>
  <c r="M72" i="177"/>
  <c r="N72" i="177"/>
  <c r="O72" i="177"/>
  <c r="P72" i="177"/>
  <c r="Q72" i="177"/>
  <c r="R72" i="177"/>
  <c r="S72" i="177"/>
  <c r="T72" i="177"/>
  <c r="U72" i="177"/>
  <c r="W72" i="177"/>
  <c r="E73" i="177"/>
  <c r="F73" i="177"/>
  <c r="G73" i="177"/>
  <c r="H73" i="177"/>
  <c r="I73" i="177"/>
  <c r="J73" i="177"/>
  <c r="K73" i="177"/>
  <c r="L73" i="177"/>
  <c r="M73" i="177"/>
  <c r="N73" i="177"/>
  <c r="O73" i="177"/>
  <c r="P73" i="177"/>
  <c r="Q73" i="177"/>
  <c r="R73" i="177"/>
  <c r="S73" i="177"/>
  <c r="T73" i="177"/>
  <c r="U73" i="177"/>
  <c r="W73" i="177"/>
  <c r="E74" i="177"/>
  <c r="F74" i="177"/>
  <c r="G74" i="177"/>
  <c r="H74" i="177"/>
  <c r="I74" i="177"/>
  <c r="J74" i="177"/>
  <c r="K74" i="177"/>
  <c r="L74" i="177"/>
  <c r="M74" i="177"/>
  <c r="N74" i="177"/>
  <c r="O74" i="177"/>
  <c r="P74" i="177"/>
  <c r="Q74" i="177"/>
  <c r="R74" i="177"/>
  <c r="S74" i="177"/>
  <c r="T74" i="177"/>
  <c r="U74" i="177"/>
  <c r="W74" i="177"/>
  <c r="E75" i="177"/>
  <c r="F75" i="177"/>
  <c r="G75" i="177"/>
  <c r="H75" i="177"/>
  <c r="I75" i="177"/>
  <c r="J75" i="177"/>
  <c r="K75" i="177"/>
  <c r="L75" i="177"/>
  <c r="M75" i="177"/>
  <c r="N75" i="177"/>
  <c r="O75" i="177"/>
  <c r="P75" i="177"/>
  <c r="Q75" i="177"/>
  <c r="R75" i="177"/>
  <c r="S75" i="177"/>
  <c r="T75" i="177"/>
  <c r="U75" i="177"/>
  <c r="W75" i="177"/>
  <c r="E76" i="177"/>
  <c r="F76" i="177"/>
  <c r="G76" i="177"/>
  <c r="H76" i="177"/>
  <c r="I76" i="177"/>
  <c r="J76" i="177"/>
  <c r="K76" i="177"/>
  <c r="L76" i="177"/>
  <c r="M76" i="177"/>
  <c r="N76" i="177"/>
  <c r="O76" i="177"/>
  <c r="P76" i="177"/>
  <c r="Q76" i="177"/>
  <c r="R76" i="177"/>
  <c r="S76" i="177"/>
  <c r="T76" i="177"/>
  <c r="U76" i="177"/>
  <c r="W76" i="177"/>
  <c r="E77" i="177"/>
  <c r="F77" i="177"/>
  <c r="G77" i="177"/>
  <c r="H77" i="177"/>
  <c r="I77" i="177"/>
  <c r="J77" i="177"/>
  <c r="K77" i="177"/>
  <c r="L77" i="177"/>
  <c r="M77" i="177"/>
  <c r="N77" i="177"/>
  <c r="O77" i="177"/>
  <c r="P77" i="177"/>
  <c r="Q77" i="177"/>
  <c r="R77" i="177"/>
  <c r="S77" i="177"/>
  <c r="T77" i="177"/>
  <c r="U77" i="177"/>
  <c r="W77" i="177"/>
  <c r="E78" i="177"/>
  <c r="F78" i="177"/>
  <c r="G78" i="177"/>
  <c r="H78" i="177"/>
  <c r="I78" i="177"/>
  <c r="J78" i="177"/>
  <c r="K78" i="177"/>
  <c r="L78" i="177"/>
  <c r="M78" i="177"/>
  <c r="N78" i="177"/>
  <c r="O78" i="177"/>
  <c r="P78" i="177"/>
  <c r="Q78" i="177"/>
  <c r="R78" i="177"/>
  <c r="S78" i="177"/>
  <c r="T78" i="177"/>
  <c r="U78" i="177"/>
  <c r="W78" i="177"/>
  <c r="E79" i="177"/>
  <c r="F79" i="177"/>
  <c r="G79" i="177"/>
  <c r="H79" i="177"/>
  <c r="I79" i="177"/>
  <c r="J79" i="177"/>
  <c r="K79" i="177"/>
  <c r="L79" i="177"/>
  <c r="M79" i="177"/>
  <c r="N79" i="177"/>
  <c r="O79" i="177"/>
  <c r="P79" i="177"/>
  <c r="Q79" i="177"/>
  <c r="R79" i="177"/>
  <c r="S79" i="177"/>
  <c r="T79" i="177"/>
  <c r="U79" i="177"/>
  <c r="W79" i="177"/>
  <c r="E80" i="177"/>
  <c r="F80" i="177"/>
  <c r="G80" i="177"/>
  <c r="H80" i="177"/>
  <c r="I80" i="177"/>
  <c r="J80" i="177"/>
  <c r="K80" i="177"/>
  <c r="L80" i="177"/>
  <c r="M80" i="177"/>
  <c r="N80" i="177"/>
  <c r="O80" i="177"/>
  <c r="P80" i="177"/>
  <c r="Q80" i="177"/>
  <c r="R80" i="177"/>
  <c r="S80" i="177"/>
  <c r="T80" i="177"/>
  <c r="U80" i="177"/>
  <c r="W80" i="177"/>
  <c r="E81" i="177"/>
  <c r="F81" i="177"/>
  <c r="G81" i="177"/>
  <c r="H81" i="177"/>
  <c r="I81" i="177"/>
  <c r="J81" i="177"/>
  <c r="K81" i="177"/>
  <c r="L81" i="177"/>
  <c r="M81" i="177"/>
  <c r="N81" i="177"/>
  <c r="O81" i="177"/>
  <c r="P81" i="177"/>
  <c r="Q81" i="177"/>
  <c r="R81" i="177"/>
  <c r="S81" i="177"/>
  <c r="T81" i="177"/>
  <c r="U81" i="177"/>
  <c r="W81" i="177"/>
  <c r="E82" i="177"/>
  <c r="F82" i="177"/>
  <c r="G82" i="177"/>
  <c r="H82" i="177"/>
  <c r="I82" i="177"/>
  <c r="J82" i="177"/>
  <c r="K82" i="177"/>
  <c r="L82" i="177"/>
  <c r="M82" i="177"/>
  <c r="N82" i="177"/>
  <c r="O82" i="177"/>
  <c r="P82" i="177"/>
  <c r="Q82" i="177"/>
  <c r="R82" i="177"/>
  <c r="S82" i="177"/>
  <c r="T82" i="177"/>
  <c r="U82" i="177"/>
  <c r="W82" i="177"/>
  <c r="E83" i="177"/>
  <c r="F83" i="177"/>
  <c r="G83" i="177"/>
  <c r="H83" i="177"/>
  <c r="I83" i="177"/>
  <c r="J83" i="177"/>
  <c r="K83" i="177"/>
  <c r="L83" i="177"/>
  <c r="M83" i="177"/>
  <c r="N83" i="177"/>
  <c r="O83" i="177"/>
  <c r="P83" i="177"/>
  <c r="Q83" i="177"/>
  <c r="R83" i="177"/>
  <c r="S83" i="177"/>
  <c r="T83" i="177"/>
  <c r="U83" i="177"/>
  <c r="W83" i="177"/>
  <c r="E84" i="177"/>
  <c r="F84" i="177"/>
  <c r="G84" i="177"/>
  <c r="H84" i="177"/>
  <c r="I84" i="177"/>
  <c r="J84" i="177"/>
  <c r="K84" i="177"/>
  <c r="L84" i="177"/>
  <c r="M84" i="177"/>
  <c r="N84" i="177"/>
  <c r="O84" i="177"/>
  <c r="P84" i="177"/>
  <c r="Q84" i="177"/>
  <c r="R84" i="177"/>
  <c r="S84" i="177"/>
  <c r="T84" i="177"/>
  <c r="U84" i="177"/>
  <c r="W84" i="177"/>
  <c r="E85" i="177"/>
  <c r="F85" i="177"/>
  <c r="G85" i="177"/>
  <c r="H85" i="177"/>
  <c r="I85" i="177"/>
  <c r="J85" i="177"/>
  <c r="K85" i="177"/>
  <c r="L85" i="177"/>
  <c r="M85" i="177"/>
  <c r="N85" i="177"/>
  <c r="O85" i="177"/>
  <c r="P85" i="177"/>
  <c r="Q85" i="177"/>
  <c r="R85" i="177"/>
  <c r="S85" i="177"/>
  <c r="T85" i="177"/>
  <c r="U85" i="177"/>
  <c r="W85" i="177"/>
  <c r="E86" i="177"/>
  <c r="F86" i="177"/>
  <c r="G86" i="177"/>
  <c r="H86" i="177"/>
  <c r="I86" i="177"/>
  <c r="J86" i="177"/>
  <c r="K86" i="177"/>
  <c r="L86" i="177"/>
  <c r="M86" i="177"/>
  <c r="N86" i="177"/>
  <c r="O86" i="177"/>
  <c r="P86" i="177"/>
  <c r="Q86" i="177"/>
  <c r="R86" i="177"/>
  <c r="S86" i="177"/>
  <c r="T86" i="177"/>
  <c r="U86" i="177"/>
  <c r="W86" i="177"/>
  <c r="E87" i="177"/>
  <c r="F87" i="177"/>
  <c r="G87" i="177"/>
  <c r="H87" i="177"/>
  <c r="I87" i="177"/>
  <c r="J87" i="177"/>
  <c r="K87" i="177"/>
  <c r="L87" i="177"/>
  <c r="M87" i="177"/>
  <c r="N87" i="177"/>
  <c r="O87" i="177"/>
  <c r="P87" i="177"/>
  <c r="Q87" i="177"/>
  <c r="R87" i="177"/>
  <c r="S87" i="177"/>
  <c r="T87" i="177"/>
  <c r="U87" i="177"/>
  <c r="W87" i="177"/>
  <c r="E88" i="177"/>
  <c r="F88" i="177"/>
  <c r="G88" i="177"/>
  <c r="H88" i="177"/>
  <c r="I88" i="177"/>
  <c r="J88" i="177"/>
  <c r="K88" i="177"/>
  <c r="L88" i="177"/>
  <c r="M88" i="177"/>
  <c r="N88" i="177"/>
  <c r="O88" i="177"/>
  <c r="P88" i="177"/>
  <c r="Q88" i="177"/>
  <c r="R88" i="177"/>
  <c r="S88" i="177"/>
  <c r="T88" i="177"/>
  <c r="U88" i="177"/>
  <c r="W88" i="177"/>
  <c r="E89" i="177"/>
  <c r="F89" i="177"/>
  <c r="G89" i="177"/>
  <c r="H89" i="177"/>
  <c r="I89" i="177"/>
  <c r="J89" i="177"/>
  <c r="K89" i="177"/>
  <c r="L89" i="177"/>
  <c r="M89" i="177"/>
  <c r="N89" i="177"/>
  <c r="O89" i="177"/>
  <c r="P89" i="177"/>
  <c r="Q89" i="177"/>
  <c r="R89" i="177"/>
  <c r="S89" i="177"/>
  <c r="T89" i="177"/>
  <c r="U89" i="177"/>
  <c r="W89" i="177"/>
  <c r="E90" i="177"/>
  <c r="F90" i="177"/>
  <c r="G90" i="177"/>
  <c r="H90" i="177"/>
  <c r="I90" i="177"/>
  <c r="J90" i="177"/>
  <c r="K90" i="177"/>
  <c r="L90" i="177"/>
  <c r="M90" i="177"/>
  <c r="N90" i="177"/>
  <c r="O90" i="177"/>
  <c r="P90" i="177"/>
  <c r="Q90" i="177"/>
  <c r="R90" i="177"/>
  <c r="S90" i="177"/>
  <c r="T90" i="177"/>
  <c r="U90" i="177"/>
  <c r="W90" i="177"/>
  <c r="E91" i="177"/>
  <c r="F91" i="177"/>
  <c r="G91" i="177"/>
  <c r="H91" i="177"/>
  <c r="I91" i="177"/>
  <c r="J91" i="177"/>
  <c r="K91" i="177"/>
  <c r="L91" i="177"/>
  <c r="M91" i="177"/>
  <c r="N91" i="177"/>
  <c r="O91" i="177"/>
  <c r="P91" i="177"/>
  <c r="Q91" i="177"/>
  <c r="R91" i="177"/>
  <c r="S91" i="177"/>
  <c r="T91" i="177"/>
  <c r="U91" i="177"/>
  <c r="W91" i="177"/>
  <c r="E92" i="177"/>
  <c r="F92" i="177"/>
  <c r="G92" i="177"/>
  <c r="H92" i="177"/>
  <c r="I92" i="177"/>
  <c r="J92" i="177"/>
  <c r="K92" i="177"/>
  <c r="L92" i="177"/>
  <c r="M92" i="177"/>
  <c r="N92" i="177"/>
  <c r="O92" i="177"/>
  <c r="P92" i="177"/>
  <c r="Q92" i="177"/>
  <c r="R92" i="177"/>
  <c r="S92" i="177"/>
  <c r="T92" i="177"/>
  <c r="U92" i="177"/>
  <c r="W92" i="177"/>
  <c r="E93" i="177"/>
  <c r="F93" i="177"/>
  <c r="G93" i="177"/>
  <c r="H93" i="177"/>
  <c r="I93" i="177"/>
  <c r="J93" i="177"/>
  <c r="K93" i="177"/>
  <c r="L93" i="177"/>
  <c r="M93" i="177"/>
  <c r="N93" i="177"/>
  <c r="O93" i="177"/>
  <c r="P93" i="177"/>
  <c r="Q93" i="177"/>
  <c r="R93" i="177"/>
  <c r="S93" i="177"/>
  <c r="T93" i="177"/>
  <c r="U93" i="177"/>
  <c r="W93" i="177"/>
  <c r="E94" i="177"/>
  <c r="F94" i="177"/>
  <c r="G94" i="177"/>
  <c r="H94" i="177"/>
  <c r="I94" i="177"/>
  <c r="J94" i="177"/>
  <c r="K94" i="177"/>
  <c r="L94" i="177"/>
  <c r="M94" i="177"/>
  <c r="N94" i="177"/>
  <c r="O94" i="177"/>
  <c r="P94" i="177"/>
  <c r="Q94" i="177"/>
  <c r="R94" i="177"/>
  <c r="S94" i="177"/>
  <c r="T94" i="177"/>
  <c r="U94" i="177"/>
  <c r="W94" i="177"/>
  <c r="E95" i="177"/>
  <c r="F95" i="177"/>
  <c r="G95" i="177"/>
  <c r="H95" i="177"/>
  <c r="I95" i="177"/>
  <c r="J95" i="177"/>
  <c r="K95" i="177"/>
  <c r="L95" i="177"/>
  <c r="M95" i="177"/>
  <c r="N95" i="177"/>
  <c r="O95" i="177"/>
  <c r="P95" i="177"/>
  <c r="Q95" i="177"/>
  <c r="R95" i="177"/>
  <c r="S95" i="177"/>
  <c r="T95" i="177"/>
  <c r="U95" i="177"/>
  <c r="W95" i="177"/>
  <c r="E96" i="177"/>
  <c r="F96" i="177"/>
  <c r="G96" i="177"/>
  <c r="H96" i="177"/>
  <c r="I96" i="177"/>
  <c r="J96" i="177"/>
  <c r="K96" i="177"/>
  <c r="L96" i="177"/>
  <c r="M96" i="177"/>
  <c r="N96" i="177"/>
  <c r="O96" i="177"/>
  <c r="P96" i="177"/>
  <c r="Q96" i="177"/>
  <c r="R96" i="177"/>
  <c r="S96" i="177"/>
  <c r="T96" i="177"/>
  <c r="U96" i="177"/>
  <c r="W96" i="177"/>
  <c r="E97" i="177"/>
  <c r="F97" i="177"/>
  <c r="G97" i="177"/>
  <c r="H97" i="177"/>
  <c r="I97" i="177"/>
  <c r="J97" i="177"/>
  <c r="K97" i="177"/>
  <c r="L97" i="177"/>
  <c r="M97" i="177"/>
  <c r="N97" i="177"/>
  <c r="O97" i="177"/>
  <c r="P97" i="177"/>
  <c r="Q97" i="177"/>
  <c r="R97" i="177"/>
  <c r="S97" i="177"/>
  <c r="T97" i="177"/>
  <c r="U97" i="177"/>
  <c r="W97" i="177"/>
  <c r="E98" i="177"/>
  <c r="F98" i="177"/>
  <c r="G98" i="177"/>
  <c r="H98" i="177"/>
  <c r="I98" i="177"/>
  <c r="J98" i="177"/>
  <c r="K98" i="177"/>
  <c r="L98" i="177"/>
  <c r="M98" i="177"/>
  <c r="N98" i="177"/>
  <c r="O98" i="177"/>
  <c r="P98" i="177"/>
  <c r="Q98" i="177"/>
  <c r="R98" i="177"/>
  <c r="S98" i="177"/>
  <c r="T98" i="177"/>
  <c r="U98" i="177"/>
  <c r="W98" i="177"/>
  <c r="E99" i="177"/>
  <c r="F99" i="177"/>
  <c r="G99" i="177"/>
  <c r="H99" i="177"/>
  <c r="I99" i="177"/>
  <c r="J99" i="177"/>
  <c r="K99" i="177"/>
  <c r="L99" i="177"/>
  <c r="M99" i="177"/>
  <c r="N99" i="177"/>
  <c r="O99" i="177"/>
  <c r="P99" i="177"/>
  <c r="Q99" i="177"/>
  <c r="R99" i="177"/>
  <c r="S99" i="177"/>
  <c r="T99" i="177"/>
  <c r="U99" i="177"/>
  <c r="W99" i="177"/>
  <c r="E100" i="177"/>
  <c r="F100" i="177"/>
  <c r="G100" i="177"/>
  <c r="H100" i="177"/>
  <c r="I100" i="177"/>
  <c r="J100" i="177"/>
  <c r="K100" i="177"/>
  <c r="L100" i="177"/>
  <c r="M100" i="177"/>
  <c r="N100" i="177"/>
  <c r="O100" i="177"/>
  <c r="P100" i="177"/>
  <c r="Q100" i="177"/>
  <c r="R100" i="177"/>
  <c r="S100" i="177"/>
  <c r="T100" i="177"/>
  <c r="U100" i="177"/>
  <c r="W100" i="177"/>
  <c r="E101" i="177"/>
  <c r="F101" i="177"/>
  <c r="G101" i="177"/>
  <c r="H101" i="177"/>
  <c r="I101" i="177"/>
  <c r="J101" i="177"/>
  <c r="K101" i="177"/>
  <c r="L101" i="177"/>
  <c r="M101" i="177"/>
  <c r="N101" i="177"/>
  <c r="O101" i="177"/>
  <c r="P101" i="177"/>
  <c r="Q101" i="177"/>
  <c r="R101" i="177"/>
  <c r="S101" i="177"/>
  <c r="T101" i="177"/>
  <c r="U101" i="177"/>
  <c r="W101" i="177"/>
  <c r="E102" i="177"/>
  <c r="F102" i="177"/>
  <c r="G102" i="177"/>
  <c r="H102" i="177"/>
  <c r="I102" i="177"/>
  <c r="J102" i="177"/>
  <c r="K102" i="177"/>
  <c r="L102" i="177"/>
  <c r="M102" i="177"/>
  <c r="N102" i="177"/>
  <c r="O102" i="177"/>
  <c r="P102" i="177"/>
  <c r="Q102" i="177"/>
  <c r="R102" i="177"/>
  <c r="S102" i="177"/>
  <c r="T102" i="177"/>
  <c r="U102" i="177"/>
  <c r="W102" i="177"/>
  <c r="E103" i="177"/>
  <c r="F103" i="177"/>
  <c r="G103" i="177"/>
  <c r="H103" i="177"/>
  <c r="I103" i="177"/>
  <c r="J103" i="177"/>
  <c r="K103" i="177"/>
  <c r="L103" i="177"/>
  <c r="M103" i="177"/>
  <c r="N103" i="177"/>
  <c r="O103" i="177"/>
  <c r="P103" i="177"/>
  <c r="Q103" i="177"/>
  <c r="R103" i="177"/>
  <c r="S103" i="177"/>
  <c r="T103" i="177"/>
  <c r="U103" i="177"/>
  <c r="W103" i="177"/>
  <c r="E104" i="177"/>
  <c r="F104" i="177"/>
  <c r="G104" i="177"/>
  <c r="H104" i="177"/>
  <c r="I104" i="177"/>
  <c r="J104" i="177"/>
  <c r="K104" i="177"/>
  <c r="L104" i="177"/>
  <c r="M104" i="177"/>
  <c r="N104" i="177"/>
  <c r="O104" i="177"/>
  <c r="P104" i="177"/>
  <c r="Q104" i="177"/>
  <c r="R104" i="177"/>
  <c r="S104" i="177"/>
  <c r="T104" i="177"/>
  <c r="U104" i="177"/>
  <c r="W104" i="177"/>
  <c r="E105" i="177"/>
  <c r="F105" i="177"/>
  <c r="G105" i="177"/>
  <c r="H105" i="177"/>
  <c r="I105" i="177"/>
  <c r="J105" i="177"/>
  <c r="K105" i="177"/>
  <c r="L105" i="177"/>
  <c r="M105" i="177"/>
  <c r="N105" i="177"/>
  <c r="O105" i="177"/>
  <c r="P105" i="177"/>
  <c r="Q105" i="177"/>
  <c r="R105" i="177"/>
  <c r="S105" i="177"/>
  <c r="T105" i="177"/>
  <c r="U105" i="177"/>
  <c r="W105" i="177"/>
  <c r="E106" i="177"/>
  <c r="F106" i="177"/>
  <c r="G106" i="177"/>
  <c r="H106" i="177"/>
  <c r="I106" i="177"/>
  <c r="J106" i="177"/>
  <c r="K106" i="177"/>
  <c r="L106" i="177"/>
  <c r="M106" i="177"/>
  <c r="N106" i="177"/>
  <c r="O106" i="177"/>
  <c r="P106" i="177"/>
  <c r="Q106" i="177"/>
  <c r="R106" i="177"/>
  <c r="S106" i="177"/>
  <c r="T106" i="177"/>
  <c r="U106" i="177"/>
  <c r="W106" i="177"/>
  <c r="E107" i="177"/>
  <c r="F107" i="177"/>
  <c r="G107" i="177"/>
  <c r="H107" i="177"/>
  <c r="I107" i="177"/>
  <c r="J107" i="177"/>
  <c r="K107" i="177"/>
  <c r="L107" i="177"/>
  <c r="M107" i="177"/>
  <c r="N107" i="177"/>
  <c r="O107" i="177"/>
  <c r="P107" i="177"/>
  <c r="Q107" i="177"/>
  <c r="R107" i="177"/>
  <c r="S107" i="177"/>
  <c r="T107" i="177"/>
  <c r="U107" i="177"/>
  <c r="W107" i="177"/>
  <c r="W12" i="177"/>
  <c r="F12" i="177"/>
  <c r="G12" i="177"/>
  <c r="H12" i="177"/>
  <c r="I12" i="177"/>
  <c r="J12" i="177"/>
  <c r="K12" i="177"/>
  <c r="L12" i="177"/>
  <c r="M12" i="177"/>
  <c r="N12" i="177"/>
  <c r="O12" i="177"/>
  <c r="P12" i="177"/>
  <c r="Q12" i="177"/>
  <c r="R12" i="177"/>
  <c r="S12" i="177"/>
  <c r="T12" i="177"/>
  <c r="U12" i="177"/>
  <c r="E12" i="177"/>
  <c r="C92" i="177"/>
  <c r="C84" i="177"/>
  <c r="C76" i="177"/>
  <c r="C68" i="177"/>
  <c r="C60" i="177"/>
  <c r="C52" i="177"/>
  <c r="C44" i="177"/>
  <c r="C36" i="177"/>
  <c r="C28" i="177"/>
  <c r="C20" i="177"/>
  <c r="C12" i="177"/>
  <c r="B8" i="177"/>
  <c r="D2" i="177"/>
  <c r="D3" i="177"/>
  <c r="E13" i="176"/>
  <c r="F13" i="176"/>
  <c r="G13" i="176"/>
  <c r="H13" i="176"/>
  <c r="I13" i="176"/>
  <c r="J13" i="176"/>
  <c r="K13" i="176"/>
  <c r="L13" i="176"/>
  <c r="M13" i="176"/>
  <c r="N13" i="176"/>
  <c r="O13" i="176"/>
  <c r="P13" i="176"/>
  <c r="Q13" i="176"/>
  <c r="R13" i="176"/>
  <c r="S13" i="176"/>
  <c r="T13" i="176"/>
  <c r="U13" i="176"/>
  <c r="W13" i="176"/>
  <c r="E14" i="176"/>
  <c r="F14" i="176"/>
  <c r="G14" i="176"/>
  <c r="H14" i="176"/>
  <c r="I14" i="176"/>
  <c r="J14" i="176"/>
  <c r="K14" i="176"/>
  <c r="L14" i="176"/>
  <c r="M14" i="176"/>
  <c r="N14" i="176"/>
  <c r="O14" i="176"/>
  <c r="P14" i="176"/>
  <c r="Q14" i="176"/>
  <c r="R14" i="176"/>
  <c r="S14" i="176"/>
  <c r="T14" i="176"/>
  <c r="U14" i="176"/>
  <c r="W14" i="176"/>
  <c r="E15" i="176"/>
  <c r="F15" i="176"/>
  <c r="G15" i="176"/>
  <c r="H15" i="176"/>
  <c r="I15" i="176"/>
  <c r="J15" i="176"/>
  <c r="K15" i="176"/>
  <c r="L15" i="176"/>
  <c r="M15" i="176"/>
  <c r="N15" i="176"/>
  <c r="O15" i="176"/>
  <c r="P15" i="176"/>
  <c r="Q15" i="176"/>
  <c r="R15" i="176"/>
  <c r="S15" i="176"/>
  <c r="T15" i="176"/>
  <c r="U15" i="176"/>
  <c r="W15" i="176"/>
  <c r="E16" i="176"/>
  <c r="F16" i="176"/>
  <c r="G16" i="176"/>
  <c r="H16" i="176"/>
  <c r="I16" i="176"/>
  <c r="J16" i="176"/>
  <c r="K16" i="176"/>
  <c r="L16" i="176"/>
  <c r="M16" i="176"/>
  <c r="N16" i="176"/>
  <c r="O16" i="176"/>
  <c r="P16" i="176"/>
  <c r="Q16" i="176"/>
  <c r="R16" i="176"/>
  <c r="S16" i="176"/>
  <c r="T16" i="176"/>
  <c r="U16" i="176"/>
  <c r="W16" i="176"/>
  <c r="E17" i="176"/>
  <c r="F17" i="176"/>
  <c r="G17" i="176"/>
  <c r="H17" i="176"/>
  <c r="I17" i="176"/>
  <c r="J17" i="176"/>
  <c r="K17" i="176"/>
  <c r="L17" i="176"/>
  <c r="M17" i="176"/>
  <c r="N17" i="176"/>
  <c r="O17" i="176"/>
  <c r="P17" i="176"/>
  <c r="Q17" i="176"/>
  <c r="R17" i="176"/>
  <c r="S17" i="176"/>
  <c r="T17" i="176"/>
  <c r="U17" i="176"/>
  <c r="W17" i="176"/>
  <c r="E18" i="176"/>
  <c r="F18" i="176"/>
  <c r="G18" i="176"/>
  <c r="H18" i="176"/>
  <c r="I18" i="176"/>
  <c r="J18" i="176"/>
  <c r="K18" i="176"/>
  <c r="L18" i="176"/>
  <c r="M18" i="176"/>
  <c r="N18" i="176"/>
  <c r="O18" i="176"/>
  <c r="P18" i="176"/>
  <c r="Q18" i="176"/>
  <c r="R18" i="176"/>
  <c r="S18" i="176"/>
  <c r="T18" i="176"/>
  <c r="U18" i="176"/>
  <c r="W18" i="176"/>
  <c r="E19" i="176"/>
  <c r="F19" i="176"/>
  <c r="G19" i="176"/>
  <c r="H19" i="176"/>
  <c r="I19" i="176"/>
  <c r="J19" i="176"/>
  <c r="K19" i="176"/>
  <c r="L19" i="176"/>
  <c r="M19" i="176"/>
  <c r="N19" i="176"/>
  <c r="O19" i="176"/>
  <c r="P19" i="176"/>
  <c r="Q19" i="176"/>
  <c r="R19" i="176"/>
  <c r="S19" i="176"/>
  <c r="T19" i="176"/>
  <c r="U19" i="176"/>
  <c r="W19" i="176"/>
  <c r="E20" i="176"/>
  <c r="F20" i="176"/>
  <c r="G20" i="176"/>
  <c r="H20" i="176"/>
  <c r="I20" i="176"/>
  <c r="J20" i="176"/>
  <c r="K20" i="176"/>
  <c r="L20" i="176"/>
  <c r="M20" i="176"/>
  <c r="N20" i="176"/>
  <c r="O20" i="176"/>
  <c r="P20" i="176"/>
  <c r="Q20" i="176"/>
  <c r="R20" i="176"/>
  <c r="S20" i="176"/>
  <c r="T20" i="176"/>
  <c r="U20" i="176"/>
  <c r="W20" i="176"/>
  <c r="E21" i="176"/>
  <c r="F21" i="176"/>
  <c r="G21" i="176"/>
  <c r="H21" i="176"/>
  <c r="I21" i="176"/>
  <c r="J21" i="176"/>
  <c r="K21" i="176"/>
  <c r="L21" i="176"/>
  <c r="M21" i="176"/>
  <c r="N21" i="176"/>
  <c r="O21" i="176"/>
  <c r="P21" i="176"/>
  <c r="Q21" i="176"/>
  <c r="R21" i="176"/>
  <c r="S21" i="176"/>
  <c r="T21" i="176"/>
  <c r="U21" i="176"/>
  <c r="W21" i="176"/>
  <c r="E22" i="176"/>
  <c r="F22" i="176"/>
  <c r="G22" i="176"/>
  <c r="H22" i="176"/>
  <c r="I22" i="176"/>
  <c r="J22" i="176"/>
  <c r="K22" i="176"/>
  <c r="L22" i="176"/>
  <c r="M22" i="176"/>
  <c r="N22" i="176"/>
  <c r="O22" i="176"/>
  <c r="P22" i="176"/>
  <c r="Q22" i="176"/>
  <c r="R22" i="176"/>
  <c r="S22" i="176"/>
  <c r="T22" i="176"/>
  <c r="U22" i="176"/>
  <c r="W22" i="176"/>
  <c r="E23" i="176"/>
  <c r="F23" i="176"/>
  <c r="G23" i="176"/>
  <c r="H23" i="176"/>
  <c r="I23" i="176"/>
  <c r="J23" i="176"/>
  <c r="K23" i="176"/>
  <c r="L23" i="176"/>
  <c r="M23" i="176"/>
  <c r="N23" i="176"/>
  <c r="O23" i="176"/>
  <c r="P23" i="176"/>
  <c r="Q23" i="176"/>
  <c r="R23" i="176"/>
  <c r="S23" i="176"/>
  <c r="T23" i="176"/>
  <c r="U23" i="176"/>
  <c r="W23" i="176"/>
  <c r="E24" i="176"/>
  <c r="F24" i="176"/>
  <c r="G24" i="176"/>
  <c r="H24" i="176"/>
  <c r="I24" i="176"/>
  <c r="J24" i="176"/>
  <c r="K24" i="176"/>
  <c r="L24" i="176"/>
  <c r="M24" i="176"/>
  <c r="N24" i="176"/>
  <c r="O24" i="176"/>
  <c r="P24" i="176"/>
  <c r="Q24" i="176"/>
  <c r="R24" i="176"/>
  <c r="S24" i="176"/>
  <c r="T24" i="176"/>
  <c r="U24" i="176"/>
  <c r="W24" i="176"/>
  <c r="E25" i="176"/>
  <c r="F25" i="176"/>
  <c r="G25" i="176"/>
  <c r="H25" i="176"/>
  <c r="I25" i="176"/>
  <c r="J25" i="176"/>
  <c r="K25" i="176"/>
  <c r="L25" i="176"/>
  <c r="M25" i="176"/>
  <c r="N25" i="176"/>
  <c r="O25" i="176"/>
  <c r="P25" i="176"/>
  <c r="Q25" i="176"/>
  <c r="R25" i="176"/>
  <c r="S25" i="176"/>
  <c r="T25" i="176"/>
  <c r="U25" i="176"/>
  <c r="W25" i="176"/>
  <c r="E26" i="176"/>
  <c r="F26" i="176"/>
  <c r="G26" i="176"/>
  <c r="H26" i="176"/>
  <c r="I26" i="176"/>
  <c r="J26" i="176"/>
  <c r="K26" i="176"/>
  <c r="L26" i="176"/>
  <c r="M26" i="176"/>
  <c r="N26" i="176"/>
  <c r="O26" i="176"/>
  <c r="P26" i="176"/>
  <c r="Q26" i="176"/>
  <c r="R26" i="176"/>
  <c r="S26" i="176"/>
  <c r="T26" i="176"/>
  <c r="U26" i="176"/>
  <c r="W26" i="176"/>
  <c r="E27" i="176"/>
  <c r="F27" i="176"/>
  <c r="G27" i="176"/>
  <c r="H27" i="176"/>
  <c r="I27" i="176"/>
  <c r="J27" i="176"/>
  <c r="K27" i="176"/>
  <c r="L27" i="176"/>
  <c r="M27" i="176"/>
  <c r="N27" i="176"/>
  <c r="O27" i="176"/>
  <c r="P27" i="176"/>
  <c r="Q27" i="176"/>
  <c r="R27" i="176"/>
  <c r="S27" i="176"/>
  <c r="T27" i="176"/>
  <c r="U27" i="176"/>
  <c r="W27" i="176"/>
  <c r="E28" i="176"/>
  <c r="F28" i="176"/>
  <c r="G28" i="176"/>
  <c r="H28" i="176"/>
  <c r="I28" i="176"/>
  <c r="J28" i="176"/>
  <c r="K28" i="176"/>
  <c r="L28" i="176"/>
  <c r="M28" i="176"/>
  <c r="N28" i="176"/>
  <c r="O28" i="176"/>
  <c r="P28" i="176"/>
  <c r="Q28" i="176"/>
  <c r="R28" i="176"/>
  <c r="S28" i="176"/>
  <c r="T28" i="176"/>
  <c r="U28" i="176"/>
  <c r="W28" i="176"/>
  <c r="E29" i="176"/>
  <c r="F29" i="176"/>
  <c r="G29" i="176"/>
  <c r="H29" i="176"/>
  <c r="I29" i="176"/>
  <c r="J29" i="176"/>
  <c r="K29" i="176"/>
  <c r="L29" i="176"/>
  <c r="M29" i="176"/>
  <c r="N29" i="176"/>
  <c r="O29" i="176"/>
  <c r="P29" i="176"/>
  <c r="Q29" i="176"/>
  <c r="R29" i="176"/>
  <c r="S29" i="176"/>
  <c r="T29" i="176"/>
  <c r="U29" i="176"/>
  <c r="W29" i="176"/>
  <c r="E30" i="176"/>
  <c r="F30" i="176"/>
  <c r="G30" i="176"/>
  <c r="H30" i="176"/>
  <c r="I30" i="176"/>
  <c r="J30" i="176"/>
  <c r="K30" i="176"/>
  <c r="L30" i="176"/>
  <c r="M30" i="176"/>
  <c r="N30" i="176"/>
  <c r="O30" i="176"/>
  <c r="P30" i="176"/>
  <c r="Q30" i="176"/>
  <c r="R30" i="176"/>
  <c r="S30" i="176"/>
  <c r="T30" i="176"/>
  <c r="U30" i="176"/>
  <c r="W30" i="176"/>
  <c r="E31" i="176"/>
  <c r="F31" i="176"/>
  <c r="G31" i="176"/>
  <c r="H31" i="176"/>
  <c r="I31" i="176"/>
  <c r="J31" i="176"/>
  <c r="K31" i="176"/>
  <c r="L31" i="176"/>
  <c r="M31" i="176"/>
  <c r="N31" i="176"/>
  <c r="O31" i="176"/>
  <c r="P31" i="176"/>
  <c r="Q31" i="176"/>
  <c r="R31" i="176"/>
  <c r="S31" i="176"/>
  <c r="T31" i="176"/>
  <c r="U31" i="176"/>
  <c r="W31" i="176"/>
  <c r="E32" i="176"/>
  <c r="F32" i="176"/>
  <c r="G32" i="176"/>
  <c r="H32" i="176"/>
  <c r="I32" i="176"/>
  <c r="J32" i="176"/>
  <c r="K32" i="176"/>
  <c r="L32" i="176"/>
  <c r="M32" i="176"/>
  <c r="N32" i="176"/>
  <c r="O32" i="176"/>
  <c r="P32" i="176"/>
  <c r="Q32" i="176"/>
  <c r="R32" i="176"/>
  <c r="S32" i="176"/>
  <c r="T32" i="176"/>
  <c r="U32" i="176"/>
  <c r="W32" i="176"/>
  <c r="E33" i="176"/>
  <c r="F33" i="176"/>
  <c r="G33" i="176"/>
  <c r="H33" i="176"/>
  <c r="I33" i="176"/>
  <c r="J33" i="176"/>
  <c r="K33" i="176"/>
  <c r="L33" i="176"/>
  <c r="M33" i="176"/>
  <c r="N33" i="176"/>
  <c r="O33" i="176"/>
  <c r="P33" i="176"/>
  <c r="Q33" i="176"/>
  <c r="R33" i="176"/>
  <c r="S33" i="176"/>
  <c r="T33" i="176"/>
  <c r="U33" i="176"/>
  <c r="W33" i="176"/>
  <c r="E34" i="176"/>
  <c r="F34" i="176"/>
  <c r="G34" i="176"/>
  <c r="H34" i="176"/>
  <c r="I34" i="176"/>
  <c r="J34" i="176"/>
  <c r="K34" i="176"/>
  <c r="L34" i="176"/>
  <c r="M34" i="176"/>
  <c r="N34" i="176"/>
  <c r="O34" i="176"/>
  <c r="P34" i="176"/>
  <c r="Q34" i="176"/>
  <c r="R34" i="176"/>
  <c r="S34" i="176"/>
  <c r="T34" i="176"/>
  <c r="U34" i="176"/>
  <c r="W34" i="176"/>
  <c r="E35" i="176"/>
  <c r="F35" i="176"/>
  <c r="G35" i="176"/>
  <c r="H35" i="176"/>
  <c r="I35" i="176"/>
  <c r="J35" i="176"/>
  <c r="K35" i="176"/>
  <c r="L35" i="176"/>
  <c r="M35" i="176"/>
  <c r="N35" i="176"/>
  <c r="O35" i="176"/>
  <c r="P35" i="176"/>
  <c r="Q35" i="176"/>
  <c r="R35" i="176"/>
  <c r="S35" i="176"/>
  <c r="T35" i="176"/>
  <c r="U35" i="176"/>
  <c r="W35" i="176"/>
  <c r="E36" i="176"/>
  <c r="F36" i="176"/>
  <c r="G36" i="176"/>
  <c r="H36" i="176"/>
  <c r="I36" i="176"/>
  <c r="J36" i="176"/>
  <c r="K36" i="176"/>
  <c r="L36" i="176"/>
  <c r="M36" i="176"/>
  <c r="N36" i="176"/>
  <c r="O36" i="176"/>
  <c r="P36" i="176"/>
  <c r="Q36" i="176"/>
  <c r="R36" i="176"/>
  <c r="S36" i="176"/>
  <c r="T36" i="176"/>
  <c r="U36" i="176"/>
  <c r="W36" i="176"/>
  <c r="E37" i="176"/>
  <c r="F37" i="176"/>
  <c r="G37" i="176"/>
  <c r="H37" i="176"/>
  <c r="I37" i="176"/>
  <c r="J37" i="176"/>
  <c r="K37" i="176"/>
  <c r="L37" i="176"/>
  <c r="M37" i="176"/>
  <c r="N37" i="176"/>
  <c r="O37" i="176"/>
  <c r="P37" i="176"/>
  <c r="Q37" i="176"/>
  <c r="R37" i="176"/>
  <c r="S37" i="176"/>
  <c r="T37" i="176"/>
  <c r="U37" i="176"/>
  <c r="W37" i="176"/>
  <c r="E38" i="176"/>
  <c r="F38" i="176"/>
  <c r="G38" i="176"/>
  <c r="H38" i="176"/>
  <c r="I38" i="176"/>
  <c r="J38" i="176"/>
  <c r="K38" i="176"/>
  <c r="L38" i="176"/>
  <c r="M38" i="176"/>
  <c r="N38" i="176"/>
  <c r="O38" i="176"/>
  <c r="P38" i="176"/>
  <c r="Q38" i="176"/>
  <c r="R38" i="176"/>
  <c r="S38" i="176"/>
  <c r="T38" i="176"/>
  <c r="U38" i="176"/>
  <c r="W38" i="176"/>
  <c r="E39" i="176"/>
  <c r="F39" i="176"/>
  <c r="G39" i="176"/>
  <c r="H39" i="176"/>
  <c r="I39" i="176"/>
  <c r="J39" i="176"/>
  <c r="K39" i="176"/>
  <c r="L39" i="176"/>
  <c r="M39" i="176"/>
  <c r="N39" i="176"/>
  <c r="O39" i="176"/>
  <c r="P39" i="176"/>
  <c r="Q39" i="176"/>
  <c r="R39" i="176"/>
  <c r="S39" i="176"/>
  <c r="T39" i="176"/>
  <c r="U39" i="176"/>
  <c r="W39" i="176"/>
  <c r="E40" i="176"/>
  <c r="F40" i="176"/>
  <c r="G40" i="176"/>
  <c r="H40" i="176"/>
  <c r="I40" i="176"/>
  <c r="J40" i="176"/>
  <c r="K40" i="176"/>
  <c r="L40" i="176"/>
  <c r="M40" i="176"/>
  <c r="N40" i="176"/>
  <c r="O40" i="176"/>
  <c r="P40" i="176"/>
  <c r="Q40" i="176"/>
  <c r="R40" i="176"/>
  <c r="S40" i="176"/>
  <c r="T40" i="176"/>
  <c r="U40" i="176"/>
  <c r="W40" i="176"/>
  <c r="E41" i="176"/>
  <c r="F41" i="176"/>
  <c r="G41" i="176"/>
  <c r="H41" i="176"/>
  <c r="I41" i="176"/>
  <c r="J41" i="176"/>
  <c r="K41" i="176"/>
  <c r="L41" i="176"/>
  <c r="M41" i="176"/>
  <c r="N41" i="176"/>
  <c r="O41" i="176"/>
  <c r="P41" i="176"/>
  <c r="Q41" i="176"/>
  <c r="R41" i="176"/>
  <c r="S41" i="176"/>
  <c r="T41" i="176"/>
  <c r="U41" i="176"/>
  <c r="W41" i="176"/>
  <c r="E42" i="176"/>
  <c r="F42" i="176"/>
  <c r="G42" i="176"/>
  <c r="H42" i="176"/>
  <c r="I42" i="176"/>
  <c r="J42" i="176"/>
  <c r="K42" i="176"/>
  <c r="L42" i="176"/>
  <c r="M42" i="176"/>
  <c r="N42" i="176"/>
  <c r="O42" i="176"/>
  <c r="P42" i="176"/>
  <c r="Q42" i="176"/>
  <c r="R42" i="176"/>
  <c r="S42" i="176"/>
  <c r="T42" i="176"/>
  <c r="U42" i="176"/>
  <c r="W42" i="176"/>
  <c r="E43" i="176"/>
  <c r="F43" i="176"/>
  <c r="G43" i="176"/>
  <c r="H43" i="176"/>
  <c r="I43" i="176"/>
  <c r="J43" i="176"/>
  <c r="K43" i="176"/>
  <c r="L43" i="176"/>
  <c r="M43" i="176"/>
  <c r="N43" i="176"/>
  <c r="O43" i="176"/>
  <c r="P43" i="176"/>
  <c r="Q43" i="176"/>
  <c r="R43" i="176"/>
  <c r="S43" i="176"/>
  <c r="T43" i="176"/>
  <c r="U43" i="176"/>
  <c r="W43" i="176"/>
  <c r="E44" i="176"/>
  <c r="F44" i="176"/>
  <c r="G44" i="176"/>
  <c r="H44" i="176"/>
  <c r="I44" i="176"/>
  <c r="J44" i="176"/>
  <c r="K44" i="176"/>
  <c r="L44" i="176"/>
  <c r="M44" i="176"/>
  <c r="N44" i="176"/>
  <c r="O44" i="176"/>
  <c r="P44" i="176"/>
  <c r="Q44" i="176"/>
  <c r="R44" i="176"/>
  <c r="S44" i="176"/>
  <c r="T44" i="176"/>
  <c r="U44" i="176"/>
  <c r="W44" i="176"/>
  <c r="E45" i="176"/>
  <c r="F45" i="176"/>
  <c r="G45" i="176"/>
  <c r="H45" i="176"/>
  <c r="I45" i="176"/>
  <c r="J45" i="176"/>
  <c r="K45" i="176"/>
  <c r="L45" i="176"/>
  <c r="M45" i="176"/>
  <c r="N45" i="176"/>
  <c r="O45" i="176"/>
  <c r="P45" i="176"/>
  <c r="Q45" i="176"/>
  <c r="R45" i="176"/>
  <c r="S45" i="176"/>
  <c r="T45" i="176"/>
  <c r="U45" i="176"/>
  <c r="W45" i="176"/>
  <c r="E46" i="176"/>
  <c r="F46" i="176"/>
  <c r="G46" i="176"/>
  <c r="H46" i="176"/>
  <c r="I46" i="176"/>
  <c r="J46" i="176"/>
  <c r="K46" i="176"/>
  <c r="L46" i="176"/>
  <c r="M46" i="176"/>
  <c r="N46" i="176"/>
  <c r="O46" i="176"/>
  <c r="P46" i="176"/>
  <c r="Q46" i="176"/>
  <c r="R46" i="176"/>
  <c r="S46" i="176"/>
  <c r="T46" i="176"/>
  <c r="U46" i="176"/>
  <c r="W46" i="176"/>
  <c r="E47" i="176"/>
  <c r="F47" i="176"/>
  <c r="G47" i="176"/>
  <c r="H47" i="176"/>
  <c r="I47" i="176"/>
  <c r="J47" i="176"/>
  <c r="K47" i="176"/>
  <c r="L47" i="176"/>
  <c r="M47" i="176"/>
  <c r="N47" i="176"/>
  <c r="O47" i="176"/>
  <c r="P47" i="176"/>
  <c r="Q47" i="176"/>
  <c r="R47" i="176"/>
  <c r="S47" i="176"/>
  <c r="T47" i="176"/>
  <c r="U47" i="176"/>
  <c r="W47" i="176"/>
  <c r="E48" i="176"/>
  <c r="F48" i="176"/>
  <c r="G48" i="176"/>
  <c r="H48" i="176"/>
  <c r="I48" i="176"/>
  <c r="J48" i="176"/>
  <c r="K48" i="176"/>
  <c r="L48" i="176"/>
  <c r="M48" i="176"/>
  <c r="N48" i="176"/>
  <c r="O48" i="176"/>
  <c r="P48" i="176"/>
  <c r="Q48" i="176"/>
  <c r="R48" i="176"/>
  <c r="S48" i="176"/>
  <c r="T48" i="176"/>
  <c r="U48" i="176"/>
  <c r="W48" i="176"/>
  <c r="E49" i="176"/>
  <c r="F49" i="176"/>
  <c r="G49" i="176"/>
  <c r="H49" i="176"/>
  <c r="I49" i="176"/>
  <c r="J49" i="176"/>
  <c r="K49" i="176"/>
  <c r="L49" i="176"/>
  <c r="M49" i="176"/>
  <c r="N49" i="176"/>
  <c r="O49" i="176"/>
  <c r="P49" i="176"/>
  <c r="Q49" i="176"/>
  <c r="R49" i="176"/>
  <c r="S49" i="176"/>
  <c r="T49" i="176"/>
  <c r="U49" i="176"/>
  <c r="W49" i="176"/>
  <c r="E50" i="176"/>
  <c r="F50" i="176"/>
  <c r="G50" i="176"/>
  <c r="H50" i="176"/>
  <c r="I50" i="176"/>
  <c r="J50" i="176"/>
  <c r="K50" i="176"/>
  <c r="L50" i="176"/>
  <c r="M50" i="176"/>
  <c r="N50" i="176"/>
  <c r="O50" i="176"/>
  <c r="P50" i="176"/>
  <c r="Q50" i="176"/>
  <c r="R50" i="176"/>
  <c r="S50" i="176"/>
  <c r="T50" i="176"/>
  <c r="U50" i="176"/>
  <c r="W50" i="176"/>
  <c r="E51" i="176"/>
  <c r="F51" i="176"/>
  <c r="G51" i="176"/>
  <c r="H51" i="176"/>
  <c r="I51" i="176"/>
  <c r="J51" i="176"/>
  <c r="K51" i="176"/>
  <c r="L51" i="176"/>
  <c r="M51" i="176"/>
  <c r="N51" i="176"/>
  <c r="O51" i="176"/>
  <c r="P51" i="176"/>
  <c r="Q51" i="176"/>
  <c r="R51" i="176"/>
  <c r="S51" i="176"/>
  <c r="T51" i="176"/>
  <c r="U51" i="176"/>
  <c r="W51" i="176"/>
  <c r="E52" i="176"/>
  <c r="F52" i="176"/>
  <c r="G52" i="176"/>
  <c r="H52" i="176"/>
  <c r="I52" i="176"/>
  <c r="J52" i="176"/>
  <c r="K52" i="176"/>
  <c r="L52" i="176"/>
  <c r="M52" i="176"/>
  <c r="N52" i="176"/>
  <c r="O52" i="176"/>
  <c r="P52" i="176"/>
  <c r="Q52" i="176"/>
  <c r="R52" i="176"/>
  <c r="S52" i="176"/>
  <c r="T52" i="176"/>
  <c r="U52" i="176"/>
  <c r="W52" i="176"/>
  <c r="E53" i="176"/>
  <c r="F53" i="176"/>
  <c r="G53" i="176"/>
  <c r="H53" i="176"/>
  <c r="I53" i="176"/>
  <c r="J53" i="176"/>
  <c r="K53" i="176"/>
  <c r="L53" i="176"/>
  <c r="M53" i="176"/>
  <c r="N53" i="176"/>
  <c r="O53" i="176"/>
  <c r="P53" i="176"/>
  <c r="Q53" i="176"/>
  <c r="R53" i="176"/>
  <c r="S53" i="176"/>
  <c r="T53" i="176"/>
  <c r="U53" i="176"/>
  <c r="W53" i="176"/>
  <c r="E54" i="176"/>
  <c r="F54" i="176"/>
  <c r="G54" i="176"/>
  <c r="H54" i="176"/>
  <c r="I54" i="176"/>
  <c r="J54" i="176"/>
  <c r="K54" i="176"/>
  <c r="L54" i="176"/>
  <c r="M54" i="176"/>
  <c r="N54" i="176"/>
  <c r="O54" i="176"/>
  <c r="P54" i="176"/>
  <c r="Q54" i="176"/>
  <c r="R54" i="176"/>
  <c r="S54" i="176"/>
  <c r="T54" i="176"/>
  <c r="U54" i="176"/>
  <c r="W54" i="176"/>
  <c r="E55" i="176"/>
  <c r="F55" i="176"/>
  <c r="G55" i="176"/>
  <c r="H55" i="176"/>
  <c r="I55" i="176"/>
  <c r="J55" i="176"/>
  <c r="K55" i="176"/>
  <c r="L55" i="176"/>
  <c r="M55" i="176"/>
  <c r="N55" i="176"/>
  <c r="O55" i="176"/>
  <c r="P55" i="176"/>
  <c r="Q55" i="176"/>
  <c r="R55" i="176"/>
  <c r="S55" i="176"/>
  <c r="T55" i="176"/>
  <c r="U55" i="176"/>
  <c r="W55" i="176"/>
  <c r="E56" i="176"/>
  <c r="F56" i="176"/>
  <c r="G56" i="176"/>
  <c r="H56" i="176"/>
  <c r="I56" i="176"/>
  <c r="J56" i="176"/>
  <c r="K56" i="176"/>
  <c r="L56" i="176"/>
  <c r="M56" i="176"/>
  <c r="N56" i="176"/>
  <c r="O56" i="176"/>
  <c r="P56" i="176"/>
  <c r="Q56" i="176"/>
  <c r="R56" i="176"/>
  <c r="S56" i="176"/>
  <c r="T56" i="176"/>
  <c r="U56" i="176"/>
  <c r="W56" i="176"/>
  <c r="E57" i="176"/>
  <c r="F57" i="176"/>
  <c r="G57" i="176"/>
  <c r="H57" i="176"/>
  <c r="I57" i="176"/>
  <c r="J57" i="176"/>
  <c r="K57" i="176"/>
  <c r="L57" i="176"/>
  <c r="M57" i="176"/>
  <c r="N57" i="176"/>
  <c r="O57" i="176"/>
  <c r="P57" i="176"/>
  <c r="Q57" i="176"/>
  <c r="R57" i="176"/>
  <c r="S57" i="176"/>
  <c r="T57" i="176"/>
  <c r="U57" i="176"/>
  <c r="W57" i="176"/>
  <c r="E58" i="176"/>
  <c r="F58" i="176"/>
  <c r="G58" i="176"/>
  <c r="H58" i="176"/>
  <c r="I58" i="176"/>
  <c r="J58" i="176"/>
  <c r="K58" i="176"/>
  <c r="L58" i="176"/>
  <c r="M58" i="176"/>
  <c r="N58" i="176"/>
  <c r="O58" i="176"/>
  <c r="P58" i="176"/>
  <c r="Q58" i="176"/>
  <c r="R58" i="176"/>
  <c r="S58" i="176"/>
  <c r="T58" i="176"/>
  <c r="U58" i="176"/>
  <c r="W58" i="176"/>
  <c r="E59" i="176"/>
  <c r="F59" i="176"/>
  <c r="G59" i="176"/>
  <c r="H59" i="176"/>
  <c r="I59" i="176"/>
  <c r="J59" i="176"/>
  <c r="K59" i="176"/>
  <c r="L59" i="176"/>
  <c r="M59" i="176"/>
  <c r="N59" i="176"/>
  <c r="O59" i="176"/>
  <c r="P59" i="176"/>
  <c r="Q59" i="176"/>
  <c r="R59" i="176"/>
  <c r="S59" i="176"/>
  <c r="T59" i="176"/>
  <c r="U59" i="176"/>
  <c r="W59" i="176"/>
  <c r="E60" i="176"/>
  <c r="F60" i="176"/>
  <c r="G60" i="176"/>
  <c r="H60" i="176"/>
  <c r="I60" i="176"/>
  <c r="J60" i="176"/>
  <c r="K60" i="176"/>
  <c r="L60" i="176"/>
  <c r="M60" i="176"/>
  <c r="N60" i="176"/>
  <c r="O60" i="176"/>
  <c r="P60" i="176"/>
  <c r="Q60" i="176"/>
  <c r="R60" i="176"/>
  <c r="S60" i="176"/>
  <c r="T60" i="176"/>
  <c r="U60" i="176"/>
  <c r="W60" i="176"/>
  <c r="E61" i="176"/>
  <c r="F61" i="176"/>
  <c r="G61" i="176"/>
  <c r="H61" i="176"/>
  <c r="I61" i="176"/>
  <c r="J61" i="176"/>
  <c r="K61" i="176"/>
  <c r="L61" i="176"/>
  <c r="M61" i="176"/>
  <c r="N61" i="176"/>
  <c r="O61" i="176"/>
  <c r="P61" i="176"/>
  <c r="Q61" i="176"/>
  <c r="R61" i="176"/>
  <c r="S61" i="176"/>
  <c r="T61" i="176"/>
  <c r="U61" i="176"/>
  <c r="W61" i="176"/>
  <c r="E62" i="176"/>
  <c r="F62" i="176"/>
  <c r="G62" i="176"/>
  <c r="H62" i="176"/>
  <c r="I62" i="176"/>
  <c r="J62" i="176"/>
  <c r="K62" i="176"/>
  <c r="L62" i="176"/>
  <c r="M62" i="176"/>
  <c r="N62" i="176"/>
  <c r="O62" i="176"/>
  <c r="P62" i="176"/>
  <c r="Q62" i="176"/>
  <c r="R62" i="176"/>
  <c r="S62" i="176"/>
  <c r="T62" i="176"/>
  <c r="U62" i="176"/>
  <c r="W62" i="176"/>
  <c r="E63" i="176"/>
  <c r="F63" i="176"/>
  <c r="G63" i="176"/>
  <c r="H63" i="176"/>
  <c r="I63" i="176"/>
  <c r="J63" i="176"/>
  <c r="K63" i="176"/>
  <c r="L63" i="176"/>
  <c r="M63" i="176"/>
  <c r="N63" i="176"/>
  <c r="O63" i="176"/>
  <c r="P63" i="176"/>
  <c r="Q63" i="176"/>
  <c r="R63" i="176"/>
  <c r="S63" i="176"/>
  <c r="T63" i="176"/>
  <c r="U63" i="176"/>
  <c r="W63" i="176"/>
  <c r="E64" i="176"/>
  <c r="F64" i="176"/>
  <c r="G64" i="176"/>
  <c r="H64" i="176"/>
  <c r="I64" i="176"/>
  <c r="J64" i="176"/>
  <c r="K64" i="176"/>
  <c r="L64" i="176"/>
  <c r="M64" i="176"/>
  <c r="N64" i="176"/>
  <c r="O64" i="176"/>
  <c r="P64" i="176"/>
  <c r="Q64" i="176"/>
  <c r="R64" i="176"/>
  <c r="S64" i="176"/>
  <c r="T64" i="176"/>
  <c r="U64" i="176"/>
  <c r="W64" i="176"/>
  <c r="E65" i="176"/>
  <c r="F65" i="176"/>
  <c r="G65" i="176"/>
  <c r="H65" i="176"/>
  <c r="I65" i="176"/>
  <c r="J65" i="176"/>
  <c r="K65" i="176"/>
  <c r="L65" i="176"/>
  <c r="M65" i="176"/>
  <c r="N65" i="176"/>
  <c r="O65" i="176"/>
  <c r="P65" i="176"/>
  <c r="Q65" i="176"/>
  <c r="R65" i="176"/>
  <c r="S65" i="176"/>
  <c r="T65" i="176"/>
  <c r="U65" i="176"/>
  <c r="W65" i="176"/>
  <c r="E66" i="176"/>
  <c r="F66" i="176"/>
  <c r="G66" i="176"/>
  <c r="H66" i="176"/>
  <c r="I66" i="176"/>
  <c r="J66" i="176"/>
  <c r="K66" i="176"/>
  <c r="L66" i="176"/>
  <c r="M66" i="176"/>
  <c r="N66" i="176"/>
  <c r="O66" i="176"/>
  <c r="P66" i="176"/>
  <c r="Q66" i="176"/>
  <c r="R66" i="176"/>
  <c r="S66" i="176"/>
  <c r="T66" i="176"/>
  <c r="U66" i="176"/>
  <c r="W66" i="176"/>
  <c r="E67" i="176"/>
  <c r="F67" i="176"/>
  <c r="G67" i="176"/>
  <c r="H67" i="176"/>
  <c r="I67" i="176"/>
  <c r="J67" i="176"/>
  <c r="K67" i="176"/>
  <c r="L67" i="176"/>
  <c r="M67" i="176"/>
  <c r="N67" i="176"/>
  <c r="O67" i="176"/>
  <c r="P67" i="176"/>
  <c r="Q67" i="176"/>
  <c r="R67" i="176"/>
  <c r="S67" i="176"/>
  <c r="T67" i="176"/>
  <c r="U67" i="176"/>
  <c r="W67" i="176"/>
  <c r="E68" i="176"/>
  <c r="F68" i="176"/>
  <c r="G68" i="176"/>
  <c r="H68" i="176"/>
  <c r="I68" i="176"/>
  <c r="J68" i="176"/>
  <c r="K68" i="176"/>
  <c r="L68" i="176"/>
  <c r="M68" i="176"/>
  <c r="N68" i="176"/>
  <c r="O68" i="176"/>
  <c r="P68" i="176"/>
  <c r="Q68" i="176"/>
  <c r="R68" i="176"/>
  <c r="S68" i="176"/>
  <c r="T68" i="176"/>
  <c r="U68" i="176"/>
  <c r="W68" i="176"/>
  <c r="E69" i="176"/>
  <c r="F69" i="176"/>
  <c r="G69" i="176"/>
  <c r="H69" i="176"/>
  <c r="I69" i="176"/>
  <c r="J69" i="176"/>
  <c r="K69" i="176"/>
  <c r="L69" i="176"/>
  <c r="M69" i="176"/>
  <c r="N69" i="176"/>
  <c r="O69" i="176"/>
  <c r="P69" i="176"/>
  <c r="Q69" i="176"/>
  <c r="R69" i="176"/>
  <c r="S69" i="176"/>
  <c r="T69" i="176"/>
  <c r="U69" i="176"/>
  <c r="W69" i="176"/>
  <c r="E70" i="176"/>
  <c r="F70" i="176"/>
  <c r="G70" i="176"/>
  <c r="H70" i="176"/>
  <c r="I70" i="176"/>
  <c r="J70" i="176"/>
  <c r="K70" i="176"/>
  <c r="L70" i="176"/>
  <c r="M70" i="176"/>
  <c r="N70" i="176"/>
  <c r="O70" i="176"/>
  <c r="P70" i="176"/>
  <c r="Q70" i="176"/>
  <c r="R70" i="176"/>
  <c r="S70" i="176"/>
  <c r="T70" i="176"/>
  <c r="U70" i="176"/>
  <c r="W70" i="176"/>
  <c r="E71" i="176"/>
  <c r="F71" i="176"/>
  <c r="G71" i="176"/>
  <c r="H71" i="176"/>
  <c r="I71" i="176"/>
  <c r="J71" i="176"/>
  <c r="K71" i="176"/>
  <c r="L71" i="176"/>
  <c r="M71" i="176"/>
  <c r="N71" i="176"/>
  <c r="O71" i="176"/>
  <c r="P71" i="176"/>
  <c r="Q71" i="176"/>
  <c r="R71" i="176"/>
  <c r="S71" i="176"/>
  <c r="T71" i="176"/>
  <c r="U71" i="176"/>
  <c r="W71" i="176"/>
  <c r="E72" i="176"/>
  <c r="F72" i="176"/>
  <c r="G72" i="176"/>
  <c r="H72" i="176"/>
  <c r="I72" i="176"/>
  <c r="J72" i="176"/>
  <c r="K72" i="176"/>
  <c r="L72" i="176"/>
  <c r="M72" i="176"/>
  <c r="N72" i="176"/>
  <c r="O72" i="176"/>
  <c r="P72" i="176"/>
  <c r="Q72" i="176"/>
  <c r="R72" i="176"/>
  <c r="S72" i="176"/>
  <c r="T72" i="176"/>
  <c r="U72" i="176"/>
  <c r="W72" i="176"/>
  <c r="E73" i="176"/>
  <c r="F73" i="176"/>
  <c r="G73" i="176"/>
  <c r="H73" i="176"/>
  <c r="I73" i="176"/>
  <c r="J73" i="176"/>
  <c r="K73" i="176"/>
  <c r="L73" i="176"/>
  <c r="M73" i="176"/>
  <c r="N73" i="176"/>
  <c r="O73" i="176"/>
  <c r="P73" i="176"/>
  <c r="Q73" i="176"/>
  <c r="R73" i="176"/>
  <c r="S73" i="176"/>
  <c r="T73" i="176"/>
  <c r="U73" i="176"/>
  <c r="W73" i="176"/>
  <c r="E74" i="176"/>
  <c r="F74" i="176"/>
  <c r="G74" i="176"/>
  <c r="H74" i="176"/>
  <c r="I74" i="176"/>
  <c r="J74" i="176"/>
  <c r="K74" i="176"/>
  <c r="L74" i="176"/>
  <c r="M74" i="176"/>
  <c r="N74" i="176"/>
  <c r="O74" i="176"/>
  <c r="P74" i="176"/>
  <c r="Q74" i="176"/>
  <c r="R74" i="176"/>
  <c r="S74" i="176"/>
  <c r="T74" i="176"/>
  <c r="U74" i="176"/>
  <c r="W74" i="176"/>
  <c r="E75" i="176"/>
  <c r="F75" i="176"/>
  <c r="G75" i="176"/>
  <c r="H75" i="176"/>
  <c r="I75" i="176"/>
  <c r="J75" i="176"/>
  <c r="K75" i="176"/>
  <c r="L75" i="176"/>
  <c r="M75" i="176"/>
  <c r="N75" i="176"/>
  <c r="O75" i="176"/>
  <c r="P75" i="176"/>
  <c r="Q75" i="176"/>
  <c r="R75" i="176"/>
  <c r="S75" i="176"/>
  <c r="T75" i="176"/>
  <c r="U75" i="176"/>
  <c r="W75" i="176"/>
  <c r="E76" i="176"/>
  <c r="F76" i="176"/>
  <c r="G76" i="176"/>
  <c r="H76" i="176"/>
  <c r="I76" i="176"/>
  <c r="J76" i="176"/>
  <c r="K76" i="176"/>
  <c r="L76" i="176"/>
  <c r="M76" i="176"/>
  <c r="N76" i="176"/>
  <c r="O76" i="176"/>
  <c r="P76" i="176"/>
  <c r="Q76" i="176"/>
  <c r="R76" i="176"/>
  <c r="S76" i="176"/>
  <c r="T76" i="176"/>
  <c r="U76" i="176"/>
  <c r="W76" i="176"/>
  <c r="E77" i="176"/>
  <c r="F77" i="176"/>
  <c r="G77" i="176"/>
  <c r="H77" i="176"/>
  <c r="I77" i="176"/>
  <c r="J77" i="176"/>
  <c r="K77" i="176"/>
  <c r="L77" i="176"/>
  <c r="M77" i="176"/>
  <c r="N77" i="176"/>
  <c r="O77" i="176"/>
  <c r="P77" i="176"/>
  <c r="Q77" i="176"/>
  <c r="R77" i="176"/>
  <c r="S77" i="176"/>
  <c r="T77" i="176"/>
  <c r="U77" i="176"/>
  <c r="W77" i="176"/>
  <c r="E78" i="176"/>
  <c r="F78" i="176"/>
  <c r="G78" i="176"/>
  <c r="H78" i="176"/>
  <c r="I78" i="176"/>
  <c r="J78" i="176"/>
  <c r="K78" i="176"/>
  <c r="L78" i="176"/>
  <c r="M78" i="176"/>
  <c r="N78" i="176"/>
  <c r="O78" i="176"/>
  <c r="P78" i="176"/>
  <c r="Q78" i="176"/>
  <c r="R78" i="176"/>
  <c r="S78" i="176"/>
  <c r="T78" i="176"/>
  <c r="U78" i="176"/>
  <c r="W78" i="176"/>
  <c r="E79" i="176"/>
  <c r="F79" i="176"/>
  <c r="G79" i="176"/>
  <c r="H79" i="176"/>
  <c r="I79" i="176"/>
  <c r="J79" i="176"/>
  <c r="K79" i="176"/>
  <c r="L79" i="176"/>
  <c r="M79" i="176"/>
  <c r="N79" i="176"/>
  <c r="O79" i="176"/>
  <c r="P79" i="176"/>
  <c r="Q79" i="176"/>
  <c r="R79" i="176"/>
  <c r="S79" i="176"/>
  <c r="T79" i="176"/>
  <c r="U79" i="176"/>
  <c r="W79" i="176"/>
  <c r="E80" i="176"/>
  <c r="F80" i="176"/>
  <c r="G80" i="176"/>
  <c r="H80" i="176"/>
  <c r="I80" i="176"/>
  <c r="J80" i="176"/>
  <c r="K80" i="176"/>
  <c r="L80" i="176"/>
  <c r="M80" i="176"/>
  <c r="N80" i="176"/>
  <c r="O80" i="176"/>
  <c r="P80" i="176"/>
  <c r="Q80" i="176"/>
  <c r="R80" i="176"/>
  <c r="S80" i="176"/>
  <c r="T80" i="176"/>
  <c r="U80" i="176"/>
  <c r="W80" i="176"/>
  <c r="E81" i="176"/>
  <c r="F81" i="176"/>
  <c r="G81" i="176"/>
  <c r="H81" i="176"/>
  <c r="I81" i="176"/>
  <c r="J81" i="176"/>
  <c r="K81" i="176"/>
  <c r="L81" i="176"/>
  <c r="M81" i="176"/>
  <c r="N81" i="176"/>
  <c r="O81" i="176"/>
  <c r="P81" i="176"/>
  <c r="Q81" i="176"/>
  <c r="R81" i="176"/>
  <c r="S81" i="176"/>
  <c r="T81" i="176"/>
  <c r="U81" i="176"/>
  <c r="W81" i="176"/>
  <c r="E82" i="176"/>
  <c r="F82" i="176"/>
  <c r="G82" i="176"/>
  <c r="H82" i="176"/>
  <c r="I82" i="176"/>
  <c r="J82" i="176"/>
  <c r="K82" i="176"/>
  <c r="L82" i="176"/>
  <c r="M82" i="176"/>
  <c r="N82" i="176"/>
  <c r="O82" i="176"/>
  <c r="P82" i="176"/>
  <c r="Q82" i="176"/>
  <c r="R82" i="176"/>
  <c r="S82" i="176"/>
  <c r="T82" i="176"/>
  <c r="U82" i="176"/>
  <c r="W82" i="176"/>
  <c r="E83" i="176"/>
  <c r="F83" i="176"/>
  <c r="G83" i="176"/>
  <c r="H83" i="176"/>
  <c r="I83" i="176"/>
  <c r="J83" i="176"/>
  <c r="K83" i="176"/>
  <c r="L83" i="176"/>
  <c r="M83" i="176"/>
  <c r="N83" i="176"/>
  <c r="O83" i="176"/>
  <c r="P83" i="176"/>
  <c r="Q83" i="176"/>
  <c r="R83" i="176"/>
  <c r="S83" i="176"/>
  <c r="T83" i="176"/>
  <c r="U83" i="176"/>
  <c r="W83" i="176"/>
  <c r="E84" i="176"/>
  <c r="F84" i="176"/>
  <c r="G84" i="176"/>
  <c r="H84" i="176"/>
  <c r="I84" i="176"/>
  <c r="J84" i="176"/>
  <c r="K84" i="176"/>
  <c r="L84" i="176"/>
  <c r="M84" i="176"/>
  <c r="N84" i="176"/>
  <c r="O84" i="176"/>
  <c r="P84" i="176"/>
  <c r="Q84" i="176"/>
  <c r="R84" i="176"/>
  <c r="S84" i="176"/>
  <c r="T84" i="176"/>
  <c r="U84" i="176"/>
  <c r="W84" i="176"/>
  <c r="E85" i="176"/>
  <c r="F85" i="176"/>
  <c r="G85" i="176"/>
  <c r="H85" i="176"/>
  <c r="I85" i="176"/>
  <c r="J85" i="176"/>
  <c r="K85" i="176"/>
  <c r="L85" i="176"/>
  <c r="M85" i="176"/>
  <c r="N85" i="176"/>
  <c r="O85" i="176"/>
  <c r="P85" i="176"/>
  <c r="Q85" i="176"/>
  <c r="R85" i="176"/>
  <c r="S85" i="176"/>
  <c r="T85" i="176"/>
  <c r="U85" i="176"/>
  <c r="W85" i="176"/>
  <c r="E86" i="176"/>
  <c r="F86" i="176"/>
  <c r="G86" i="176"/>
  <c r="H86" i="176"/>
  <c r="I86" i="176"/>
  <c r="J86" i="176"/>
  <c r="K86" i="176"/>
  <c r="L86" i="176"/>
  <c r="M86" i="176"/>
  <c r="N86" i="176"/>
  <c r="O86" i="176"/>
  <c r="P86" i="176"/>
  <c r="Q86" i="176"/>
  <c r="R86" i="176"/>
  <c r="S86" i="176"/>
  <c r="T86" i="176"/>
  <c r="U86" i="176"/>
  <c r="W86" i="176"/>
  <c r="E87" i="176"/>
  <c r="F87" i="176"/>
  <c r="G87" i="176"/>
  <c r="H87" i="176"/>
  <c r="I87" i="176"/>
  <c r="J87" i="176"/>
  <c r="K87" i="176"/>
  <c r="L87" i="176"/>
  <c r="M87" i="176"/>
  <c r="N87" i="176"/>
  <c r="O87" i="176"/>
  <c r="P87" i="176"/>
  <c r="Q87" i="176"/>
  <c r="R87" i="176"/>
  <c r="S87" i="176"/>
  <c r="T87" i="176"/>
  <c r="U87" i="176"/>
  <c r="W87" i="176"/>
  <c r="E88" i="176"/>
  <c r="F88" i="176"/>
  <c r="G88" i="176"/>
  <c r="H88" i="176"/>
  <c r="I88" i="176"/>
  <c r="J88" i="176"/>
  <c r="K88" i="176"/>
  <c r="L88" i="176"/>
  <c r="M88" i="176"/>
  <c r="N88" i="176"/>
  <c r="O88" i="176"/>
  <c r="P88" i="176"/>
  <c r="Q88" i="176"/>
  <c r="R88" i="176"/>
  <c r="S88" i="176"/>
  <c r="T88" i="176"/>
  <c r="U88" i="176"/>
  <c r="W88" i="176"/>
  <c r="E89" i="176"/>
  <c r="F89" i="176"/>
  <c r="G89" i="176"/>
  <c r="H89" i="176"/>
  <c r="I89" i="176"/>
  <c r="J89" i="176"/>
  <c r="K89" i="176"/>
  <c r="L89" i="176"/>
  <c r="M89" i="176"/>
  <c r="N89" i="176"/>
  <c r="O89" i="176"/>
  <c r="P89" i="176"/>
  <c r="Q89" i="176"/>
  <c r="R89" i="176"/>
  <c r="S89" i="176"/>
  <c r="T89" i="176"/>
  <c r="U89" i="176"/>
  <c r="W89" i="176"/>
  <c r="E90" i="176"/>
  <c r="F90" i="176"/>
  <c r="G90" i="176"/>
  <c r="H90" i="176"/>
  <c r="I90" i="176"/>
  <c r="J90" i="176"/>
  <c r="K90" i="176"/>
  <c r="L90" i="176"/>
  <c r="M90" i="176"/>
  <c r="N90" i="176"/>
  <c r="O90" i="176"/>
  <c r="P90" i="176"/>
  <c r="Q90" i="176"/>
  <c r="R90" i="176"/>
  <c r="S90" i="176"/>
  <c r="T90" i="176"/>
  <c r="U90" i="176"/>
  <c r="W90" i="176"/>
  <c r="E91" i="176"/>
  <c r="F91" i="176"/>
  <c r="G91" i="176"/>
  <c r="H91" i="176"/>
  <c r="I91" i="176"/>
  <c r="J91" i="176"/>
  <c r="K91" i="176"/>
  <c r="L91" i="176"/>
  <c r="M91" i="176"/>
  <c r="N91" i="176"/>
  <c r="O91" i="176"/>
  <c r="P91" i="176"/>
  <c r="Q91" i="176"/>
  <c r="R91" i="176"/>
  <c r="S91" i="176"/>
  <c r="T91" i="176"/>
  <c r="U91" i="176"/>
  <c r="W91" i="176"/>
  <c r="E92" i="176"/>
  <c r="F92" i="176"/>
  <c r="G92" i="176"/>
  <c r="H92" i="176"/>
  <c r="I92" i="176"/>
  <c r="J92" i="176"/>
  <c r="K92" i="176"/>
  <c r="L92" i="176"/>
  <c r="M92" i="176"/>
  <c r="N92" i="176"/>
  <c r="O92" i="176"/>
  <c r="P92" i="176"/>
  <c r="Q92" i="176"/>
  <c r="R92" i="176"/>
  <c r="S92" i="176"/>
  <c r="T92" i="176"/>
  <c r="U92" i="176"/>
  <c r="W92" i="176"/>
  <c r="E93" i="176"/>
  <c r="F93" i="176"/>
  <c r="G93" i="176"/>
  <c r="H93" i="176"/>
  <c r="I93" i="176"/>
  <c r="J93" i="176"/>
  <c r="K93" i="176"/>
  <c r="L93" i="176"/>
  <c r="M93" i="176"/>
  <c r="N93" i="176"/>
  <c r="O93" i="176"/>
  <c r="P93" i="176"/>
  <c r="Q93" i="176"/>
  <c r="R93" i="176"/>
  <c r="S93" i="176"/>
  <c r="T93" i="176"/>
  <c r="U93" i="176"/>
  <c r="W93" i="176"/>
  <c r="E94" i="176"/>
  <c r="F94" i="176"/>
  <c r="G94" i="176"/>
  <c r="H94" i="176"/>
  <c r="I94" i="176"/>
  <c r="J94" i="176"/>
  <c r="K94" i="176"/>
  <c r="L94" i="176"/>
  <c r="M94" i="176"/>
  <c r="N94" i="176"/>
  <c r="O94" i="176"/>
  <c r="P94" i="176"/>
  <c r="Q94" i="176"/>
  <c r="R94" i="176"/>
  <c r="S94" i="176"/>
  <c r="T94" i="176"/>
  <c r="U94" i="176"/>
  <c r="W94" i="176"/>
  <c r="E95" i="176"/>
  <c r="F95" i="176"/>
  <c r="G95" i="176"/>
  <c r="H95" i="176"/>
  <c r="I95" i="176"/>
  <c r="J95" i="176"/>
  <c r="K95" i="176"/>
  <c r="L95" i="176"/>
  <c r="M95" i="176"/>
  <c r="N95" i="176"/>
  <c r="O95" i="176"/>
  <c r="P95" i="176"/>
  <c r="Q95" i="176"/>
  <c r="R95" i="176"/>
  <c r="S95" i="176"/>
  <c r="T95" i="176"/>
  <c r="U95" i="176"/>
  <c r="W95" i="176"/>
  <c r="E96" i="176"/>
  <c r="F96" i="176"/>
  <c r="G96" i="176"/>
  <c r="H96" i="176"/>
  <c r="I96" i="176"/>
  <c r="J96" i="176"/>
  <c r="K96" i="176"/>
  <c r="L96" i="176"/>
  <c r="M96" i="176"/>
  <c r="N96" i="176"/>
  <c r="O96" i="176"/>
  <c r="P96" i="176"/>
  <c r="Q96" i="176"/>
  <c r="R96" i="176"/>
  <c r="S96" i="176"/>
  <c r="T96" i="176"/>
  <c r="U96" i="176"/>
  <c r="W96" i="176"/>
  <c r="E97" i="176"/>
  <c r="F97" i="176"/>
  <c r="G97" i="176"/>
  <c r="H97" i="176"/>
  <c r="I97" i="176"/>
  <c r="J97" i="176"/>
  <c r="K97" i="176"/>
  <c r="L97" i="176"/>
  <c r="M97" i="176"/>
  <c r="N97" i="176"/>
  <c r="O97" i="176"/>
  <c r="P97" i="176"/>
  <c r="Q97" i="176"/>
  <c r="R97" i="176"/>
  <c r="S97" i="176"/>
  <c r="T97" i="176"/>
  <c r="U97" i="176"/>
  <c r="W97" i="176"/>
  <c r="E98" i="176"/>
  <c r="F98" i="176"/>
  <c r="G98" i="176"/>
  <c r="H98" i="176"/>
  <c r="I98" i="176"/>
  <c r="J98" i="176"/>
  <c r="K98" i="176"/>
  <c r="L98" i="176"/>
  <c r="M98" i="176"/>
  <c r="N98" i="176"/>
  <c r="O98" i="176"/>
  <c r="P98" i="176"/>
  <c r="Q98" i="176"/>
  <c r="R98" i="176"/>
  <c r="S98" i="176"/>
  <c r="T98" i="176"/>
  <c r="U98" i="176"/>
  <c r="W98" i="176"/>
  <c r="E99" i="176"/>
  <c r="F99" i="176"/>
  <c r="G99" i="176"/>
  <c r="H99" i="176"/>
  <c r="I99" i="176"/>
  <c r="J99" i="176"/>
  <c r="K99" i="176"/>
  <c r="L99" i="176"/>
  <c r="M99" i="176"/>
  <c r="N99" i="176"/>
  <c r="O99" i="176"/>
  <c r="P99" i="176"/>
  <c r="Q99" i="176"/>
  <c r="R99" i="176"/>
  <c r="S99" i="176"/>
  <c r="T99" i="176"/>
  <c r="U99" i="176"/>
  <c r="W99" i="176"/>
  <c r="E100" i="176"/>
  <c r="F100" i="176"/>
  <c r="G100" i="176"/>
  <c r="H100" i="176"/>
  <c r="I100" i="176"/>
  <c r="J100" i="176"/>
  <c r="K100" i="176"/>
  <c r="L100" i="176"/>
  <c r="M100" i="176"/>
  <c r="N100" i="176"/>
  <c r="O100" i="176"/>
  <c r="P100" i="176"/>
  <c r="Q100" i="176"/>
  <c r="R100" i="176"/>
  <c r="S100" i="176"/>
  <c r="T100" i="176"/>
  <c r="U100" i="176"/>
  <c r="W100" i="176"/>
  <c r="E101" i="176"/>
  <c r="F101" i="176"/>
  <c r="G101" i="176"/>
  <c r="H101" i="176"/>
  <c r="I101" i="176"/>
  <c r="J101" i="176"/>
  <c r="K101" i="176"/>
  <c r="L101" i="176"/>
  <c r="M101" i="176"/>
  <c r="N101" i="176"/>
  <c r="O101" i="176"/>
  <c r="P101" i="176"/>
  <c r="Q101" i="176"/>
  <c r="R101" i="176"/>
  <c r="S101" i="176"/>
  <c r="T101" i="176"/>
  <c r="U101" i="176"/>
  <c r="W101" i="176"/>
  <c r="E102" i="176"/>
  <c r="F102" i="176"/>
  <c r="G102" i="176"/>
  <c r="H102" i="176"/>
  <c r="I102" i="176"/>
  <c r="J102" i="176"/>
  <c r="K102" i="176"/>
  <c r="L102" i="176"/>
  <c r="M102" i="176"/>
  <c r="N102" i="176"/>
  <c r="O102" i="176"/>
  <c r="P102" i="176"/>
  <c r="Q102" i="176"/>
  <c r="R102" i="176"/>
  <c r="S102" i="176"/>
  <c r="T102" i="176"/>
  <c r="U102" i="176"/>
  <c r="W102" i="176"/>
  <c r="E103" i="176"/>
  <c r="F103" i="176"/>
  <c r="G103" i="176"/>
  <c r="H103" i="176"/>
  <c r="I103" i="176"/>
  <c r="J103" i="176"/>
  <c r="K103" i="176"/>
  <c r="L103" i="176"/>
  <c r="M103" i="176"/>
  <c r="N103" i="176"/>
  <c r="O103" i="176"/>
  <c r="P103" i="176"/>
  <c r="Q103" i="176"/>
  <c r="R103" i="176"/>
  <c r="S103" i="176"/>
  <c r="T103" i="176"/>
  <c r="U103" i="176"/>
  <c r="W103" i="176"/>
  <c r="E104" i="176"/>
  <c r="F104" i="176"/>
  <c r="G104" i="176"/>
  <c r="H104" i="176"/>
  <c r="I104" i="176"/>
  <c r="J104" i="176"/>
  <c r="K104" i="176"/>
  <c r="L104" i="176"/>
  <c r="M104" i="176"/>
  <c r="N104" i="176"/>
  <c r="O104" i="176"/>
  <c r="P104" i="176"/>
  <c r="Q104" i="176"/>
  <c r="R104" i="176"/>
  <c r="S104" i="176"/>
  <c r="T104" i="176"/>
  <c r="U104" i="176"/>
  <c r="W104" i="176"/>
  <c r="E105" i="176"/>
  <c r="F105" i="176"/>
  <c r="G105" i="176"/>
  <c r="H105" i="176"/>
  <c r="I105" i="176"/>
  <c r="J105" i="176"/>
  <c r="K105" i="176"/>
  <c r="L105" i="176"/>
  <c r="M105" i="176"/>
  <c r="N105" i="176"/>
  <c r="O105" i="176"/>
  <c r="P105" i="176"/>
  <c r="Q105" i="176"/>
  <c r="R105" i="176"/>
  <c r="S105" i="176"/>
  <c r="T105" i="176"/>
  <c r="U105" i="176"/>
  <c r="W105" i="176"/>
  <c r="E106" i="176"/>
  <c r="F106" i="176"/>
  <c r="G106" i="176"/>
  <c r="H106" i="176"/>
  <c r="I106" i="176"/>
  <c r="J106" i="176"/>
  <c r="K106" i="176"/>
  <c r="L106" i="176"/>
  <c r="M106" i="176"/>
  <c r="N106" i="176"/>
  <c r="O106" i="176"/>
  <c r="P106" i="176"/>
  <c r="Q106" i="176"/>
  <c r="R106" i="176"/>
  <c r="S106" i="176"/>
  <c r="T106" i="176"/>
  <c r="U106" i="176"/>
  <c r="W106" i="176"/>
  <c r="E107" i="176"/>
  <c r="F107" i="176"/>
  <c r="G107" i="176"/>
  <c r="H107" i="176"/>
  <c r="I107" i="176"/>
  <c r="J107" i="176"/>
  <c r="K107" i="176"/>
  <c r="L107" i="176"/>
  <c r="M107" i="176"/>
  <c r="N107" i="176"/>
  <c r="O107" i="176"/>
  <c r="P107" i="176"/>
  <c r="Q107" i="176"/>
  <c r="R107" i="176"/>
  <c r="S107" i="176"/>
  <c r="T107" i="176"/>
  <c r="U107" i="176"/>
  <c r="W107" i="176"/>
  <c r="W12" i="176"/>
  <c r="F12" i="176"/>
  <c r="G12" i="176"/>
  <c r="H12" i="176"/>
  <c r="I12" i="176"/>
  <c r="J12" i="176"/>
  <c r="K12" i="176"/>
  <c r="L12" i="176"/>
  <c r="M12" i="176"/>
  <c r="N12" i="176"/>
  <c r="O12" i="176"/>
  <c r="P12" i="176"/>
  <c r="Q12" i="176"/>
  <c r="R12" i="176"/>
  <c r="S12" i="176"/>
  <c r="T12" i="176"/>
  <c r="U12" i="176"/>
  <c r="C92" i="176"/>
  <c r="C84" i="176"/>
  <c r="C76" i="176"/>
  <c r="C68" i="176"/>
  <c r="C60" i="176"/>
  <c r="C52" i="176"/>
  <c r="C44" i="176"/>
  <c r="C36" i="176"/>
  <c r="C28" i="176"/>
  <c r="C20" i="176"/>
  <c r="E12" i="176"/>
  <c r="C12" i="176"/>
  <c r="B8" i="176"/>
  <c r="D2" i="176"/>
  <c r="D3" i="176"/>
  <c r="E13" i="175"/>
  <c r="F13" i="175"/>
  <c r="G13" i="175"/>
  <c r="H13" i="175"/>
  <c r="I13" i="175"/>
  <c r="J13" i="175"/>
  <c r="K13" i="175"/>
  <c r="L13" i="175"/>
  <c r="M13" i="175"/>
  <c r="N13" i="175"/>
  <c r="O13" i="175"/>
  <c r="P13" i="175"/>
  <c r="Q13" i="175"/>
  <c r="R13" i="175"/>
  <c r="S13" i="175"/>
  <c r="T13" i="175"/>
  <c r="U13" i="175"/>
  <c r="W13" i="175"/>
  <c r="E14" i="175"/>
  <c r="F14" i="175"/>
  <c r="G14" i="175"/>
  <c r="H14" i="175"/>
  <c r="I14" i="175"/>
  <c r="J14" i="175"/>
  <c r="K14" i="175"/>
  <c r="L14" i="175"/>
  <c r="M14" i="175"/>
  <c r="N14" i="175"/>
  <c r="O14" i="175"/>
  <c r="P14" i="175"/>
  <c r="Q14" i="175"/>
  <c r="R14" i="175"/>
  <c r="S14" i="175"/>
  <c r="T14" i="175"/>
  <c r="U14" i="175"/>
  <c r="W14" i="175"/>
  <c r="E15" i="175"/>
  <c r="F15" i="175"/>
  <c r="G15" i="175"/>
  <c r="H15" i="175"/>
  <c r="I15" i="175"/>
  <c r="J15" i="175"/>
  <c r="K15" i="175"/>
  <c r="L15" i="175"/>
  <c r="M15" i="175"/>
  <c r="N15" i="175"/>
  <c r="O15" i="175"/>
  <c r="P15" i="175"/>
  <c r="Q15" i="175"/>
  <c r="R15" i="175"/>
  <c r="S15" i="175"/>
  <c r="T15" i="175"/>
  <c r="U15" i="175"/>
  <c r="W15" i="175"/>
  <c r="E16" i="175"/>
  <c r="F16" i="175"/>
  <c r="G16" i="175"/>
  <c r="H16" i="175"/>
  <c r="I16" i="175"/>
  <c r="J16" i="175"/>
  <c r="K16" i="175"/>
  <c r="L16" i="175"/>
  <c r="M16" i="175"/>
  <c r="N16" i="175"/>
  <c r="O16" i="175"/>
  <c r="P16" i="175"/>
  <c r="Q16" i="175"/>
  <c r="R16" i="175"/>
  <c r="S16" i="175"/>
  <c r="T16" i="175"/>
  <c r="U16" i="175"/>
  <c r="W16" i="175"/>
  <c r="E17" i="175"/>
  <c r="F17" i="175"/>
  <c r="G17" i="175"/>
  <c r="H17" i="175"/>
  <c r="I17" i="175"/>
  <c r="J17" i="175"/>
  <c r="K17" i="175"/>
  <c r="L17" i="175"/>
  <c r="M17" i="175"/>
  <c r="N17" i="175"/>
  <c r="O17" i="175"/>
  <c r="P17" i="175"/>
  <c r="Q17" i="175"/>
  <c r="R17" i="175"/>
  <c r="S17" i="175"/>
  <c r="T17" i="175"/>
  <c r="U17" i="175"/>
  <c r="W17" i="175"/>
  <c r="E18" i="175"/>
  <c r="F18" i="175"/>
  <c r="G18" i="175"/>
  <c r="H18" i="175"/>
  <c r="I18" i="175"/>
  <c r="J18" i="175"/>
  <c r="K18" i="175"/>
  <c r="L18" i="175"/>
  <c r="M18" i="175"/>
  <c r="N18" i="175"/>
  <c r="O18" i="175"/>
  <c r="P18" i="175"/>
  <c r="Q18" i="175"/>
  <c r="R18" i="175"/>
  <c r="S18" i="175"/>
  <c r="T18" i="175"/>
  <c r="U18" i="175"/>
  <c r="W18" i="175"/>
  <c r="E19" i="175"/>
  <c r="F19" i="175"/>
  <c r="G19" i="175"/>
  <c r="H19" i="175"/>
  <c r="I19" i="175"/>
  <c r="J19" i="175"/>
  <c r="K19" i="175"/>
  <c r="L19" i="175"/>
  <c r="M19" i="175"/>
  <c r="N19" i="175"/>
  <c r="O19" i="175"/>
  <c r="P19" i="175"/>
  <c r="Q19" i="175"/>
  <c r="R19" i="175"/>
  <c r="S19" i="175"/>
  <c r="T19" i="175"/>
  <c r="U19" i="175"/>
  <c r="W19" i="175"/>
  <c r="E20" i="175"/>
  <c r="F20" i="175"/>
  <c r="G20" i="175"/>
  <c r="H20" i="175"/>
  <c r="I20" i="175"/>
  <c r="J20" i="175"/>
  <c r="K20" i="175"/>
  <c r="L20" i="175"/>
  <c r="M20" i="175"/>
  <c r="N20" i="175"/>
  <c r="O20" i="175"/>
  <c r="P20" i="175"/>
  <c r="Q20" i="175"/>
  <c r="R20" i="175"/>
  <c r="S20" i="175"/>
  <c r="T20" i="175"/>
  <c r="U20" i="175"/>
  <c r="W20" i="175"/>
  <c r="E21" i="175"/>
  <c r="F21" i="175"/>
  <c r="G21" i="175"/>
  <c r="H21" i="175"/>
  <c r="I21" i="175"/>
  <c r="J21" i="175"/>
  <c r="K21" i="175"/>
  <c r="L21" i="175"/>
  <c r="M21" i="175"/>
  <c r="N21" i="175"/>
  <c r="O21" i="175"/>
  <c r="P21" i="175"/>
  <c r="Q21" i="175"/>
  <c r="R21" i="175"/>
  <c r="S21" i="175"/>
  <c r="T21" i="175"/>
  <c r="U21" i="175"/>
  <c r="W21" i="175"/>
  <c r="E22" i="175"/>
  <c r="F22" i="175"/>
  <c r="G22" i="175"/>
  <c r="H22" i="175"/>
  <c r="I22" i="175"/>
  <c r="J22" i="175"/>
  <c r="K22" i="175"/>
  <c r="L22" i="175"/>
  <c r="M22" i="175"/>
  <c r="N22" i="175"/>
  <c r="O22" i="175"/>
  <c r="P22" i="175"/>
  <c r="Q22" i="175"/>
  <c r="R22" i="175"/>
  <c r="S22" i="175"/>
  <c r="T22" i="175"/>
  <c r="U22" i="175"/>
  <c r="W22" i="175"/>
  <c r="E23" i="175"/>
  <c r="F23" i="175"/>
  <c r="G23" i="175"/>
  <c r="H23" i="175"/>
  <c r="I23" i="175"/>
  <c r="J23" i="175"/>
  <c r="K23" i="175"/>
  <c r="L23" i="175"/>
  <c r="M23" i="175"/>
  <c r="N23" i="175"/>
  <c r="O23" i="175"/>
  <c r="P23" i="175"/>
  <c r="Q23" i="175"/>
  <c r="R23" i="175"/>
  <c r="S23" i="175"/>
  <c r="T23" i="175"/>
  <c r="U23" i="175"/>
  <c r="W23" i="175"/>
  <c r="E24" i="175"/>
  <c r="F24" i="175"/>
  <c r="G24" i="175"/>
  <c r="H24" i="175"/>
  <c r="I24" i="175"/>
  <c r="J24" i="175"/>
  <c r="K24" i="175"/>
  <c r="L24" i="175"/>
  <c r="M24" i="175"/>
  <c r="N24" i="175"/>
  <c r="O24" i="175"/>
  <c r="P24" i="175"/>
  <c r="Q24" i="175"/>
  <c r="R24" i="175"/>
  <c r="S24" i="175"/>
  <c r="T24" i="175"/>
  <c r="U24" i="175"/>
  <c r="W24" i="175"/>
  <c r="E25" i="175"/>
  <c r="F25" i="175"/>
  <c r="G25" i="175"/>
  <c r="H25" i="175"/>
  <c r="I25" i="175"/>
  <c r="J25" i="175"/>
  <c r="K25" i="175"/>
  <c r="L25" i="175"/>
  <c r="M25" i="175"/>
  <c r="N25" i="175"/>
  <c r="O25" i="175"/>
  <c r="P25" i="175"/>
  <c r="Q25" i="175"/>
  <c r="R25" i="175"/>
  <c r="S25" i="175"/>
  <c r="T25" i="175"/>
  <c r="U25" i="175"/>
  <c r="W25" i="175"/>
  <c r="E26" i="175"/>
  <c r="F26" i="175"/>
  <c r="G26" i="175"/>
  <c r="H26" i="175"/>
  <c r="I26" i="175"/>
  <c r="J26" i="175"/>
  <c r="K26" i="175"/>
  <c r="L26" i="175"/>
  <c r="M26" i="175"/>
  <c r="N26" i="175"/>
  <c r="O26" i="175"/>
  <c r="P26" i="175"/>
  <c r="Q26" i="175"/>
  <c r="R26" i="175"/>
  <c r="S26" i="175"/>
  <c r="T26" i="175"/>
  <c r="U26" i="175"/>
  <c r="W26" i="175"/>
  <c r="E27" i="175"/>
  <c r="F27" i="175"/>
  <c r="G27" i="175"/>
  <c r="H27" i="175"/>
  <c r="I27" i="175"/>
  <c r="J27" i="175"/>
  <c r="K27" i="175"/>
  <c r="L27" i="175"/>
  <c r="M27" i="175"/>
  <c r="N27" i="175"/>
  <c r="O27" i="175"/>
  <c r="P27" i="175"/>
  <c r="Q27" i="175"/>
  <c r="R27" i="175"/>
  <c r="S27" i="175"/>
  <c r="T27" i="175"/>
  <c r="U27" i="175"/>
  <c r="W27" i="175"/>
  <c r="E28" i="175"/>
  <c r="F28" i="175"/>
  <c r="G28" i="175"/>
  <c r="H28" i="175"/>
  <c r="I28" i="175"/>
  <c r="J28" i="175"/>
  <c r="K28" i="175"/>
  <c r="L28" i="175"/>
  <c r="M28" i="175"/>
  <c r="N28" i="175"/>
  <c r="O28" i="175"/>
  <c r="P28" i="175"/>
  <c r="Q28" i="175"/>
  <c r="R28" i="175"/>
  <c r="S28" i="175"/>
  <c r="T28" i="175"/>
  <c r="U28" i="175"/>
  <c r="W28" i="175"/>
  <c r="E29" i="175"/>
  <c r="F29" i="175"/>
  <c r="G29" i="175"/>
  <c r="H29" i="175"/>
  <c r="I29" i="175"/>
  <c r="J29" i="175"/>
  <c r="K29" i="175"/>
  <c r="L29" i="175"/>
  <c r="M29" i="175"/>
  <c r="N29" i="175"/>
  <c r="O29" i="175"/>
  <c r="P29" i="175"/>
  <c r="Q29" i="175"/>
  <c r="R29" i="175"/>
  <c r="S29" i="175"/>
  <c r="T29" i="175"/>
  <c r="U29" i="175"/>
  <c r="W29" i="175"/>
  <c r="E30" i="175"/>
  <c r="F30" i="175"/>
  <c r="G30" i="175"/>
  <c r="H30" i="175"/>
  <c r="I30" i="175"/>
  <c r="J30" i="175"/>
  <c r="K30" i="175"/>
  <c r="L30" i="175"/>
  <c r="M30" i="175"/>
  <c r="N30" i="175"/>
  <c r="O30" i="175"/>
  <c r="P30" i="175"/>
  <c r="Q30" i="175"/>
  <c r="R30" i="175"/>
  <c r="S30" i="175"/>
  <c r="T30" i="175"/>
  <c r="U30" i="175"/>
  <c r="W30" i="175"/>
  <c r="E31" i="175"/>
  <c r="F31" i="175"/>
  <c r="G31" i="175"/>
  <c r="H31" i="175"/>
  <c r="I31" i="175"/>
  <c r="J31" i="175"/>
  <c r="K31" i="175"/>
  <c r="L31" i="175"/>
  <c r="M31" i="175"/>
  <c r="N31" i="175"/>
  <c r="O31" i="175"/>
  <c r="P31" i="175"/>
  <c r="Q31" i="175"/>
  <c r="R31" i="175"/>
  <c r="S31" i="175"/>
  <c r="T31" i="175"/>
  <c r="U31" i="175"/>
  <c r="W31" i="175"/>
  <c r="E32" i="175"/>
  <c r="F32" i="175"/>
  <c r="G32" i="175"/>
  <c r="H32" i="175"/>
  <c r="I32" i="175"/>
  <c r="J32" i="175"/>
  <c r="K32" i="175"/>
  <c r="L32" i="175"/>
  <c r="M32" i="175"/>
  <c r="N32" i="175"/>
  <c r="O32" i="175"/>
  <c r="P32" i="175"/>
  <c r="Q32" i="175"/>
  <c r="R32" i="175"/>
  <c r="S32" i="175"/>
  <c r="T32" i="175"/>
  <c r="U32" i="175"/>
  <c r="W32" i="175"/>
  <c r="E33" i="175"/>
  <c r="F33" i="175"/>
  <c r="G33" i="175"/>
  <c r="H33" i="175"/>
  <c r="I33" i="175"/>
  <c r="J33" i="175"/>
  <c r="K33" i="175"/>
  <c r="L33" i="175"/>
  <c r="M33" i="175"/>
  <c r="N33" i="175"/>
  <c r="O33" i="175"/>
  <c r="P33" i="175"/>
  <c r="Q33" i="175"/>
  <c r="R33" i="175"/>
  <c r="S33" i="175"/>
  <c r="T33" i="175"/>
  <c r="U33" i="175"/>
  <c r="W33" i="175"/>
  <c r="E34" i="175"/>
  <c r="F34" i="175"/>
  <c r="G34" i="175"/>
  <c r="H34" i="175"/>
  <c r="I34" i="175"/>
  <c r="J34" i="175"/>
  <c r="K34" i="175"/>
  <c r="L34" i="175"/>
  <c r="M34" i="175"/>
  <c r="N34" i="175"/>
  <c r="O34" i="175"/>
  <c r="P34" i="175"/>
  <c r="Q34" i="175"/>
  <c r="R34" i="175"/>
  <c r="S34" i="175"/>
  <c r="T34" i="175"/>
  <c r="U34" i="175"/>
  <c r="W34" i="175"/>
  <c r="E35" i="175"/>
  <c r="F35" i="175"/>
  <c r="G35" i="175"/>
  <c r="H35" i="175"/>
  <c r="I35" i="175"/>
  <c r="J35" i="175"/>
  <c r="K35" i="175"/>
  <c r="L35" i="175"/>
  <c r="M35" i="175"/>
  <c r="N35" i="175"/>
  <c r="O35" i="175"/>
  <c r="P35" i="175"/>
  <c r="Q35" i="175"/>
  <c r="R35" i="175"/>
  <c r="S35" i="175"/>
  <c r="T35" i="175"/>
  <c r="U35" i="175"/>
  <c r="W35" i="175"/>
  <c r="E36" i="175"/>
  <c r="F36" i="175"/>
  <c r="G36" i="175"/>
  <c r="H36" i="175"/>
  <c r="I36" i="175"/>
  <c r="J36" i="175"/>
  <c r="K36" i="175"/>
  <c r="L36" i="175"/>
  <c r="M36" i="175"/>
  <c r="N36" i="175"/>
  <c r="O36" i="175"/>
  <c r="P36" i="175"/>
  <c r="Q36" i="175"/>
  <c r="R36" i="175"/>
  <c r="S36" i="175"/>
  <c r="T36" i="175"/>
  <c r="U36" i="175"/>
  <c r="W36" i="175"/>
  <c r="E37" i="175"/>
  <c r="F37" i="175"/>
  <c r="G37" i="175"/>
  <c r="H37" i="175"/>
  <c r="I37" i="175"/>
  <c r="J37" i="175"/>
  <c r="K37" i="175"/>
  <c r="L37" i="175"/>
  <c r="M37" i="175"/>
  <c r="N37" i="175"/>
  <c r="O37" i="175"/>
  <c r="P37" i="175"/>
  <c r="Q37" i="175"/>
  <c r="R37" i="175"/>
  <c r="S37" i="175"/>
  <c r="T37" i="175"/>
  <c r="U37" i="175"/>
  <c r="W37" i="175"/>
  <c r="E38" i="175"/>
  <c r="F38" i="175"/>
  <c r="G38" i="175"/>
  <c r="H38" i="175"/>
  <c r="I38" i="175"/>
  <c r="J38" i="175"/>
  <c r="K38" i="175"/>
  <c r="L38" i="175"/>
  <c r="M38" i="175"/>
  <c r="N38" i="175"/>
  <c r="O38" i="175"/>
  <c r="P38" i="175"/>
  <c r="Q38" i="175"/>
  <c r="R38" i="175"/>
  <c r="S38" i="175"/>
  <c r="T38" i="175"/>
  <c r="U38" i="175"/>
  <c r="W38" i="175"/>
  <c r="E39" i="175"/>
  <c r="F39" i="175"/>
  <c r="G39" i="175"/>
  <c r="H39" i="175"/>
  <c r="I39" i="175"/>
  <c r="J39" i="175"/>
  <c r="K39" i="175"/>
  <c r="L39" i="175"/>
  <c r="M39" i="175"/>
  <c r="N39" i="175"/>
  <c r="O39" i="175"/>
  <c r="P39" i="175"/>
  <c r="Q39" i="175"/>
  <c r="R39" i="175"/>
  <c r="S39" i="175"/>
  <c r="T39" i="175"/>
  <c r="U39" i="175"/>
  <c r="W39" i="175"/>
  <c r="E40" i="175"/>
  <c r="F40" i="175"/>
  <c r="G40" i="175"/>
  <c r="H40" i="175"/>
  <c r="I40" i="175"/>
  <c r="J40" i="175"/>
  <c r="K40" i="175"/>
  <c r="L40" i="175"/>
  <c r="M40" i="175"/>
  <c r="N40" i="175"/>
  <c r="O40" i="175"/>
  <c r="P40" i="175"/>
  <c r="Q40" i="175"/>
  <c r="R40" i="175"/>
  <c r="S40" i="175"/>
  <c r="T40" i="175"/>
  <c r="U40" i="175"/>
  <c r="W40" i="175"/>
  <c r="E41" i="175"/>
  <c r="F41" i="175"/>
  <c r="G41" i="175"/>
  <c r="H41" i="175"/>
  <c r="I41" i="175"/>
  <c r="J41" i="175"/>
  <c r="K41" i="175"/>
  <c r="L41" i="175"/>
  <c r="M41" i="175"/>
  <c r="N41" i="175"/>
  <c r="O41" i="175"/>
  <c r="P41" i="175"/>
  <c r="Q41" i="175"/>
  <c r="R41" i="175"/>
  <c r="S41" i="175"/>
  <c r="T41" i="175"/>
  <c r="U41" i="175"/>
  <c r="W41" i="175"/>
  <c r="E42" i="175"/>
  <c r="F42" i="175"/>
  <c r="G42" i="175"/>
  <c r="H42" i="175"/>
  <c r="I42" i="175"/>
  <c r="J42" i="175"/>
  <c r="K42" i="175"/>
  <c r="L42" i="175"/>
  <c r="M42" i="175"/>
  <c r="N42" i="175"/>
  <c r="O42" i="175"/>
  <c r="P42" i="175"/>
  <c r="Q42" i="175"/>
  <c r="R42" i="175"/>
  <c r="S42" i="175"/>
  <c r="T42" i="175"/>
  <c r="U42" i="175"/>
  <c r="W42" i="175"/>
  <c r="E43" i="175"/>
  <c r="F43" i="175"/>
  <c r="G43" i="175"/>
  <c r="H43" i="175"/>
  <c r="I43" i="175"/>
  <c r="J43" i="175"/>
  <c r="K43" i="175"/>
  <c r="L43" i="175"/>
  <c r="M43" i="175"/>
  <c r="N43" i="175"/>
  <c r="O43" i="175"/>
  <c r="P43" i="175"/>
  <c r="Q43" i="175"/>
  <c r="R43" i="175"/>
  <c r="S43" i="175"/>
  <c r="T43" i="175"/>
  <c r="U43" i="175"/>
  <c r="W43" i="175"/>
  <c r="E44" i="175"/>
  <c r="F44" i="175"/>
  <c r="G44" i="175"/>
  <c r="H44" i="175"/>
  <c r="I44" i="175"/>
  <c r="J44" i="175"/>
  <c r="K44" i="175"/>
  <c r="L44" i="175"/>
  <c r="M44" i="175"/>
  <c r="N44" i="175"/>
  <c r="O44" i="175"/>
  <c r="P44" i="175"/>
  <c r="Q44" i="175"/>
  <c r="R44" i="175"/>
  <c r="S44" i="175"/>
  <c r="T44" i="175"/>
  <c r="U44" i="175"/>
  <c r="W44" i="175"/>
  <c r="E45" i="175"/>
  <c r="F45" i="175"/>
  <c r="G45" i="175"/>
  <c r="H45" i="175"/>
  <c r="I45" i="175"/>
  <c r="J45" i="175"/>
  <c r="K45" i="175"/>
  <c r="L45" i="175"/>
  <c r="M45" i="175"/>
  <c r="N45" i="175"/>
  <c r="O45" i="175"/>
  <c r="P45" i="175"/>
  <c r="Q45" i="175"/>
  <c r="R45" i="175"/>
  <c r="S45" i="175"/>
  <c r="T45" i="175"/>
  <c r="U45" i="175"/>
  <c r="W45" i="175"/>
  <c r="E46" i="175"/>
  <c r="F46" i="175"/>
  <c r="G46" i="175"/>
  <c r="H46" i="175"/>
  <c r="I46" i="175"/>
  <c r="J46" i="175"/>
  <c r="K46" i="175"/>
  <c r="L46" i="175"/>
  <c r="M46" i="175"/>
  <c r="N46" i="175"/>
  <c r="O46" i="175"/>
  <c r="P46" i="175"/>
  <c r="Q46" i="175"/>
  <c r="R46" i="175"/>
  <c r="S46" i="175"/>
  <c r="T46" i="175"/>
  <c r="U46" i="175"/>
  <c r="W46" i="175"/>
  <c r="E47" i="175"/>
  <c r="F47" i="175"/>
  <c r="G47" i="175"/>
  <c r="H47" i="175"/>
  <c r="I47" i="175"/>
  <c r="J47" i="175"/>
  <c r="K47" i="175"/>
  <c r="L47" i="175"/>
  <c r="M47" i="175"/>
  <c r="N47" i="175"/>
  <c r="O47" i="175"/>
  <c r="P47" i="175"/>
  <c r="Q47" i="175"/>
  <c r="R47" i="175"/>
  <c r="S47" i="175"/>
  <c r="T47" i="175"/>
  <c r="U47" i="175"/>
  <c r="W47" i="175"/>
  <c r="E48" i="175"/>
  <c r="F48" i="175"/>
  <c r="G48" i="175"/>
  <c r="H48" i="175"/>
  <c r="I48" i="175"/>
  <c r="J48" i="175"/>
  <c r="K48" i="175"/>
  <c r="L48" i="175"/>
  <c r="M48" i="175"/>
  <c r="N48" i="175"/>
  <c r="O48" i="175"/>
  <c r="P48" i="175"/>
  <c r="Q48" i="175"/>
  <c r="R48" i="175"/>
  <c r="S48" i="175"/>
  <c r="T48" i="175"/>
  <c r="U48" i="175"/>
  <c r="W48" i="175"/>
  <c r="E49" i="175"/>
  <c r="F49" i="175"/>
  <c r="G49" i="175"/>
  <c r="H49" i="175"/>
  <c r="I49" i="175"/>
  <c r="J49" i="175"/>
  <c r="K49" i="175"/>
  <c r="L49" i="175"/>
  <c r="M49" i="175"/>
  <c r="N49" i="175"/>
  <c r="O49" i="175"/>
  <c r="P49" i="175"/>
  <c r="Q49" i="175"/>
  <c r="R49" i="175"/>
  <c r="S49" i="175"/>
  <c r="T49" i="175"/>
  <c r="U49" i="175"/>
  <c r="W49" i="175"/>
  <c r="E50" i="175"/>
  <c r="F50" i="175"/>
  <c r="G50" i="175"/>
  <c r="H50" i="175"/>
  <c r="I50" i="175"/>
  <c r="J50" i="175"/>
  <c r="K50" i="175"/>
  <c r="L50" i="175"/>
  <c r="M50" i="175"/>
  <c r="N50" i="175"/>
  <c r="O50" i="175"/>
  <c r="P50" i="175"/>
  <c r="Q50" i="175"/>
  <c r="R50" i="175"/>
  <c r="S50" i="175"/>
  <c r="T50" i="175"/>
  <c r="U50" i="175"/>
  <c r="W50" i="175"/>
  <c r="E51" i="175"/>
  <c r="F51" i="175"/>
  <c r="G51" i="175"/>
  <c r="H51" i="175"/>
  <c r="I51" i="175"/>
  <c r="J51" i="175"/>
  <c r="K51" i="175"/>
  <c r="L51" i="175"/>
  <c r="M51" i="175"/>
  <c r="N51" i="175"/>
  <c r="O51" i="175"/>
  <c r="P51" i="175"/>
  <c r="Q51" i="175"/>
  <c r="R51" i="175"/>
  <c r="S51" i="175"/>
  <c r="T51" i="175"/>
  <c r="U51" i="175"/>
  <c r="W51" i="175"/>
  <c r="E52" i="175"/>
  <c r="F52" i="175"/>
  <c r="G52" i="175"/>
  <c r="H52" i="175"/>
  <c r="I52" i="175"/>
  <c r="J52" i="175"/>
  <c r="K52" i="175"/>
  <c r="L52" i="175"/>
  <c r="M52" i="175"/>
  <c r="N52" i="175"/>
  <c r="O52" i="175"/>
  <c r="P52" i="175"/>
  <c r="Q52" i="175"/>
  <c r="R52" i="175"/>
  <c r="S52" i="175"/>
  <c r="T52" i="175"/>
  <c r="U52" i="175"/>
  <c r="W52" i="175"/>
  <c r="E53" i="175"/>
  <c r="F53" i="175"/>
  <c r="G53" i="175"/>
  <c r="H53" i="175"/>
  <c r="I53" i="175"/>
  <c r="J53" i="175"/>
  <c r="K53" i="175"/>
  <c r="L53" i="175"/>
  <c r="M53" i="175"/>
  <c r="N53" i="175"/>
  <c r="O53" i="175"/>
  <c r="P53" i="175"/>
  <c r="Q53" i="175"/>
  <c r="R53" i="175"/>
  <c r="S53" i="175"/>
  <c r="T53" i="175"/>
  <c r="U53" i="175"/>
  <c r="W53" i="175"/>
  <c r="E54" i="175"/>
  <c r="F54" i="175"/>
  <c r="G54" i="175"/>
  <c r="H54" i="175"/>
  <c r="I54" i="175"/>
  <c r="J54" i="175"/>
  <c r="K54" i="175"/>
  <c r="L54" i="175"/>
  <c r="M54" i="175"/>
  <c r="N54" i="175"/>
  <c r="O54" i="175"/>
  <c r="P54" i="175"/>
  <c r="Q54" i="175"/>
  <c r="R54" i="175"/>
  <c r="S54" i="175"/>
  <c r="T54" i="175"/>
  <c r="U54" i="175"/>
  <c r="W54" i="175"/>
  <c r="E55" i="175"/>
  <c r="F55" i="175"/>
  <c r="G55" i="175"/>
  <c r="H55" i="175"/>
  <c r="I55" i="175"/>
  <c r="J55" i="175"/>
  <c r="K55" i="175"/>
  <c r="L55" i="175"/>
  <c r="M55" i="175"/>
  <c r="N55" i="175"/>
  <c r="O55" i="175"/>
  <c r="P55" i="175"/>
  <c r="Q55" i="175"/>
  <c r="R55" i="175"/>
  <c r="S55" i="175"/>
  <c r="T55" i="175"/>
  <c r="U55" i="175"/>
  <c r="W55" i="175"/>
  <c r="E56" i="175"/>
  <c r="F56" i="175"/>
  <c r="G56" i="175"/>
  <c r="H56" i="175"/>
  <c r="I56" i="175"/>
  <c r="J56" i="175"/>
  <c r="K56" i="175"/>
  <c r="L56" i="175"/>
  <c r="M56" i="175"/>
  <c r="N56" i="175"/>
  <c r="O56" i="175"/>
  <c r="P56" i="175"/>
  <c r="Q56" i="175"/>
  <c r="R56" i="175"/>
  <c r="S56" i="175"/>
  <c r="T56" i="175"/>
  <c r="U56" i="175"/>
  <c r="W56" i="175"/>
  <c r="E57" i="175"/>
  <c r="F57" i="175"/>
  <c r="G57" i="175"/>
  <c r="H57" i="175"/>
  <c r="I57" i="175"/>
  <c r="J57" i="175"/>
  <c r="K57" i="175"/>
  <c r="L57" i="175"/>
  <c r="M57" i="175"/>
  <c r="N57" i="175"/>
  <c r="O57" i="175"/>
  <c r="P57" i="175"/>
  <c r="Q57" i="175"/>
  <c r="R57" i="175"/>
  <c r="S57" i="175"/>
  <c r="T57" i="175"/>
  <c r="U57" i="175"/>
  <c r="W57" i="175"/>
  <c r="E58" i="175"/>
  <c r="F58" i="175"/>
  <c r="G58" i="175"/>
  <c r="H58" i="175"/>
  <c r="I58" i="175"/>
  <c r="J58" i="175"/>
  <c r="K58" i="175"/>
  <c r="L58" i="175"/>
  <c r="M58" i="175"/>
  <c r="N58" i="175"/>
  <c r="O58" i="175"/>
  <c r="P58" i="175"/>
  <c r="Q58" i="175"/>
  <c r="R58" i="175"/>
  <c r="S58" i="175"/>
  <c r="T58" i="175"/>
  <c r="U58" i="175"/>
  <c r="W58" i="175"/>
  <c r="E59" i="175"/>
  <c r="F59" i="175"/>
  <c r="G59" i="175"/>
  <c r="H59" i="175"/>
  <c r="I59" i="175"/>
  <c r="J59" i="175"/>
  <c r="K59" i="175"/>
  <c r="L59" i="175"/>
  <c r="M59" i="175"/>
  <c r="N59" i="175"/>
  <c r="O59" i="175"/>
  <c r="P59" i="175"/>
  <c r="Q59" i="175"/>
  <c r="R59" i="175"/>
  <c r="S59" i="175"/>
  <c r="T59" i="175"/>
  <c r="U59" i="175"/>
  <c r="W59" i="175"/>
  <c r="E60" i="175"/>
  <c r="F60" i="175"/>
  <c r="G60" i="175"/>
  <c r="H60" i="175"/>
  <c r="I60" i="175"/>
  <c r="J60" i="175"/>
  <c r="K60" i="175"/>
  <c r="L60" i="175"/>
  <c r="M60" i="175"/>
  <c r="N60" i="175"/>
  <c r="O60" i="175"/>
  <c r="P60" i="175"/>
  <c r="Q60" i="175"/>
  <c r="R60" i="175"/>
  <c r="S60" i="175"/>
  <c r="T60" i="175"/>
  <c r="U60" i="175"/>
  <c r="W60" i="175"/>
  <c r="E61" i="175"/>
  <c r="F61" i="175"/>
  <c r="G61" i="175"/>
  <c r="H61" i="175"/>
  <c r="I61" i="175"/>
  <c r="J61" i="175"/>
  <c r="K61" i="175"/>
  <c r="L61" i="175"/>
  <c r="M61" i="175"/>
  <c r="N61" i="175"/>
  <c r="O61" i="175"/>
  <c r="P61" i="175"/>
  <c r="Q61" i="175"/>
  <c r="R61" i="175"/>
  <c r="S61" i="175"/>
  <c r="T61" i="175"/>
  <c r="U61" i="175"/>
  <c r="W61" i="175"/>
  <c r="E62" i="175"/>
  <c r="F62" i="175"/>
  <c r="G62" i="175"/>
  <c r="H62" i="175"/>
  <c r="I62" i="175"/>
  <c r="J62" i="175"/>
  <c r="K62" i="175"/>
  <c r="L62" i="175"/>
  <c r="M62" i="175"/>
  <c r="N62" i="175"/>
  <c r="O62" i="175"/>
  <c r="P62" i="175"/>
  <c r="Q62" i="175"/>
  <c r="R62" i="175"/>
  <c r="S62" i="175"/>
  <c r="T62" i="175"/>
  <c r="U62" i="175"/>
  <c r="W62" i="175"/>
  <c r="E63" i="175"/>
  <c r="F63" i="175"/>
  <c r="G63" i="175"/>
  <c r="H63" i="175"/>
  <c r="I63" i="175"/>
  <c r="J63" i="175"/>
  <c r="K63" i="175"/>
  <c r="L63" i="175"/>
  <c r="M63" i="175"/>
  <c r="N63" i="175"/>
  <c r="O63" i="175"/>
  <c r="P63" i="175"/>
  <c r="Q63" i="175"/>
  <c r="R63" i="175"/>
  <c r="S63" i="175"/>
  <c r="T63" i="175"/>
  <c r="U63" i="175"/>
  <c r="W63" i="175"/>
  <c r="E64" i="175"/>
  <c r="F64" i="175"/>
  <c r="G64" i="175"/>
  <c r="H64" i="175"/>
  <c r="I64" i="175"/>
  <c r="J64" i="175"/>
  <c r="K64" i="175"/>
  <c r="L64" i="175"/>
  <c r="M64" i="175"/>
  <c r="N64" i="175"/>
  <c r="O64" i="175"/>
  <c r="P64" i="175"/>
  <c r="Q64" i="175"/>
  <c r="R64" i="175"/>
  <c r="S64" i="175"/>
  <c r="T64" i="175"/>
  <c r="U64" i="175"/>
  <c r="W64" i="175"/>
  <c r="E65" i="175"/>
  <c r="F65" i="175"/>
  <c r="G65" i="175"/>
  <c r="H65" i="175"/>
  <c r="I65" i="175"/>
  <c r="J65" i="175"/>
  <c r="K65" i="175"/>
  <c r="L65" i="175"/>
  <c r="M65" i="175"/>
  <c r="N65" i="175"/>
  <c r="O65" i="175"/>
  <c r="P65" i="175"/>
  <c r="Q65" i="175"/>
  <c r="R65" i="175"/>
  <c r="S65" i="175"/>
  <c r="T65" i="175"/>
  <c r="U65" i="175"/>
  <c r="W65" i="175"/>
  <c r="E66" i="175"/>
  <c r="F66" i="175"/>
  <c r="G66" i="175"/>
  <c r="H66" i="175"/>
  <c r="I66" i="175"/>
  <c r="J66" i="175"/>
  <c r="K66" i="175"/>
  <c r="L66" i="175"/>
  <c r="M66" i="175"/>
  <c r="N66" i="175"/>
  <c r="O66" i="175"/>
  <c r="P66" i="175"/>
  <c r="Q66" i="175"/>
  <c r="R66" i="175"/>
  <c r="S66" i="175"/>
  <c r="T66" i="175"/>
  <c r="U66" i="175"/>
  <c r="W66" i="175"/>
  <c r="E67" i="175"/>
  <c r="F67" i="175"/>
  <c r="G67" i="175"/>
  <c r="H67" i="175"/>
  <c r="I67" i="175"/>
  <c r="J67" i="175"/>
  <c r="K67" i="175"/>
  <c r="L67" i="175"/>
  <c r="M67" i="175"/>
  <c r="N67" i="175"/>
  <c r="O67" i="175"/>
  <c r="P67" i="175"/>
  <c r="Q67" i="175"/>
  <c r="R67" i="175"/>
  <c r="S67" i="175"/>
  <c r="T67" i="175"/>
  <c r="U67" i="175"/>
  <c r="W67" i="175"/>
  <c r="E68" i="175"/>
  <c r="F68" i="175"/>
  <c r="G68" i="175"/>
  <c r="H68" i="175"/>
  <c r="I68" i="175"/>
  <c r="J68" i="175"/>
  <c r="K68" i="175"/>
  <c r="L68" i="175"/>
  <c r="M68" i="175"/>
  <c r="N68" i="175"/>
  <c r="O68" i="175"/>
  <c r="P68" i="175"/>
  <c r="Q68" i="175"/>
  <c r="R68" i="175"/>
  <c r="S68" i="175"/>
  <c r="T68" i="175"/>
  <c r="U68" i="175"/>
  <c r="W68" i="175"/>
  <c r="E69" i="175"/>
  <c r="F69" i="175"/>
  <c r="G69" i="175"/>
  <c r="H69" i="175"/>
  <c r="I69" i="175"/>
  <c r="J69" i="175"/>
  <c r="K69" i="175"/>
  <c r="L69" i="175"/>
  <c r="M69" i="175"/>
  <c r="N69" i="175"/>
  <c r="O69" i="175"/>
  <c r="P69" i="175"/>
  <c r="Q69" i="175"/>
  <c r="R69" i="175"/>
  <c r="S69" i="175"/>
  <c r="T69" i="175"/>
  <c r="U69" i="175"/>
  <c r="W69" i="175"/>
  <c r="E70" i="175"/>
  <c r="F70" i="175"/>
  <c r="G70" i="175"/>
  <c r="H70" i="175"/>
  <c r="I70" i="175"/>
  <c r="J70" i="175"/>
  <c r="K70" i="175"/>
  <c r="L70" i="175"/>
  <c r="M70" i="175"/>
  <c r="N70" i="175"/>
  <c r="O70" i="175"/>
  <c r="P70" i="175"/>
  <c r="Q70" i="175"/>
  <c r="R70" i="175"/>
  <c r="S70" i="175"/>
  <c r="T70" i="175"/>
  <c r="U70" i="175"/>
  <c r="W70" i="175"/>
  <c r="E71" i="175"/>
  <c r="F71" i="175"/>
  <c r="G71" i="175"/>
  <c r="H71" i="175"/>
  <c r="I71" i="175"/>
  <c r="J71" i="175"/>
  <c r="K71" i="175"/>
  <c r="L71" i="175"/>
  <c r="M71" i="175"/>
  <c r="N71" i="175"/>
  <c r="O71" i="175"/>
  <c r="P71" i="175"/>
  <c r="Q71" i="175"/>
  <c r="R71" i="175"/>
  <c r="S71" i="175"/>
  <c r="T71" i="175"/>
  <c r="U71" i="175"/>
  <c r="W71" i="175"/>
  <c r="E72" i="175"/>
  <c r="F72" i="175"/>
  <c r="G72" i="175"/>
  <c r="H72" i="175"/>
  <c r="I72" i="175"/>
  <c r="J72" i="175"/>
  <c r="K72" i="175"/>
  <c r="L72" i="175"/>
  <c r="M72" i="175"/>
  <c r="N72" i="175"/>
  <c r="O72" i="175"/>
  <c r="P72" i="175"/>
  <c r="Q72" i="175"/>
  <c r="R72" i="175"/>
  <c r="S72" i="175"/>
  <c r="T72" i="175"/>
  <c r="U72" i="175"/>
  <c r="W72" i="175"/>
  <c r="E73" i="175"/>
  <c r="F73" i="175"/>
  <c r="G73" i="175"/>
  <c r="H73" i="175"/>
  <c r="I73" i="175"/>
  <c r="J73" i="175"/>
  <c r="K73" i="175"/>
  <c r="L73" i="175"/>
  <c r="M73" i="175"/>
  <c r="N73" i="175"/>
  <c r="O73" i="175"/>
  <c r="P73" i="175"/>
  <c r="Q73" i="175"/>
  <c r="R73" i="175"/>
  <c r="S73" i="175"/>
  <c r="T73" i="175"/>
  <c r="U73" i="175"/>
  <c r="W73" i="175"/>
  <c r="E74" i="175"/>
  <c r="F74" i="175"/>
  <c r="G74" i="175"/>
  <c r="H74" i="175"/>
  <c r="I74" i="175"/>
  <c r="J74" i="175"/>
  <c r="K74" i="175"/>
  <c r="L74" i="175"/>
  <c r="M74" i="175"/>
  <c r="N74" i="175"/>
  <c r="O74" i="175"/>
  <c r="P74" i="175"/>
  <c r="Q74" i="175"/>
  <c r="R74" i="175"/>
  <c r="S74" i="175"/>
  <c r="T74" i="175"/>
  <c r="U74" i="175"/>
  <c r="W74" i="175"/>
  <c r="E75" i="175"/>
  <c r="F75" i="175"/>
  <c r="G75" i="175"/>
  <c r="H75" i="175"/>
  <c r="I75" i="175"/>
  <c r="J75" i="175"/>
  <c r="K75" i="175"/>
  <c r="L75" i="175"/>
  <c r="M75" i="175"/>
  <c r="N75" i="175"/>
  <c r="O75" i="175"/>
  <c r="P75" i="175"/>
  <c r="Q75" i="175"/>
  <c r="R75" i="175"/>
  <c r="S75" i="175"/>
  <c r="T75" i="175"/>
  <c r="U75" i="175"/>
  <c r="W75" i="175"/>
  <c r="E76" i="175"/>
  <c r="F76" i="175"/>
  <c r="G76" i="175"/>
  <c r="H76" i="175"/>
  <c r="I76" i="175"/>
  <c r="J76" i="175"/>
  <c r="K76" i="175"/>
  <c r="L76" i="175"/>
  <c r="M76" i="175"/>
  <c r="N76" i="175"/>
  <c r="O76" i="175"/>
  <c r="P76" i="175"/>
  <c r="Q76" i="175"/>
  <c r="R76" i="175"/>
  <c r="S76" i="175"/>
  <c r="T76" i="175"/>
  <c r="U76" i="175"/>
  <c r="W76" i="175"/>
  <c r="E77" i="175"/>
  <c r="F77" i="175"/>
  <c r="G77" i="175"/>
  <c r="H77" i="175"/>
  <c r="I77" i="175"/>
  <c r="J77" i="175"/>
  <c r="K77" i="175"/>
  <c r="L77" i="175"/>
  <c r="M77" i="175"/>
  <c r="N77" i="175"/>
  <c r="O77" i="175"/>
  <c r="P77" i="175"/>
  <c r="Q77" i="175"/>
  <c r="R77" i="175"/>
  <c r="S77" i="175"/>
  <c r="T77" i="175"/>
  <c r="U77" i="175"/>
  <c r="W77" i="175"/>
  <c r="E78" i="175"/>
  <c r="F78" i="175"/>
  <c r="G78" i="175"/>
  <c r="H78" i="175"/>
  <c r="I78" i="175"/>
  <c r="J78" i="175"/>
  <c r="K78" i="175"/>
  <c r="L78" i="175"/>
  <c r="M78" i="175"/>
  <c r="N78" i="175"/>
  <c r="O78" i="175"/>
  <c r="P78" i="175"/>
  <c r="Q78" i="175"/>
  <c r="R78" i="175"/>
  <c r="S78" i="175"/>
  <c r="T78" i="175"/>
  <c r="U78" i="175"/>
  <c r="W78" i="175"/>
  <c r="E79" i="175"/>
  <c r="F79" i="175"/>
  <c r="G79" i="175"/>
  <c r="H79" i="175"/>
  <c r="I79" i="175"/>
  <c r="J79" i="175"/>
  <c r="K79" i="175"/>
  <c r="L79" i="175"/>
  <c r="M79" i="175"/>
  <c r="N79" i="175"/>
  <c r="O79" i="175"/>
  <c r="P79" i="175"/>
  <c r="Q79" i="175"/>
  <c r="R79" i="175"/>
  <c r="S79" i="175"/>
  <c r="T79" i="175"/>
  <c r="U79" i="175"/>
  <c r="W79" i="175"/>
  <c r="E80" i="175"/>
  <c r="F80" i="175"/>
  <c r="G80" i="175"/>
  <c r="H80" i="175"/>
  <c r="I80" i="175"/>
  <c r="J80" i="175"/>
  <c r="K80" i="175"/>
  <c r="L80" i="175"/>
  <c r="M80" i="175"/>
  <c r="N80" i="175"/>
  <c r="O80" i="175"/>
  <c r="P80" i="175"/>
  <c r="Q80" i="175"/>
  <c r="R80" i="175"/>
  <c r="S80" i="175"/>
  <c r="T80" i="175"/>
  <c r="U80" i="175"/>
  <c r="W80" i="175"/>
  <c r="E81" i="175"/>
  <c r="F81" i="175"/>
  <c r="G81" i="175"/>
  <c r="H81" i="175"/>
  <c r="I81" i="175"/>
  <c r="J81" i="175"/>
  <c r="K81" i="175"/>
  <c r="L81" i="175"/>
  <c r="M81" i="175"/>
  <c r="N81" i="175"/>
  <c r="O81" i="175"/>
  <c r="P81" i="175"/>
  <c r="Q81" i="175"/>
  <c r="R81" i="175"/>
  <c r="S81" i="175"/>
  <c r="T81" i="175"/>
  <c r="U81" i="175"/>
  <c r="W81" i="175"/>
  <c r="E82" i="175"/>
  <c r="F82" i="175"/>
  <c r="G82" i="175"/>
  <c r="H82" i="175"/>
  <c r="I82" i="175"/>
  <c r="J82" i="175"/>
  <c r="K82" i="175"/>
  <c r="L82" i="175"/>
  <c r="M82" i="175"/>
  <c r="N82" i="175"/>
  <c r="O82" i="175"/>
  <c r="P82" i="175"/>
  <c r="Q82" i="175"/>
  <c r="R82" i="175"/>
  <c r="S82" i="175"/>
  <c r="T82" i="175"/>
  <c r="U82" i="175"/>
  <c r="W82" i="175"/>
  <c r="E83" i="175"/>
  <c r="F83" i="175"/>
  <c r="G83" i="175"/>
  <c r="H83" i="175"/>
  <c r="I83" i="175"/>
  <c r="J83" i="175"/>
  <c r="K83" i="175"/>
  <c r="L83" i="175"/>
  <c r="M83" i="175"/>
  <c r="N83" i="175"/>
  <c r="O83" i="175"/>
  <c r="P83" i="175"/>
  <c r="Q83" i="175"/>
  <c r="R83" i="175"/>
  <c r="S83" i="175"/>
  <c r="T83" i="175"/>
  <c r="U83" i="175"/>
  <c r="W83" i="175"/>
  <c r="E84" i="175"/>
  <c r="F84" i="175"/>
  <c r="G84" i="175"/>
  <c r="H84" i="175"/>
  <c r="I84" i="175"/>
  <c r="J84" i="175"/>
  <c r="K84" i="175"/>
  <c r="L84" i="175"/>
  <c r="M84" i="175"/>
  <c r="N84" i="175"/>
  <c r="O84" i="175"/>
  <c r="P84" i="175"/>
  <c r="Q84" i="175"/>
  <c r="R84" i="175"/>
  <c r="S84" i="175"/>
  <c r="T84" i="175"/>
  <c r="U84" i="175"/>
  <c r="W84" i="175"/>
  <c r="E85" i="175"/>
  <c r="F85" i="175"/>
  <c r="G85" i="175"/>
  <c r="H85" i="175"/>
  <c r="I85" i="175"/>
  <c r="J85" i="175"/>
  <c r="K85" i="175"/>
  <c r="L85" i="175"/>
  <c r="M85" i="175"/>
  <c r="N85" i="175"/>
  <c r="O85" i="175"/>
  <c r="P85" i="175"/>
  <c r="Q85" i="175"/>
  <c r="R85" i="175"/>
  <c r="S85" i="175"/>
  <c r="T85" i="175"/>
  <c r="U85" i="175"/>
  <c r="W85" i="175"/>
  <c r="E86" i="175"/>
  <c r="F86" i="175"/>
  <c r="G86" i="175"/>
  <c r="H86" i="175"/>
  <c r="I86" i="175"/>
  <c r="J86" i="175"/>
  <c r="K86" i="175"/>
  <c r="L86" i="175"/>
  <c r="M86" i="175"/>
  <c r="N86" i="175"/>
  <c r="O86" i="175"/>
  <c r="P86" i="175"/>
  <c r="Q86" i="175"/>
  <c r="R86" i="175"/>
  <c r="S86" i="175"/>
  <c r="T86" i="175"/>
  <c r="U86" i="175"/>
  <c r="W86" i="175"/>
  <c r="E87" i="175"/>
  <c r="F87" i="175"/>
  <c r="G87" i="175"/>
  <c r="H87" i="175"/>
  <c r="I87" i="175"/>
  <c r="J87" i="175"/>
  <c r="K87" i="175"/>
  <c r="L87" i="175"/>
  <c r="M87" i="175"/>
  <c r="N87" i="175"/>
  <c r="O87" i="175"/>
  <c r="P87" i="175"/>
  <c r="Q87" i="175"/>
  <c r="R87" i="175"/>
  <c r="S87" i="175"/>
  <c r="T87" i="175"/>
  <c r="U87" i="175"/>
  <c r="W87" i="175"/>
  <c r="E88" i="175"/>
  <c r="F88" i="175"/>
  <c r="G88" i="175"/>
  <c r="H88" i="175"/>
  <c r="I88" i="175"/>
  <c r="J88" i="175"/>
  <c r="K88" i="175"/>
  <c r="L88" i="175"/>
  <c r="M88" i="175"/>
  <c r="N88" i="175"/>
  <c r="O88" i="175"/>
  <c r="P88" i="175"/>
  <c r="Q88" i="175"/>
  <c r="R88" i="175"/>
  <c r="S88" i="175"/>
  <c r="T88" i="175"/>
  <c r="U88" i="175"/>
  <c r="W88" i="175"/>
  <c r="E89" i="175"/>
  <c r="F89" i="175"/>
  <c r="G89" i="175"/>
  <c r="H89" i="175"/>
  <c r="I89" i="175"/>
  <c r="J89" i="175"/>
  <c r="K89" i="175"/>
  <c r="L89" i="175"/>
  <c r="M89" i="175"/>
  <c r="N89" i="175"/>
  <c r="O89" i="175"/>
  <c r="P89" i="175"/>
  <c r="Q89" i="175"/>
  <c r="R89" i="175"/>
  <c r="S89" i="175"/>
  <c r="T89" i="175"/>
  <c r="U89" i="175"/>
  <c r="W89" i="175"/>
  <c r="E90" i="175"/>
  <c r="F90" i="175"/>
  <c r="G90" i="175"/>
  <c r="H90" i="175"/>
  <c r="I90" i="175"/>
  <c r="J90" i="175"/>
  <c r="K90" i="175"/>
  <c r="L90" i="175"/>
  <c r="M90" i="175"/>
  <c r="N90" i="175"/>
  <c r="O90" i="175"/>
  <c r="P90" i="175"/>
  <c r="Q90" i="175"/>
  <c r="R90" i="175"/>
  <c r="S90" i="175"/>
  <c r="T90" i="175"/>
  <c r="U90" i="175"/>
  <c r="W90" i="175"/>
  <c r="E91" i="175"/>
  <c r="F91" i="175"/>
  <c r="G91" i="175"/>
  <c r="H91" i="175"/>
  <c r="I91" i="175"/>
  <c r="J91" i="175"/>
  <c r="K91" i="175"/>
  <c r="L91" i="175"/>
  <c r="M91" i="175"/>
  <c r="N91" i="175"/>
  <c r="O91" i="175"/>
  <c r="P91" i="175"/>
  <c r="Q91" i="175"/>
  <c r="R91" i="175"/>
  <c r="S91" i="175"/>
  <c r="T91" i="175"/>
  <c r="U91" i="175"/>
  <c r="W91" i="175"/>
  <c r="E92" i="175"/>
  <c r="F92" i="175"/>
  <c r="G92" i="175"/>
  <c r="H92" i="175"/>
  <c r="I92" i="175"/>
  <c r="J92" i="175"/>
  <c r="K92" i="175"/>
  <c r="L92" i="175"/>
  <c r="M92" i="175"/>
  <c r="N92" i="175"/>
  <c r="O92" i="175"/>
  <c r="P92" i="175"/>
  <c r="Q92" i="175"/>
  <c r="R92" i="175"/>
  <c r="S92" i="175"/>
  <c r="T92" i="175"/>
  <c r="U92" i="175"/>
  <c r="W92" i="175"/>
  <c r="E93" i="175"/>
  <c r="F93" i="175"/>
  <c r="G93" i="175"/>
  <c r="H93" i="175"/>
  <c r="I93" i="175"/>
  <c r="J93" i="175"/>
  <c r="K93" i="175"/>
  <c r="L93" i="175"/>
  <c r="M93" i="175"/>
  <c r="N93" i="175"/>
  <c r="O93" i="175"/>
  <c r="P93" i="175"/>
  <c r="Q93" i="175"/>
  <c r="R93" i="175"/>
  <c r="S93" i="175"/>
  <c r="T93" i="175"/>
  <c r="U93" i="175"/>
  <c r="W93" i="175"/>
  <c r="E94" i="175"/>
  <c r="F94" i="175"/>
  <c r="G94" i="175"/>
  <c r="H94" i="175"/>
  <c r="I94" i="175"/>
  <c r="J94" i="175"/>
  <c r="K94" i="175"/>
  <c r="L94" i="175"/>
  <c r="M94" i="175"/>
  <c r="N94" i="175"/>
  <c r="O94" i="175"/>
  <c r="P94" i="175"/>
  <c r="Q94" i="175"/>
  <c r="R94" i="175"/>
  <c r="S94" i="175"/>
  <c r="T94" i="175"/>
  <c r="U94" i="175"/>
  <c r="W94" i="175"/>
  <c r="E95" i="175"/>
  <c r="F95" i="175"/>
  <c r="G95" i="175"/>
  <c r="H95" i="175"/>
  <c r="I95" i="175"/>
  <c r="J95" i="175"/>
  <c r="K95" i="175"/>
  <c r="L95" i="175"/>
  <c r="M95" i="175"/>
  <c r="N95" i="175"/>
  <c r="O95" i="175"/>
  <c r="P95" i="175"/>
  <c r="Q95" i="175"/>
  <c r="R95" i="175"/>
  <c r="S95" i="175"/>
  <c r="T95" i="175"/>
  <c r="U95" i="175"/>
  <c r="W95" i="175"/>
  <c r="E96" i="175"/>
  <c r="F96" i="175"/>
  <c r="G96" i="175"/>
  <c r="H96" i="175"/>
  <c r="I96" i="175"/>
  <c r="J96" i="175"/>
  <c r="K96" i="175"/>
  <c r="L96" i="175"/>
  <c r="M96" i="175"/>
  <c r="N96" i="175"/>
  <c r="O96" i="175"/>
  <c r="P96" i="175"/>
  <c r="Q96" i="175"/>
  <c r="R96" i="175"/>
  <c r="S96" i="175"/>
  <c r="T96" i="175"/>
  <c r="U96" i="175"/>
  <c r="W96" i="175"/>
  <c r="E97" i="175"/>
  <c r="F97" i="175"/>
  <c r="G97" i="175"/>
  <c r="H97" i="175"/>
  <c r="I97" i="175"/>
  <c r="J97" i="175"/>
  <c r="K97" i="175"/>
  <c r="L97" i="175"/>
  <c r="M97" i="175"/>
  <c r="N97" i="175"/>
  <c r="O97" i="175"/>
  <c r="P97" i="175"/>
  <c r="Q97" i="175"/>
  <c r="R97" i="175"/>
  <c r="S97" i="175"/>
  <c r="T97" i="175"/>
  <c r="U97" i="175"/>
  <c r="W97" i="175"/>
  <c r="E98" i="175"/>
  <c r="F98" i="175"/>
  <c r="G98" i="175"/>
  <c r="H98" i="175"/>
  <c r="I98" i="175"/>
  <c r="J98" i="175"/>
  <c r="K98" i="175"/>
  <c r="L98" i="175"/>
  <c r="M98" i="175"/>
  <c r="N98" i="175"/>
  <c r="O98" i="175"/>
  <c r="P98" i="175"/>
  <c r="Q98" i="175"/>
  <c r="R98" i="175"/>
  <c r="S98" i="175"/>
  <c r="T98" i="175"/>
  <c r="U98" i="175"/>
  <c r="W98" i="175"/>
  <c r="E99" i="175"/>
  <c r="F99" i="175"/>
  <c r="G99" i="175"/>
  <c r="H99" i="175"/>
  <c r="I99" i="175"/>
  <c r="J99" i="175"/>
  <c r="K99" i="175"/>
  <c r="L99" i="175"/>
  <c r="M99" i="175"/>
  <c r="N99" i="175"/>
  <c r="O99" i="175"/>
  <c r="P99" i="175"/>
  <c r="Q99" i="175"/>
  <c r="R99" i="175"/>
  <c r="S99" i="175"/>
  <c r="T99" i="175"/>
  <c r="U99" i="175"/>
  <c r="W99" i="175"/>
  <c r="E100" i="175"/>
  <c r="F100" i="175"/>
  <c r="G100" i="175"/>
  <c r="H100" i="175"/>
  <c r="I100" i="175"/>
  <c r="J100" i="175"/>
  <c r="K100" i="175"/>
  <c r="L100" i="175"/>
  <c r="M100" i="175"/>
  <c r="N100" i="175"/>
  <c r="O100" i="175"/>
  <c r="P100" i="175"/>
  <c r="Q100" i="175"/>
  <c r="R100" i="175"/>
  <c r="S100" i="175"/>
  <c r="T100" i="175"/>
  <c r="U100" i="175"/>
  <c r="W100" i="175"/>
  <c r="E101" i="175"/>
  <c r="F101" i="175"/>
  <c r="G101" i="175"/>
  <c r="H101" i="175"/>
  <c r="I101" i="175"/>
  <c r="J101" i="175"/>
  <c r="K101" i="175"/>
  <c r="L101" i="175"/>
  <c r="M101" i="175"/>
  <c r="N101" i="175"/>
  <c r="O101" i="175"/>
  <c r="P101" i="175"/>
  <c r="Q101" i="175"/>
  <c r="R101" i="175"/>
  <c r="S101" i="175"/>
  <c r="T101" i="175"/>
  <c r="U101" i="175"/>
  <c r="W101" i="175"/>
  <c r="E102" i="175"/>
  <c r="F102" i="175"/>
  <c r="G102" i="175"/>
  <c r="H102" i="175"/>
  <c r="I102" i="175"/>
  <c r="J102" i="175"/>
  <c r="K102" i="175"/>
  <c r="L102" i="175"/>
  <c r="M102" i="175"/>
  <c r="N102" i="175"/>
  <c r="O102" i="175"/>
  <c r="P102" i="175"/>
  <c r="Q102" i="175"/>
  <c r="R102" i="175"/>
  <c r="S102" i="175"/>
  <c r="T102" i="175"/>
  <c r="U102" i="175"/>
  <c r="W102" i="175"/>
  <c r="E103" i="175"/>
  <c r="F103" i="175"/>
  <c r="G103" i="175"/>
  <c r="H103" i="175"/>
  <c r="I103" i="175"/>
  <c r="J103" i="175"/>
  <c r="K103" i="175"/>
  <c r="L103" i="175"/>
  <c r="M103" i="175"/>
  <c r="N103" i="175"/>
  <c r="O103" i="175"/>
  <c r="P103" i="175"/>
  <c r="Q103" i="175"/>
  <c r="R103" i="175"/>
  <c r="S103" i="175"/>
  <c r="T103" i="175"/>
  <c r="U103" i="175"/>
  <c r="W103" i="175"/>
  <c r="E104" i="175"/>
  <c r="F104" i="175"/>
  <c r="G104" i="175"/>
  <c r="H104" i="175"/>
  <c r="I104" i="175"/>
  <c r="J104" i="175"/>
  <c r="K104" i="175"/>
  <c r="L104" i="175"/>
  <c r="M104" i="175"/>
  <c r="N104" i="175"/>
  <c r="O104" i="175"/>
  <c r="P104" i="175"/>
  <c r="Q104" i="175"/>
  <c r="R104" i="175"/>
  <c r="S104" i="175"/>
  <c r="T104" i="175"/>
  <c r="U104" i="175"/>
  <c r="W104" i="175"/>
  <c r="E105" i="175"/>
  <c r="F105" i="175"/>
  <c r="G105" i="175"/>
  <c r="H105" i="175"/>
  <c r="I105" i="175"/>
  <c r="J105" i="175"/>
  <c r="K105" i="175"/>
  <c r="L105" i="175"/>
  <c r="M105" i="175"/>
  <c r="N105" i="175"/>
  <c r="O105" i="175"/>
  <c r="P105" i="175"/>
  <c r="Q105" i="175"/>
  <c r="R105" i="175"/>
  <c r="S105" i="175"/>
  <c r="T105" i="175"/>
  <c r="U105" i="175"/>
  <c r="W105" i="175"/>
  <c r="E106" i="175"/>
  <c r="F106" i="175"/>
  <c r="G106" i="175"/>
  <c r="H106" i="175"/>
  <c r="I106" i="175"/>
  <c r="J106" i="175"/>
  <c r="K106" i="175"/>
  <c r="L106" i="175"/>
  <c r="M106" i="175"/>
  <c r="N106" i="175"/>
  <c r="O106" i="175"/>
  <c r="P106" i="175"/>
  <c r="Q106" i="175"/>
  <c r="R106" i="175"/>
  <c r="S106" i="175"/>
  <c r="T106" i="175"/>
  <c r="U106" i="175"/>
  <c r="W106" i="175"/>
  <c r="E107" i="175"/>
  <c r="F107" i="175"/>
  <c r="G107" i="175"/>
  <c r="H107" i="175"/>
  <c r="I107" i="175"/>
  <c r="J107" i="175"/>
  <c r="K107" i="175"/>
  <c r="L107" i="175"/>
  <c r="M107" i="175"/>
  <c r="N107" i="175"/>
  <c r="O107" i="175"/>
  <c r="P107" i="175"/>
  <c r="Q107" i="175"/>
  <c r="R107" i="175"/>
  <c r="S107" i="175"/>
  <c r="T107" i="175"/>
  <c r="U107" i="175"/>
  <c r="W107" i="175"/>
  <c r="W12" i="175"/>
  <c r="F12" i="175"/>
  <c r="G12" i="175"/>
  <c r="H12" i="175"/>
  <c r="I12" i="175"/>
  <c r="J12" i="175"/>
  <c r="K12" i="175"/>
  <c r="L12" i="175"/>
  <c r="M12" i="175"/>
  <c r="N12" i="175"/>
  <c r="O12" i="175"/>
  <c r="P12" i="175"/>
  <c r="Q12" i="175"/>
  <c r="R12" i="175"/>
  <c r="S12" i="175"/>
  <c r="T12" i="175"/>
  <c r="U12" i="175"/>
  <c r="E13" i="174"/>
  <c r="F13" i="174"/>
  <c r="G13" i="174"/>
  <c r="H13" i="174"/>
  <c r="I13" i="174"/>
  <c r="J13" i="174"/>
  <c r="K13" i="174"/>
  <c r="L13" i="174"/>
  <c r="M13" i="174"/>
  <c r="N13" i="174"/>
  <c r="O13" i="174"/>
  <c r="P13" i="174"/>
  <c r="Q13" i="174"/>
  <c r="R13" i="174"/>
  <c r="S13" i="174"/>
  <c r="T13" i="174"/>
  <c r="U13" i="174"/>
  <c r="W13" i="174"/>
  <c r="E14" i="174"/>
  <c r="F14" i="174"/>
  <c r="G14" i="174"/>
  <c r="H14" i="174"/>
  <c r="I14" i="174"/>
  <c r="J14" i="174"/>
  <c r="K14" i="174"/>
  <c r="L14" i="174"/>
  <c r="M14" i="174"/>
  <c r="N14" i="174"/>
  <c r="O14" i="174"/>
  <c r="P14" i="174"/>
  <c r="Q14" i="174"/>
  <c r="R14" i="174"/>
  <c r="S14" i="174"/>
  <c r="T14" i="174"/>
  <c r="U14" i="174"/>
  <c r="W14" i="174"/>
  <c r="E15" i="174"/>
  <c r="F15" i="174"/>
  <c r="G15" i="174"/>
  <c r="H15" i="174"/>
  <c r="I15" i="174"/>
  <c r="J15" i="174"/>
  <c r="K15" i="174"/>
  <c r="L15" i="174"/>
  <c r="M15" i="174"/>
  <c r="N15" i="174"/>
  <c r="O15" i="174"/>
  <c r="P15" i="174"/>
  <c r="Q15" i="174"/>
  <c r="R15" i="174"/>
  <c r="S15" i="174"/>
  <c r="T15" i="174"/>
  <c r="U15" i="174"/>
  <c r="W15" i="174"/>
  <c r="E16" i="174"/>
  <c r="F16" i="174"/>
  <c r="G16" i="174"/>
  <c r="H16" i="174"/>
  <c r="I16" i="174"/>
  <c r="J16" i="174"/>
  <c r="K16" i="174"/>
  <c r="L16" i="174"/>
  <c r="M16" i="174"/>
  <c r="N16" i="174"/>
  <c r="O16" i="174"/>
  <c r="P16" i="174"/>
  <c r="Q16" i="174"/>
  <c r="R16" i="174"/>
  <c r="S16" i="174"/>
  <c r="T16" i="174"/>
  <c r="U16" i="174"/>
  <c r="W16" i="174"/>
  <c r="E17" i="174"/>
  <c r="F17" i="174"/>
  <c r="G17" i="174"/>
  <c r="H17" i="174"/>
  <c r="I17" i="174"/>
  <c r="J17" i="174"/>
  <c r="K17" i="174"/>
  <c r="L17" i="174"/>
  <c r="M17" i="174"/>
  <c r="N17" i="174"/>
  <c r="O17" i="174"/>
  <c r="P17" i="174"/>
  <c r="Q17" i="174"/>
  <c r="R17" i="174"/>
  <c r="S17" i="174"/>
  <c r="T17" i="174"/>
  <c r="U17" i="174"/>
  <c r="W17" i="174"/>
  <c r="E18" i="174"/>
  <c r="F18" i="174"/>
  <c r="G18" i="174"/>
  <c r="H18" i="174"/>
  <c r="I18" i="174"/>
  <c r="J18" i="174"/>
  <c r="K18" i="174"/>
  <c r="L18" i="174"/>
  <c r="M18" i="174"/>
  <c r="N18" i="174"/>
  <c r="O18" i="174"/>
  <c r="P18" i="174"/>
  <c r="Q18" i="174"/>
  <c r="R18" i="174"/>
  <c r="S18" i="174"/>
  <c r="T18" i="174"/>
  <c r="U18" i="174"/>
  <c r="W18" i="174"/>
  <c r="E19" i="174"/>
  <c r="F19" i="174"/>
  <c r="G19" i="174"/>
  <c r="H19" i="174"/>
  <c r="I19" i="174"/>
  <c r="J19" i="174"/>
  <c r="K19" i="174"/>
  <c r="L19" i="174"/>
  <c r="M19" i="174"/>
  <c r="N19" i="174"/>
  <c r="O19" i="174"/>
  <c r="P19" i="174"/>
  <c r="Q19" i="174"/>
  <c r="R19" i="174"/>
  <c r="S19" i="174"/>
  <c r="T19" i="174"/>
  <c r="U19" i="174"/>
  <c r="W19" i="174"/>
  <c r="E20" i="174"/>
  <c r="F20" i="174"/>
  <c r="G20" i="174"/>
  <c r="H20" i="174"/>
  <c r="I20" i="174"/>
  <c r="J20" i="174"/>
  <c r="K20" i="174"/>
  <c r="L20" i="174"/>
  <c r="M20" i="174"/>
  <c r="N20" i="174"/>
  <c r="O20" i="174"/>
  <c r="P20" i="174"/>
  <c r="Q20" i="174"/>
  <c r="R20" i="174"/>
  <c r="S20" i="174"/>
  <c r="T20" i="174"/>
  <c r="U20" i="174"/>
  <c r="W20" i="174"/>
  <c r="E21" i="174"/>
  <c r="F21" i="174"/>
  <c r="G21" i="174"/>
  <c r="H21" i="174"/>
  <c r="I21" i="174"/>
  <c r="J21" i="174"/>
  <c r="K21" i="174"/>
  <c r="L21" i="174"/>
  <c r="M21" i="174"/>
  <c r="N21" i="174"/>
  <c r="O21" i="174"/>
  <c r="P21" i="174"/>
  <c r="Q21" i="174"/>
  <c r="R21" i="174"/>
  <c r="S21" i="174"/>
  <c r="T21" i="174"/>
  <c r="U21" i="174"/>
  <c r="W21" i="174"/>
  <c r="E22" i="174"/>
  <c r="F22" i="174"/>
  <c r="G22" i="174"/>
  <c r="H22" i="174"/>
  <c r="I22" i="174"/>
  <c r="J22" i="174"/>
  <c r="K22" i="174"/>
  <c r="L22" i="174"/>
  <c r="M22" i="174"/>
  <c r="N22" i="174"/>
  <c r="O22" i="174"/>
  <c r="P22" i="174"/>
  <c r="Q22" i="174"/>
  <c r="R22" i="174"/>
  <c r="S22" i="174"/>
  <c r="T22" i="174"/>
  <c r="U22" i="174"/>
  <c r="W22" i="174"/>
  <c r="E23" i="174"/>
  <c r="F23" i="174"/>
  <c r="G23" i="174"/>
  <c r="H23" i="174"/>
  <c r="I23" i="174"/>
  <c r="J23" i="174"/>
  <c r="K23" i="174"/>
  <c r="L23" i="174"/>
  <c r="M23" i="174"/>
  <c r="N23" i="174"/>
  <c r="O23" i="174"/>
  <c r="P23" i="174"/>
  <c r="Q23" i="174"/>
  <c r="R23" i="174"/>
  <c r="S23" i="174"/>
  <c r="T23" i="174"/>
  <c r="U23" i="174"/>
  <c r="W23" i="174"/>
  <c r="E24" i="174"/>
  <c r="F24" i="174"/>
  <c r="G24" i="174"/>
  <c r="H24" i="174"/>
  <c r="I24" i="174"/>
  <c r="J24" i="174"/>
  <c r="K24" i="174"/>
  <c r="L24" i="174"/>
  <c r="M24" i="174"/>
  <c r="N24" i="174"/>
  <c r="O24" i="174"/>
  <c r="P24" i="174"/>
  <c r="Q24" i="174"/>
  <c r="R24" i="174"/>
  <c r="S24" i="174"/>
  <c r="T24" i="174"/>
  <c r="U24" i="174"/>
  <c r="W24" i="174"/>
  <c r="E25" i="174"/>
  <c r="F25" i="174"/>
  <c r="G25" i="174"/>
  <c r="H25" i="174"/>
  <c r="I25" i="174"/>
  <c r="J25" i="174"/>
  <c r="K25" i="174"/>
  <c r="L25" i="174"/>
  <c r="M25" i="174"/>
  <c r="N25" i="174"/>
  <c r="O25" i="174"/>
  <c r="P25" i="174"/>
  <c r="Q25" i="174"/>
  <c r="R25" i="174"/>
  <c r="S25" i="174"/>
  <c r="T25" i="174"/>
  <c r="U25" i="174"/>
  <c r="W25" i="174"/>
  <c r="E26" i="174"/>
  <c r="F26" i="174"/>
  <c r="G26" i="174"/>
  <c r="H26" i="174"/>
  <c r="I26" i="174"/>
  <c r="J26" i="174"/>
  <c r="K26" i="174"/>
  <c r="L26" i="174"/>
  <c r="M26" i="174"/>
  <c r="N26" i="174"/>
  <c r="O26" i="174"/>
  <c r="P26" i="174"/>
  <c r="Q26" i="174"/>
  <c r="R26" i="174"/>
  <c r="S26" i="174"/>
  <c r="T26" i="174"/>
  <c r="U26" i="174"/>
  <c r="W26" i="174"/>
  <c r="E27" i="174"/>
  <c r="F27" i="174"/>
  <c r="G27" i="174"/>
  <c r="H27" i="174"/>
  <c r="I27" i="174"/>
  <c r="J27" i="174"/>
  <c r="K27" i="174"/>
  <c r="L27" i="174"/>
  <c r="M27" i="174"/>
  <c r="N27" i="174"/>
  <c r="O27" i="174"/>
  <c r="P27" i="174"/>
  <c r="Q27" i="174"/>
  <c r="R27" i="174"/>
  <c r="S27" i="174"/>
  <c r="T27" i="174"/>
  <c r="U27" i="174"/>
  <c r="W27" i="174"/>
  <c r="E28" i="174"/>
  <c r="F28" i="174"/>
  <c r="G28" i="174"/>
  <c r="H28" i="174"/>
  <c r="I28" i="174"/>
  <c r="J28" i="174"/>
  <c r="K28" i="174"/>
  <c r="L28" i="174"/>
  <c r="M28" i="174"/>
  <c r="N28" i="174"/>
  <c r="O28" i="174"/>
  <c r="P28" i="174"/>
  <c r="Q28" i="174"/>
  <c r="R28" i="174"/>
  <c r="S28" i="174"/>
  <c r="T28" i="174"/>
  <c r="U28" i="174"/>
  <c r="W28" i="174"/>
  <c r="E29" i="174"/>
  <c r="F29" i="174"/>
  <c r="G29" i="174"/>
  <c r="H29" i="174"/>
  <c r="I29" i="174"/>
  <c r="J29" i="174"/>
  <c r="K29" i="174"/>
  <c r="L29" i="174"/>
  <c r="M29" i="174"/>
  <c r="N29" i="174"/>
  <c r="O29" i="174"/>
  <c r="P29" i="174"/>
  <c r="Q29" i="174"/>
  <c r="R29" i="174"/>
  <c r="S29" i="174"/>
  <c r="T29" i="174"/>
  <c r="U29" i="174"/>
  <c r="W29" i="174"/>
  <c r="E30" i="174"/>
  <c r="F30" i="174"/>
  <c r="G30" i="174"/>
  <c r="H30" i="174"/>
  <c r="I30" i="174"/>
  <c r="J30" i="174"/>
  <c r="K30" i="174"/>
  <c r="L30" i="174"/>
  <c r="M30" i="174"/>
  <c r="N30" i="174"/>
  <c r="O30" i="174"/>
  <c r="P30" i="174"/>
  <c r="Q30" i="174"/>
  <c r="R30" i="174"/>
  <c r="S30" i="174"/>
  <c r="T30" i="174"/>
  <c r="U30" i="174"/>
  <c r="W30" i="174"/>
  <c r="E31" i="174"/>
  <c r="F31" i="174"/>
  <c r="G31" i="174"/>
  <c r="H31" i="174"/>
  <c r="I31" i="174"/>
  <c r="J31" i="174"/>
  <c r="K31" i="174"/>
  <c r="L31" i="174"/>
  <c r="M31" i="174"/>
  <c r="N31" i="174"/>
  <c r="O31" i="174"/>
  <c r="P31" i="174"/>
  <c r="Q31" i="174"/>
  <c r="R31" i="174"/>
  <c r="S31" i="174"/>
  <c r="T31" i="174"/>
  <c r="U31" i="174"/>
  <c r="W31" i="174"/>
  <c r="E32" i="174"/>
  <c r="F32" i="174"/>
  <c r="G32" i="174"/>
  <c r="H32" i="174"/>
  <c r="I32" i="174"/>
  <c r="J32" i="174"/>
  <c r="K32" i="174"/>
  <c r="L32" i="174"/>
  <c r="M32" i="174"/>
  <c r="N32" i="174"/>
  <c r="O32" i="174"/>
  <c r="P32" i="174"/>
  <c r="Q32" i="174"/>
  <c r="R32" i="174"/>
  <c r="S32" i="174"/>
  <c r="T32" i="174"/>
  <c r="U32" i="174"/>
  <c r="W32" i="174"/>
  <c r="E33" i="174"/>
  <c r="F33" i="174"/>
  <c r="G33" i="174"/>
  <c r="H33" i="174"/>
  <c r="I33" i="174"/>
  <c r="J33" i="174"/>
  <c r="K33" i="174"/>
  <c r="L33" i="174"/>
  <c r="M33" i="174"/>
  <c r="N33" i="174"/>
  <c r="O33" i="174"/>
  <c r="P33" i="174"/>
  <c r="Q33" i="174"/>
  <c r="R33" i="174"/>
  <c r="S33" i="174"/>
  <c r="T33" i="174"/>
  <c r="U33" i="174"/>
  <c r="W33" i="174"/>
  <c r="E34" i="174"/>
  <c r="F34" i="174"/>
  <c r="G34" i="174"/>
  <c r="H34" i="174"/>
  <c r="I34" i="174"/>
  <c r="J34" i="174"/>
  <c r="K34" i="174"/>
  <c r="L34" i="174"/>
  <c r="M34" i="174"/>
  <c r="N34" i="174"/>
  <c r="O34" i="174"/>
  <c r="P34" i="174"/>
  <c r="Q34" i="174"/>
  <c r="R34" i="174"/>
  <c r="S34" i="174"/>
  <c r="T34" i="174"/>
  <c r="U34" i="174"/>
  <c r="W34" i="174"/>
  <c r="E35" i="174"/>
  <c r="F35" i="174"/>
  <c r="G35" i="174"/>
  <c r="H35" i="174"/>
  <c r="I35" i="174"/>
  <c r="J35" i="174"/>
  <c r="K35" i="174"/>
  <c r="L35" i="174"/>
  <c r="M35" i="174"/>
  <c r="N35" i="174"/>
  <c r="O35" i="174"/>
  <c r="P35" i="174"/>
  <c r="Q35" i="174"/>
  <c r="R35" i="174"/>
  <c r="S35" i="174"/>
  <c r="T35" i="174"/>
  <c r="U35" i="174"/>
  <c r="W35" i="174"/>
  <c r="E36" i="174"/>
  <c r="F36" i="174"/>
  <c r="G36" i="174"/>
  <c r="H36" i="174"/>
  <c r="I36" i="174"/>
  <c r="J36" i="174"/>
  <c r="K36" i="174"/>
  <c r="L36" i="174"/>
  <c r="M36" i="174"/>
  <c r="N36" i="174"/>
  <c r="O36" i="174"/>
  <c r="P36" i="174"/>
  <c r="Q36" i="174"/>
  <c r="R36" i="174"/>
  <c r="S36" i="174"/>
  <c r="T36" i="174"/>
  <c r="U36" i="174"/>
  <c r="W36" i="174"/>
  <c r="E37" i="174"/>
  <c r="F37" i="174"/>
  <c r="G37" i="174"/>
  <c r="H37" i="174"/>
  <c r="I37" i="174"/>
  <c r="J37" i="174"/>
  <c r="K37" i="174"/>
  <c r="L37" i="174"/>
  <c r="M37" i="174"/>
  <c r="N37" i="174"/>
  <c r="O37" i="174"/>
  <c r="P37" i="174"/>
  <c r="Q37" i="174"/>
  <c r="R37" i="174"/>
  <c r="S37" i="174"/>
  <c r="T37" i="174"/>
  <c r="U37" i="174"/>
  <c r="W37" i="174"/>
  <c r="E38" i="174"/>
  <c r="F38" i="174"/>
  <c r="G38" i="174"/>
  <c r="H38" i="174"/>
  <c r="I38" i="174"/>
  <c r="J38" i="174"/>
  <c r="K38" i="174"/>
  <c r="L38" i="174"/>
  <c r="M38" i="174"/>
  <c r="N38" i="174"/>
  <c r="O38" i="174"/>
  <c r="P38" i="174"/>
  <c r="Q38" i="174"/>
  <c r="R38" i="174"/>
  <c r="S38" i="174"/>
  <c r="T38" i="174"/>
  <c r="U38" i="174"/>
  <c r="W38" i="174"/>
  <c r="E39" i="174"/>
  <c r="F39" i="174"/>
  <c r="G39" i="174"/>
  <c r="H39" i="174"/>
  <c r="I39" i="174"/>
  <c r="J39" i="174"/>
  <c r="K39" i="174"/>
  <c r="L39" i="174"/>
  <c r="M39" i="174"/>
  <c r="N39" i="174"/>
  <c r="O39" i="174"/>
  <c r="P39" i="174"/>
  <c r="Q39" i="174"/>
  <c r="R39" i="174"/>
  <c r="S39" i="174"/>
  <c r="T39" i="174"/>
  <c r="U39" i="174"/>
  <c r="W39" i="174"/>
  <c r="E40" i="174"/>
  <c r="F40" i="174"/>
  <c r="G40" i="174"/>
  <c r="H40" i="174"/>
  <c r="I40" i="174"/>
  <c r="J40" i="174"/>
  <c r="K40" i="174"/>
  <c r="L40" i="174"/>
  <c r="M40" i="174"/>
  <c r="N40" i="174"/>
  <c r="O40" i="174"/>
  <c r="P40" i="174"/>
  <c r="Q40" i="174"/>
  <c r="R40" i="174"/>
  <c r="S40" i="174"/>
  <c r="T40" i="174"/>
  <c r="U40" i="174"/>
  <c r="W40" i="174"/>
  <c r="E41" i="174"/>
  <c r="F41" i="174"/>
  <c r="G41" i="174"/>
  <c r="H41" i="174"/>
  <c r="I41" i="174"/>
  <c r="J41" i="174"/>
  <c r="K41" i="174"/>
  <c r="L41" i="174"/>
  <c r="M41" i="174"/>
  <c r="N41" i="174"/>
  <c r="O41" i="174"/>
  <c r="P41" i="174"/>
  <c r="Q41" i="174"/>
  <c r="R41" i="174"/>
  <c r="S41" i="174"/>
  <c r="T41" i="174"/>
  <c r="U41" i="174"/>
  <c r="W41" i="174"/>
  <c r="E42" i="174"/>
  <c r="F42" i="174"/>
  <c r="G42" i="174"/>
  <c r="H42" i="174"/>
  <c r="I42" i="174"/>
  <c r="J42" i="174"/>
  <c r="K42" i="174"/>
  <c r="L42" i="174"/>
  <c r="M42" i="174"/>
  <c r="N42" i="174"/>
  <c r="O42" i="174"/>
  <c r="P42" i="174"/>
  <c r="Q42" i="174"/>
  <c r="R42" i="174"/>
  <c r="S42" i="174"/>
  <c r="T42" i="174"/>
  <c r="U42" i="174"/>
  <c r="W42" i="174"/>
  <c r="E43" i="174"/>
  <c r="F43" i="174"/>
  <c r="G43" i="174"/>
  <c r="H43" i="174"/>
  <c r="I43" i="174"/>
  <c r="J43" i="174"/>
  <c r="K43" i="174"/>
  <c r="L43" i="174"/>
  <c r="M43" i="174"/>
  <c r="N43" i="174"/>
  <c r="O43" i="174"/>
  <c r="P43" i="174"/>
  <c r="Q43" i="174"/>
  <c r="R43" i="174"/>
  <c r="S43" i="174"/>
  <c r="T43" i="174"/>
  <c r="U43" i="174"/>
  <c r="W43" i="174"/>
  <c r="E44" i="174"/>
  <c r="F44" i="174"/>
  <c r="G44" i="174"/>
  <c r="H44" i="174"/>
  <c r="I44" i="174"/>
  <c r="J44" i="174"/>
  <c r="K44" i="174"/>
  <c r="L44" i="174"/>
  <c r="M44" i="174"/>
  <c r="N44" i="174"/>
  <c r="O44" i="174"/>
  <c r="P44" i="174"/>
  <c r="Q44" i="174"/>
  <c r="R44" i="174"/>
  <c r="S44" i="174"/>
  <c r="T44" i="174"/>
  <c r="U44" i="174"/>
  <c r="W44" i="174"/>
  <c r="E45" i="174"/>
  <c r="F45" i="174"/>
  <c r="G45" i="174"/>
  <c r="H45" i="174"/>
  <c r="I45" i="174"/>
  <c r="J45" i="174"/>
  <c r="K45" i="174"/>
  <c r="L45" i="174"/>
  <c r="M45" i="174"/>
  <c r="N45" i="174"/>
  <c r="O45" i="174"/>
  <c r="P45" i="174"/>
  <c r="Q45" i="174"/>
  <c r="R45" i="174"/>
  <c r="S45" i="174"/>
  <c r="T45" i="174"/>
  <c r="U45" i="174"/>
  <c r="W45" i="174"/>
  <c r="E46" i="174"/>
  <c r="F46" i="174"/>
  <c r="G46" i="174"/>
  <c r="H46" i="174"/>
  <c r="I46" i="174"/>
  <c r="J46" i="174"/>
  <c r="K46" i="174"/>
  <c r="L46" i="174"/>
  <c r="M46" i="174"/>
  <c r="N46" i="174"/>
  <c r="O46" i="174"/>
  <c r="P46" i="174"/>
  <c r="Q46" i="174"/>
  <c r="R46" i="174"/>
  <c r="S46" i="174"/>
  <c r="T46" i="174"/>
  <c r="U46" i="174"/>
  <c r="W46" i="174"/>
  <c r="E47" i="174"/>
  <c r="F47" i="174"/>
  <c r="G47" i="174"/>
  <c r="H47" i="174"/>
  <c r="I47" i="174"/>
  <c r="J47" i="174"/>
  <c r="K47" i="174"/>
  <c r="L47" i="174"/>
  <c r="M47" i="174"/>
  <c r="N47" i="174"/>
  <c r="O47" i="174"/>
  <c r="P47" i="174"/>
  <c r="Q47" i="174"/>
  <c r="R47" i="174"/>
  <c r="S47" i="174"/>
  <c r="T47" i="174"/>
  <c r="U47" i="174"/>
  <c r="W47" i="174"/>
  <c r="E48" i="174"/>
  <c r="F48" i="174"/>
  <c r="G48" i="174"/>
  <c r="H48" i="174"/>
  <c r="I48" i="174"/>
  <c r="J48" i="174"/>
  <c r="K48" i="174"/>
  <c r="L48" i="174"/>
  <c r="M48" i="174"/>
  <c r="N48" i="174"/>
  <c r="O48" i="174"/>
  <c r="P48" i="174"/>
  <c r="Q48" i="174"/>
  <c r="R48" i="174"/>
  <c r="S48" i="174"/>
  <c r="T48" i="174"/>
  <c r="U48" i="174"/>
  <c r="W48" i="174"/>
  <c r="E49" i="174"/>
  <c r="F49" i="174"/>
  <c r="G49" i="174"/>
  <c r="H49" i="174"/>
  <c r="I49" i="174"/>
  <c r="J49" i="174"/>
  <c r="K49" i="174"/>
  <c r="L49" i="174"/>
  <c r="M49" i="174"/>
  <c r="N49" i="174"/>
  <c r="O49" i="174"/>
  <c r="P49" i="174"/>
  <c r="Q49" i="174"/>
  <c r="R49" i="174"/>
  <c r="S49" i="174"/>
  <c r="T49" i="174"/>
  <c r="U49" i="174"/>
  <c r="W49" i="174"/>
  <c r="E50" i="174"/>
  <c r="F50" i="174"/>
  <c r="G50" i="174"/>
  <c r="H50" i="174"/>
  <c r="I50" i="174"/>
  <c r="J50" i="174"/>
  <c r="K50" i="174"/>
  <c r="L50" i="174"/>
  <c r="M50" i="174"/>
  <c r="N50" i="174"/>
  <c r="O50" i="174"/>
  <c r="P50" i="174"/>
  <c r="Q50" i="174"/>
  <c r="R50" i="174"/>
  <c r="S50" i="174"/>
  <c r="T50" i="174"/>
  <c r="U50" i="174"/>
  <c r="W50" i="174"/>
  <c r="E51" i="174"/>
  <c r="F51" i="174"/>
  <c r="G51" i="174"/>
  <c r="H51" i="174"/>
  <c r="I51" i="174"/>
  <c r="J51" i="174"/>
  <c r="K51" i="174"/>
  <c r="L51" i="174"/>
  <c r="M51" i="174"/>
  <c r="N51" i="174"/>
  <c r="O51" i="174"/>
  <c r="P51" i="174"/>
  <c r="Q51" i="174"/>
  <c r="R51" i="174"/>
  <c r="S51" i="174"/>
  <c r="T51" i="174"/>
  <c r="U51" i="174"/>
  <c r="W51" i="174"/>
  <c r="E52" i="174"/>
  <c r="F52" i="174"/>
  <c r="G52" i="174"/>
  <c r="H52" i="174"/>
  <c r="I52" i="174"/>
  <c r="J52" i="174"/>
  <c r="K52" i="174"/>
  <c r="L52" i="174"/>
  <c r="M52" i="174"/>
  <c r="N52" i="174"/>
  <c r="O52" i="174"/>
  <c r="P52" i="174"/>
  <c r="Q52" i="174"/>
  <c r="R52" i="174"/>
  <c r="S52" i="174"/>
  <c r="T52" i="174"/>
  <c r="U52" i="174"/>
  <c r="W52" i="174"/>
  <c r="E53" i="174"/>
  <c r="F53" i="174"/>
  <c r="G53" i="174"/>
  <c r="H53" i="174"/>
  <c r="I53" i="174"/>
  <c r="J53" i="174"/>
  <c r="K53" i="174"/>
  <c r="L53" i="174"/>
  <c r="M53" i="174"/>
  <c r="N53" i="174"/>
  <c r="O53" i="174"/>
  <c r="P53" i="174"/>
  <c r="Q53" i="174"/>
  <c r="R53" i="174"/>
  <c r="S53" i="174"/>
  <c r="T53" i="174"/>
  <c r="U53" i="174"/>
  <c r="W53" i="174"/>
  <c r="E54" i="174"/>
  <c r="F54" i="174"/>
  <c r="G54" i="174"/>
  <c r="H54" i="174"/>
  <c r="I54" i="174"/>
  <c r="J54" i="174"/>
  <c r="K54" i="174"/>
  <c r="L54" i="174"/>
  <c r="M54" i="174"/>
  <c r="N54" i="174"/>
  <c r="O54" i="174"/>
  <c r="P54" i="174"/>
  <c r="Q54" i="174"/>
  <c r="R54" i="174"/>
  <c r="S54" i="174"/>
  <c r="T54" i="174"/>
  <c r="U54" i="174"/>
  <c r="W54" i="174"/>
  <c r="E55" i="174"/>
  <c r="F55" i="174"/>
  <c r="G55" i="174"/>
  <c r="H55" i="174"/>
  <c r="I55" i="174"/>
  <c r="J55" i="174"/>
  <c r="K55" i="174"/>
  <c r="L55" i="174"/>
  <c r="M55" i="174"/>
  <c r="N55" i="174"/>
  <c r="O55" i="174"/>
  <c r="P55" i="174"/>
  <c r="Q55" i="174"/>
  <c r="R55" i="174"/>
  <c r="S55" i="174"/>
  <c r="T55" i="174"/>
  <c r="U55" i="174"/>
  <c r="W55" i="174"/>
  <c r="E56" i="174"/>
  <c r="F56" i="174"/>
  <c r="G56" i="174"/>
  <c r="H56" i="174"/>
  <c r="I56" i="174"/>
  <c r="J56" i="174"/>
  <c r="K56" i="174"/>
  <c r="L56" i="174"/>
  <c r="M56" i="174"/>
  <c r="N56" i="174"/>
  <c r="O56" i="174"/>
  <c r="P56" i="174"/>
  <c r="Q56" i="174"/>
  <c r="R56" i="174"/>
  <c r="S56" i="174"/>
  <c r="T56" i="174"/>
  <c r="U56" i="174"/>
  <c r="W56" i="174"/>
  <c r="E57" i="174"/>
  <c r="F57" i="174"/>
  <c r="G57" i="174"/>
  <c r="H57" i="174"/>
  <c r="I57" i="174"/>
  <c r="J57" i="174"/>
  <c r="K57" i="174"/>
  <c r="L57" i="174"/>
  <c r="M57" i="174"/>
  <c r="N57" i="174"/>
  <c r="O57" i="174"/>
  <c r="P57" i="174"/>
  <c r="Q57" i="174"/>
  <c r="R57" i="174"/>
  <c r="S57" i="174"/>
  <c r="T57" i="174"/>
  <c r="U57" i="174"/>
  <c r="W57" i="174"/>
  <c r="E58" i="174"/>
  <c r="F58" i="174"/>
  <c r="G58" i="174"/>
  <c r="H58" i="174"/>
  <c r="I58" i="174"/>
  <c r="J58" i="174"/>
  <c r="K58" i="174"/>
  <c r="L58" i="174"/>
  <c r="M58" i="174"/>
  <c r="N58" i="174"/>
  <c r="O58" i="174"/>
  <c r="P58" i="174"/>
  <c r="Q58" i="174"/>
  <c r="R58" i="174"/>
  <c r="S58" i="174"/>
  <c r="T58" i="174"/>
  <c r="U58" i="174"/>
  <c r="W58" i="174"/>
  <c r="E59" i="174"/>
  <c r="F59" i="174"/>
  <c r="G59" i="174"/>
  <c r="H59" i="174"/>
  <c r="I59" i="174"/>
  <c r="J59" i="174"/>
  <c r="K59" i="174"/>
  <c r="L59" i="174"/>
  <c r="M59" i="174"/>
  <c r="N59" i="174"/>
  <c r="O59" i="174"/>
  <c r="P59" i="174"/>
  <c r="Q59" i="174"/>
  <c r="R59" i="174"/>
  <c r="S59" i="174"/>
  <c r="T59" i="174"/>
  <c r="U59" i="174"/>
  <c r="W59" i="174"/>
  <c r="E60" i="174"/>
  <c r="F60" i="174"/>
  <c r="G60" i="174"/>
  <c r="H60" i="174"/>
  <c r="I60" i="174"/>
  <c r="J60" i="174"/>
  <c r="K60" i="174"/>
  <c r="L60" i="174"/>
  <c r="M60" i="174"/>
  <c r="N60" i="174"/>
  <c r="O60" i="174"/>
  <c r="P60" i="174"/>
  <c r="Q60" i="174"/>
  <c r="R60" i="174"/>
  <c r="S60" i="174"/>
  <c r="T60" i="174"/>
  <c r="U60" i="174"/>
  <c r="W60" i="174"/>
  <c r="E61" i="174"/>
  <c r="F61" i="174"/>
  <c r="G61" i="174"/>
  <c r="H61" i="174"/>
  <c r="I61" i="174"/>
  <c r="J61" i="174"/>
  <c r="K61" i="174"/>
  <c r="L61" i="174"/>
  <c r="M61" i="174"/>
  <c r="N61" i="174"/>
  <c r="O61" i="174"/>
  <c r="P61" i="174"/>
  <c r="Q61" i="174"/>
  <c r="R61" i="174"/>
  <c r="S61" i="174"/>
  <c r="T61" i="174"/>
  <c r="U61" i="174"/>
  <c r="W61" i="174"/>
  <c r="E62" i="174"/>
  <c r="F62" i="174"/>
  <c r="G62" i="174"/>
  <c r="H62" i="174"/>
  <c r="I62" i="174"/>
  <c r="J62" i="174"/>
  <c r="K62" i="174"/>
  <c r="L62" i="174"/>
  <c r="M62" i="174"/>
  <c r="N62" i="174"/>
  <c r="O62" i="174"/>
  <c r="P62" i="174"/>
  <c r="Q62" i="174"/>
  <c r="R62" i="174"/>
  <c r="S62" i="174"/>
  <c r="T62" i="174"/>
  <c r="U62" i="174"/>
  <c r="W62" i="174"/>
  <c r="E63" i="174"/>
  <c r="F63" i="174"/>
  <c r="G63" i="174"/>
  <c r="H63" i="174"/>
  <c r="I63" i="174"/>
  <c r="J63" i="174"/>
  <c r="K63" i="174"/>
  <c r="L63" i="174"/>
  <c r="M63" i="174"/>
  <c r="N63" i="174"/>
  <c r="O63" i="174"/>
  <c r="P63" i="174"/>
  <c r="Q63" i="174"/>
  <c r="R63" i="174"/>
  <c r="S63" i="174"/>
  <c r="T63" i="174"/>
  <c r="U63" i="174"/>
  <c r="W63" i="174"/>
  <c r="E64" i="174"/>
  <c r="F64" i="174"/>
  <c r="G64" i="174"/>
  <c r="H64" i="174"/>
  <c r="I64" i="174"/>
  <c r="J64" i="174"/>
  <c r="K64" i="174"/>
  <c r="L64" i="174"/>
  <c r="M64" i="174"/>
  <c r="N64" i="174"/>
  <c r="O64" i="174"/>
  <c r="P64" i="174"/>
  <c r="Q64" i="174"/>
  <c r="R64" i="174"/>
  <c r="S64" i="174"/>
  <c r="T64" i="174"/>
  <c r="U64" i="174"/>
  <c r="W64" i="174"/>
  <c r="E65" i="174"/>
  <c r="F65" i="174"/>
  <c r="G65" i="174"/>
  <c r="H65" i="174"/>
  <c r="I65" i="174"/>
  <c r="J65" i="174"/>
  <c r="K65" i="174"/>
  <c r="L65" i="174"/>
  <c r="M65" i="174"/>
  <c r="N65" i="174"/>
  <c r="O65" i="174"/>
  <c r="P65" i="174"/>
  <c r="Q65" i="174"/>
  <c r="R65" i="174"/>
  <c r="S65" i="174"/>
  <c r="T65" i="174"/>
  <c r="U65" i="174"/>
  <c r="W65" i="174"/>
  <c r="E66" i="174"/>
  <c r="F66" i="174"/>
  <c r="G66" i="174"/>
  <c r="H66" i="174"/>
  <c r="I66" i="174"/>
  <c r="J66" i="174"/>
  <c r="K66" i="174"/>
  <c r="L66" i="174"/>
  <c r="M66" i="174"/>
  <c r="N66" i="174"/>
  <c r="O66" i="174"/>
  <c r="P66" i="174"/>
  <c r="Q66" i="174"/>
  <c r="R66" i="174"/>
  <c r="S66" i="174"/>
  <c r="T66" i="174"/>
  <c r="U66" i="174"/>
  <c r="W66" i="174"/>
  <c r="E67" i="174"/>
  <c r="F67" i="174"/>
  <c r="G67" i="174"/>
  <c r="H67" i="174"/>
  <c r="I67" i="174"/>
  <c r="J67" i="174"/>
  <c r="K67" i="174"/>
  <c r="L67" i="174"/>
  <c r="M67" i="174"/>
  <c r="N67" i="174"/>
  <c r="O67" i="174"/>
  <c r="P67" i="174"/>
  <c r="Q67" i="174"/>
  <c r="R67" i="174"/>
  <c r="S67" i="174"/>
  <c r="T67" i="174"/>
  <c r="U67" i="174"/>
  <c r="W67" i="174"/>
  <c r="E68" i="174"/>
  <c r="F68" i="174"/>
  <c r="G68" i="174"/>
  <c r="H68" i="174"/>
  <c r="I68" i="174"/>
  <c r="J68" i="174"/>
  <c r="K68" i="174"/>
  <c r="L68" i="174"/>
  <c r="M68" i="174"/>
  <c r="N68" i="174"/>
  <c r="O68" i="174"/>
  <c r="P68" i="174"/>
  <c r="Q68" i="174"/>
  <c r="R68" i="174"/>
  <c r="S68" i="174"/>
  <c r="T68" i="174"/>
  <c r="U68" i="174"/>
  <c r="W68" i="174"/>
  <c r="E69" i="174"/>
  <c r="F69" i="174"/>
  <c r="G69" i="174"/>
  <c r="H69" i="174"/>
  <c r="I69" i="174"/>
  <c r="J69" i="174"/>
  <c r="K69" i="174"/>
  <c r="L69" i="174"/>
  <c r="M69" i="174"/>
  <c r="N69" i="174"/>
  <c r="O69" i="174"/>
  <c r="P69" i="174"/>
  <c r="Q69" i="174"/>
  <c r="R69" i="174"/>
  <c r="S69" i="174"/>
  <c r="T69" i="174"/>
  <c r="U69" i="174"/>
  <c r="W69" i="174"/>
  <c r="E70" i="174"/>
  <c r="F70" i="174"/>
  <c r="G70" i="174"/>
  <c r="H70" i="174"/>
  <c r="I70" i="174"/>
  <c r="J70" i="174"/>
  <c r="K70" i="174"/>
  <c r="L70" i="174"/>
  <c r="M70" i="174"/>
  <c r="N70" i="174"/>
  <c r="O70" i="174"/>
  <c r="P70" i="174"/>
  <c r="Q70" i="174"/>
  <c r="R70" i="174"/>
  <c r="S70" i="174"/>
  <c r="T70" i="174"/>
  <c r="U70" i="174"/>
  <c r="W70" i="174"/>
  <c r="E71" i="174"/>
  <c r="F71" i="174"/>
  <c r="G71" i="174"/>
  <c r="H71" i="174"/>
  <c r="I71" i="174"/>
  <c r="J71" i="174"/>
  <c r="K71" i="174"/>
  <c r="L71" i="174"/>
  <c r="M71" i="174"/>
  <c r="N71" i="174"/>
  <c r="O71" i="174"/>
  <c r="P71" i="174"/>
  <c r="Q71" i="174"/>
  <c r="R71" i="174"/>
  <c r="S71" i="174"/>
  <c r="T71" i="174"/>
  <c r="U71" i="174"/>
  <c r="W71" i="174"/>
  <c r="E72" i="174"/>
  <c r="F72" i="174"/>
  <c r="G72" i="174"/>
  <c r="H72" i="174"/>
  <c r="I72" i="174"/>
  <c r="J72" i="174"/>
  <c r="K72" i="174"/>
  <c r="L72" i="174"/>
  <c r="M72" i="174"/>
  <c r="N72" i="174"/>
  <c r="O72" i="174"/>
  <c r="P72" i="174"/>
  <c r="Q72" i="174"/>
  <c r="R72" i="174"/>
  <c r="S72" i="174"/>
  <c r="T72" i="174"/>
  <c r="U72" i="174"/>
  <c r="W72" i="174"/>
  <c r="E73" i="174"/>
  <c r="F73" i="174"/>
  <c r="G73" i="174"/>
  <c r="H73" i="174"/>
  <c r="I73" i="174"/>
  <c r="J73" i="174"/>
  <c r="K73" i="174"/>
  <c r="L73" i="174"/>
  <c r="M73" i="174"/>
  <c r="N73" i="174"/>
  <c r="O73" i="174"/>
  <c r="P73" i="174"/>
  <c r="Q73" i="174"/>
  <c r="R73" i="174"/>
  <c r="S73" i="174"/>
  <c r="T73" i="174"/>
  <c r="U73" i="174"/>
  <c r="W73" i="174"/>
  <c r="E74" i="174"/>
  <c r="F74" i="174"/>
  <c r="G74" i="174"/>
  <c r="H74" i="174"/>
  <c r="I74" i="174"/>
  <c r="J74" i="174"/>
  <c r="K74" i="174"/>
  <c r="L74" i="174"/>
  <c r="M74" i="174"/>
  <c r="N74" i="174"/>
  <c r="O74" i="174"/>
  <c r="P74" i="174"/>
  <c r="Q74" i="174"/>
  <c r="R74" i="174"/>
  <c r="S74" i="174"/>
  <c r="T74" i="174"/>
  <c r="U74" i="174"/>
  <c r="W74" i="174"/>
  <c r="E75" i="174"/>
  <c r="F75" i="174"/>
  <c r="G75" i="174"/>
  <c r="H75" i="174"/>
  <c r="I75" i="174"/>
  <c r="J75" i="174"/>
  <c r="K75" i="174"/>
  <c r="L75" i="174"/>
  <c r="M75" i="174"/>
  <c r="N75" i="174"/>
  <c r="O75" i="174"/>
  <c r="P75" i="174"/>
  <c r="Q75" i="174"/>
  <c r="R75" i="174"/>
  <c r="S75" i="174"/>
  <c r="T75" i="174"/>
  <c r="U75" i="174"/>
  <c r="W75" i="174"/>
  <c r="E76" i="174"/>
  <c r="F76" i="174"/>
  <c r="G76" i="174"/>
  <c r="H76" i="174"/>
  <c r="I76" i="174"/>
  <c r="J76" i="174"/>
  <c r="K76" i="174"/>
  <c r="L76" i="174"/>
  <c r="M76" i="174"/>
  <c r="N76" i="174"/>
  <c r="O76" i="174"/>
  <c r="P76" i="174"/>
  <c r="Q76" i="174"/>
  <c r="R76" i="174"/>
  <c r="S76" i="174"/>
  <c r="T76" i="174"/>
  <c r="U76" i="174"/>
  <c r="W76" i="174"/>
  <c r="E77" i="174"/>
  <c r="F77" i="174"/>
  <c r="G77" i="174"/>
  <c r="H77" i="174"/>
  <c r="I77" i="174"/>
  <c r="J77" i="174"/>
  <c r="K77" i="174"/>
  <c r="L77" i="174"/>
  <c r="M77" i="174"/>
  <c r="N77" i="174"/>
  <c r="O77" i="174"/>
  <c r="P77" i="174"/>
  <c r="Q77" i="174"/>
  <c r="R77" i="174"/>
  <c r="S77" i="174"/>
  <c r="T77" i="174"/>
  <c r="U77" i="174"/>
  <c r="W77" i="174"/>
  <c r="E78" i="174"/>
  <c r="F78" i="174"/>
  <c r="G78" i="174"/>
  <c r="H78" i="174"/>
  <c r="I78" i="174"/>
  <c r="J78" i="174"/>
  <c r="K78" i="174"/>
  <c r="L78" i="174"/>
  <c r="M78" i="174"/>
  <c r="N78" i="174"/>
  <c r="O78" i="174"/>
  <c r="P78" i="174"/>
  <c r="Q78" i="174"/>
  <c r="R78" i="174"/>
  <c r="S78" i="174"/>
  <c r="T78" i="174"/>
  <c r="U78" i="174"/>
  <c r="W78" i="174"/>
  <c r="E79" i="174"/>
  <c r="F79" i="174"/>
  <c r="G79" i="174"/>
  <c r="H79" i="174"/>
  <c r="I79" i="174"/>
  <c r="J79" i="174"/>
  <c r="K79" i="174"/>
  <c r="L79" i="174"/>
  <c r="M79" i="174"/>
  <c r="N79" i="174"/>
  <c r="O79" i="174"/>
  <c r="P79" i="174"/>
  <c r="Q79" i="174"/>
  <c r="R79" i="174"/>
  <c r="S79" i="174"/>
  <c r="T79" i="174"/>
  <c r="U79" i="174"/>
  <c r="W79" i="174"/>
  <c r="E80" i="174"/>
  <c r="F80" i="174"/>
  <c r="G80" i="174"/>
  <c r="H80" i="174"/>
  <c r="I80" i="174"/>
  <c r="J80" i="174"/>
  <c r="K80" i="174"/>
  <c r="L80" i="174"/>
  <c r="M80" i="174"/>
  <c r="N80" i="174"/>
  <c r="O80" i="174"/>
  <c r="P80" i="174"/>
  <c r="Q80" i="174"/>
  <c r="R80" i="174"/>
  <c r="S80" i="174"/>
  <c r="T80" i="174"/>
  <c r="U80" i="174"/>
  <c r="W80" i="174"/>
  <c r="E81" i="174"/>
  <c r="F81" i="174"/>
  <c r="G81" i="174"/>
  <c r="H81" i="174"/>
  <c r="I81" i="174"/>
  <c r="J81" i="174"/>
  <c r="K81" i="174"/>
  <c r="L81" i="174"/>
  <c r="M81" i="174"/>
  <c r="N81" i="174"/>
  <c r="O81" i="174"/>
  <c r="P81" i="174"/>
  <c r="Q81" i="174"/>
  <c r="R81" i="174"/>
  <c r="S81" i="174"/>
  <c r="T81" i="174"/>
  <c r="U81" i="174"/>
  <c r="W81" i="174"/>
  <c r="E82" i="174"/>
  <c r="F82" i="174"/>
  <c r="G82" i="174"/>
  <c r="H82" i="174"/>
  <c r="I82" i="174"/>
  <c r="J82" i="174"/>
  <c r="K82" i="174"/>
  <c r="L82" i="174"/>
  <c r="M82" i="174"/>
  <c r="N82" i="174"/>
  <c r="O82" i="174"/>
  <c r="P82" i="174"/>
  <c r="Q82" i="174"/>
  <c r="R82" i="174"/>
  <c r="S82" i="174"/>
  <c r="T82" i="174"/>
  <c r="U82" i="174"/>
  <c r="W82" i="174"/>
  <c r="E83" i="174"/>
  <c r="F83" i="174"/>
  <c r="G83" i="174"/>
  <c r="H83" i="174"/>
  <c r="I83" i="174"/>
  <c r="J83" i="174"/>
  <c r="K83" i="174"/>
  <c r="L83" i="174"/>
  <c r="M83" i="174"/>
  <c r="N83" i="174"/>
  <c r="O83" i="174"/>
  <c r="P83" i="174"/>
  <c r="Q83" i="174"/>
  <c r="R83" i="174"/>
  <c r="S83" i="174"/>
  <c r="T83" i="174"/>
  <c r="U83" i="174"/>
  <c r="W83" i="174"/>
  <c r="E84" i="174"/>
  <c r="F84" i="174"/>
  <c r="G84" i="174"/>
  <c r="H84" i="174"/>
  <c r="I84" i="174"/>
  <c r="J84" i="174"/>
  <c r="K84" i="174"/>
  <c r="L84" i="174"/>
  <c r="M84" i="174"/>
  <c r="N84" i="174"/>
  <c r="O84" i="174"/>
  <c r="P84" i="174"/>
  <c r="Q84" i="174"/>
  <c r="R84" i="174"/>
  <c r="S84" i="174"/>
  <c r="T84" i="174"/>
  <c r="U84" i="174"/>
  <c r="W84" i="174"/>
  <c r="E85" i="174"/>
  <c r="F85" i="174"/>
  <c r="G85" i="174"/>
  <c r="H85" i="174"/>
  <c r="I85" i="174"/>
  <c r="J85" i="174"/>
  <c r="K85" i="174"/>
  <c r="L85" i="174"/>
  <c r="M85" i="174"/>
  <c r="N85" i="174"/>
  <c r="O85" i="174"/>
  <c r="P85" i="174"/>
  <c r="Q85" i="174"/>
  <c r="R85" i="174"/>
  <c r="S85" i="174"/>
  <c r="T85" i="174"/>
  <c r="U85" i="174"/>
  <c r="W85" i="174"/>
  <c r="E86" i="174"/>
  <c r="F86" i="174"/>
  <c r="G86" i="174"/>
  <c r="H86" i="174"/>
  <c r="I86" i="174"/>
  <c r="J86" i="174"/>
  <c r="K86" i="174"/>
  <c r="L86" i="174"/>
  <c r="M86" i="174"/>
  <c r="N86" i="174"/>
  <c r="O86" i="174"/>
  <c r="P86" i="174"/>
  <c r="Q86" i="174"/>
  <c r="R86" i="174"/>
  <c r="S86" i="174"/>
  <c r="T86" i="174"/>
  <c r="U86" i="174"/>
  <c r="W86" i="174"/>
  <c r="E87" i="174"/>
  <c r="F87" i="174"/>
  <c r="G87" i="174"/>
  <c r="H87" i="174"/>
  <c r="I87" i="174"/>
  <c r="J87" i="174"/>
  <c r="K87" i="174"/>
  <c r="L87" i="174"/>
  <c r="M87" i="174"/>
  <c r="N87" i="174"/>
  <c r="O87" i="174"/>
  <c r="P87" i="174"/>
  <c r="Q87" i="174"/>
  <c r="R87" i="174"/>
  <c r="S87" i="174"/>
  <c r="T87" i="174"/>
  <c r="U87" i="174"/>
  <c r="W87" i="174"/>
  <c r="E88" i="174"/>
  <c r="F88" i="174"/>
  <c r="G88" i="174"/>
  <c r="H88" i="174"/>
  <c r="I88" i="174"/>
  <c r="J88" i="174"/>
  <c r="K88" i="174"/>
  <c r="L88" i="174"/>
  <c r="M88" i="174"/>
  <c r="N88" i="174"/>
  <c r="O88" i="174"/>
  <c r="P88" i="174"/>
  <c r="Q88" i="174"/>
  <c r="R88" i="174"/>
  <c r="S88" i="174"/>
  <c r="T88" i="174"/>
  <c r="U88" i="174"/>
  <c r="W88" i="174"/>
  <c r="E89" i="174"/>
  <c r="F89" i="174"/>
  <c r="G89" i="174"/>
  <c r="H89" i="174"/>
  <c r="I89" i="174"/>
  <c r="J89" i="174"/>
  <c r="K89" i="174"/>
  <c r="L89" i="174"/>
  <c r="M89" i="174"/>
  <c r="N89" i="174"/>
  <c r="O89" i="174"/>
  <c r="P89" i="174"/>
  <c r="Q89" i="174"/>
  <c r="R89" i="174"/>
  <c r="S89" i="174"/>
  <c r="T89" i="174"/>
  <c r="U89" i="174"/>
  <c r="W89" i="174"/>
  <c r="E90" i="174"/>
  <c r="F90" i="174"/>
  <c r="G90" i="174"/>
  <c r="H90" i="174"/>
  <c r="I90" i="174"/>
  <c r="J90" i="174"/>
  <c r="K90" i="174"/>
  <c r="L90" i="174"/>
  <c r="M90" i="174"/>
  <c r="N90" i="174"/>
  <c r="O90" i="174"/>
  <c r="P90" i="174"/>
  <c r="Q90" i="174"/>
  <c r="R90" i="174"/>
  <c r="S90" i="174"/>
  <c r="T90" i="174"/>
  <c r="U90" i="174"/>
  <c r="W90" i="174"/>
  <c r="E91" i="174"/>
  <c r="F91" i="174"/>
  <c r="G91" i="174"/>
  <c r="H91" i="174"/>
  <c r="I91" i="174"/>
  <c r="J91" i="174"/>
  <c r="K91" i="174"/>
  <c r="L91" i="174"/>
  <c r="M91" i="174"/>
  <c r="N91" i="174"/>
  <c r="O91" i="174"/>
  <c r="P91" i="174"/>
  <c r="Q91" i="174"/>
  <c r="R91" i="174"/>
  <c r="S91" i="174"/>
  <c r="T91" i="174"/>
  <c r="U91" i="174"/>
  <c r="W91" i="174"/>
  <c r="E92" i="174"/>
  <c r="F92" i="174"/>
  <c r="G92" i="174"/>
  <c r="H92" i="174"/>
  <c r="I92" i="174"/>
  <c r="J92" i="174"/>
  <c r="K92" i="174"/>
  <c r="L92" i="174"/>
  <c r="M92" i="174"/>
  <c r="N92" i="174"/>
  <c r="O92" i="174"/>
  <c r="P92" i="174"/>
  <c r="Q92" i="174"/>
  <c r="R92" i="174"/>
  <c r="S92" i="174"/>
  <c r="T92" i="174"/>
  <c r="U92" i="174"/>
  <c r="W92" i="174"/>
  <c r="E93" i="174"/>
  <c r="F93" i="174"/>
  <c r="G93" i="174"/>
  <c r="H93" i="174"/>
  <c r="I93" i="174"/>
  <c r="J93" i="174"/>
  <c r="K93" i="174"/>
  <c r="L93" i="174"/>
  <c r="M93" i="174"/>
  <c r="N93" i="174"/>
  <c r="O93" i="174"/>
  <c r="P93" i="174"/>
  <c r="Q93" i="174"/>
  <c r="R93" i="174"/>
  <c r="S93" i="174"/>
  <c r="T93" i="174"/>
  <c r="U93" i="174"/>
  <c r="W93" i="174"/>
  <c r="E94" i="174"/>
  <c r="F94" i="174"/>
  <c r="G94" i="174"/>
  <c r="H94" i="174"/>
  <c r="I94" i="174"/>
  <c r="J94" i="174"/>
  <c r="K94" i="174"/>
  <c r="L94" i="174"/>
  <c r="M94" i="174"/>
  <c r="N94" i="174"/>
  <c r="O94" i="174"/>
  <c r="P94" i="174"/>
  <c r="Q94" i="174"/>
  <c r="R94" i="174"/>
  <c r="S94" i="174"/>
  <c r="T94" i="174"/>
  <c r="U94" i="174"/>
  <c r="W94" i="174"/>
  <c r="E95" i="174"/>
  <c r="F95" i="174"/>
  <c r="G95" i="174"/>
  <c r="H95" i="174"/>
  <c r="I95" i="174"/>
  <c r="J95" i="174"/>
  <c r="K95" i="174"/>
  <c r="L95" i="174"/>
  <c r="M95" i="174"/>
  <c r="N95" i="174"/>
  <c r="O95" i="174"/>
  <c r="P95" i="174"/>
  <c r="Q95" i="174"/>
  <c r="R95" i="174"/>
  <c r="S95" i="174"/>
  <c r="T95" i="174"/>
  <c r="U95" i="174"/>
  <c r="W95" i="174"/>
  <c r="E96" i="174"/>
  <c r="F96" i="174"/>
  <c r="G96" i="174"/>
  <c r="H96" i="174"/>
  <c r="I96" i="174"/>
  <c r="J96" i="174"/>
  <c r="K96" i="174"/>
  <c r="L96" i="174"/>
  <c r="M96" i="174"/>
  <c r="N96" i="174"/>
  <c r="O96" i="174"/>
  <c r="P96" i="174"/>
  <c r="Q96" i="174"/>
  <c r="R96" i="174"/>
  <c r="S96" i="174"/>
  <c r="T96" i="174"/>
  <c r="U96" i="174"/>
  <c r="W96" i="174"/>
  <c r="E97" i="174"/>
  <c r="F97" i="174"/>
  <c r="G97" i="174"/>
  <c r="H97" i="174"/>
  <c r="I97" i="174"/>
  <c r="J97" i="174"/>
  <c r="K97" i="174"/>
  <c r="L97" i="174"/>
  <c r="M97" i="174"/>
  <c r="N97" i="174"/>
  <c r="O97" i="174"/>
  <c r="P97" i="174"/>
  <c r="Q97" i="174"/>
  <c r="R97" i="174"/>
  <c r="S97" i="174"/>
  <c r="T97" i="174"/>
  <c r="U97" i="174"/>
  <c r="W97" i="174"/>
  <c r="E98" i="174"/>
  <c r="F98" i="174"/>
  <c r="G98" i="174"/>
  <c r="H98" i="174"/>
  <c r="I98" i="174"/>
  <c r="J98" i="174"/>
  <c r="K98" i="174"/>
  <c r="L98" i="174"/>
  <c r="M98" i="174"/>
  <c r="N98" i="174"/>
  <c r="O98" i="174"/>
  <c r="P98" i="174"/>
  <c r="Q98" i="174"/>
  <c r="R98" i="174"/>
  <c r="S98" i="174"/>
  <c r="T98" i="174"/>
  <c r="U98" i="174"/>
  <c r="W98" i="174"/>
  <c r="E99" i="174"/>
  <c r="F99" i="174"/>
  <c r="G99" i="174"/>
  <c r="H99" i="174"/>
  <c r="I99" i="174"/>
  <c r="J99" i="174"/>
  <c r="K99" i="174"/>
  <c r="L99" i="174"/>
  <c r="M99" i="174"/>
  <c r="N99" i="174"/>
  <c r="O99" i="174"/>
  <c r="P99" i="174"/>
  <c r="Q99" i="174"/>
  <c r="R99" i="174"/>
  <c r="S99" i="174"/>
  <c r="T99" i="174"/>
  <c r="U99" i="174"/>
  <c r="W99" i="174"/>
  <c r="E100" i="174"/>
  <c r="F100" i="174"/>
  <c r="G100" i="174"/>
  <c r="H100" i="174"/>
  <c r="I100" i="174"/>
  <c r="J100" i="174"/>
  <c r="K100" i="174"/>
  <c r="L100" i="174"/>
  <c r="M100" i="174"/>
  <c r="N100" i="174"/>
  <c r="O100" i="174"/>
  <c r="P100" i="174"/>
  <c r="Q100" i="174"/>
  <c r="R100" i="174"/>
  <c r="S100" i="174"/>
  <c r="T100" i="174"/>
  <c r="U100" i="174"/>
  <c r="W100" i="174"/>
  <c r="E101" i="174"/>
  <c r="F101" i="174"/>
  <c r="G101" i="174"/>
  <c r="H101" i="174"/>
  <c r="I101" i="174"/>
  <c r="J101" i="174"/>
  <c r="K101" i="174"/>
  <c r="L101" i="174"/>
  <c r="M101" i="174"/>
  <c r="N101" i="174"/>
  <c r="O101" i="174"/>
  <c r="P101" i="174"/>
  <c r="Q101" i="174"/>
  <c r="R101" i="174"/>
  <c r="S101" i="174"/>
  <c r="T101" i="174"/>
  <c r="U101" i="174"/>
  <c r="W101" i="174"/>
  <c r="E102" i="174"/>
  <c r="F102" i="174"/>
  <c r="G102" i="174"/>
  <c r="H102" i="174"/>
  <c r="I102" i="174"/>
  <c r="J102" i="174"/>
  <c r="K102" i="174"/>
  <c r="L102" i="174"/>
  <c r="M102" i="174"/>
  <c r="N102" i="174"/>
  <c r="O102" i="174"/>
  <c r="P102" i="174"/>
  <c r="Q102" i="174"/>
  <c r="R102" i="174"/>
  <c r="S102" i="174"/>
  <c r="T102" i="174"/>
  <c r="U102" i="174"/>
  <c r="W102" i="174"/>
  <c r="E103" i="174"/>
  <c r="F103" i="174"/>
  <c r="G103" i="174"/>
  <c r="H103" i="174"/>
  <c r="I103" i="174"/>
  <c r="J103" i="174"/>
  <c r="K103" i="174"/>
  <c r="L103" i="174"/>
  <c r="M103" i="174"/>
  <c r="N103" i="174"/>
  <c r="O103" i="174"/>
  <c r="P103" i="174"/>
  <c r="Q103" i="174"/>
  <c r="R103" i="174"/>
  <c r="S103" i="174"/>
  <c r="T103" i="174"/>
  <c r="U103" i="174"/>
  <c r="W103" i="174"/>
  <c r="E104" i="174"/>
  <c r="F104" i="174"/>
  <c r="G104" i="174"/>
  <c r="H104" i="174"/>
  <c r="I104" i="174"/>
  <c r="J104" i="174"/>
  <c r="K104" i="174"/>
  <c r="L104" i="174"/>
  <c r="M104" i="174"/>
  <c r="N104" i="174"/>
  <c r="O104" i="174"/>
  <c r="P104" i="174"/>
  <c r="Q104" i="174"/>
  <c r="R104" i="174"/>
  <c r="S104" i="174"/>
  <c r="T104" i="174"/>
  <c r="U104" i="174"/>
  <c r="W104" i="174"/>
  <c r="E105" i="174"/>
  <c r="F105" i="174"/>
  <c r="G105" i="174"/>
  <c r="H105" i="174"/>
  <c r="I105" i="174"/>
  <c r="J105" i="174"/>
  <c r="K105" i="174"/>
  <c r="L105" i="174"/>
  <c r="M105" i="174"/>
  <c r="N105" i="174"/>
  <c r="O105" i="174"/>
  <c r="P105" i="174"/>
  <c r="Q105" i="174"/>
  <c r="R105" i="174"/>
  <c r="S105" i="174"/>
  <c r="T105" i="174"/>
  <c r="U105" i="174"/>
  <c r="W105" i="174"/>
  <c r="E106" i="174"/>
  <c r="F106" i="174"/>
  <c r="G106" i="174"/>
  <c r="H106" i="174"/>
  <c r="I106" i="174"/>
  <c r="J106" i="174"/>
  <c r="K106" i="174"/>
  <c r="L106" i="174"/>
  <c r="M106" i="174"/>
  <c r="N106" i="174"/>
  <c r="O106" i="174"/>
  <c r="P106" i="174"/>
  <c r="Q106" i="174"/>
  <c r="R106" i="174"/>
  <c r="S106" i="174"/>
  <c r="T106" i="174"/>
  <c r="U106" i="174"/>
  <c r="W106" i="174"/>
  <c r="E107" i="174"/>
  <c r="F107" i="174"/>
  <c r="G107" i="174"/>
  <c r="H107" i="174"/>
  <c r="I107" i="174"/>
  <c r="J107" i="174"/>
  <c r="K107" i="174"/>
  <c r="L107" i="174"/>
  <c r="M107" i="174"/>
  <c r="N107" i="174"/>
  <c r="O107" i="174"/>
  <c r="P107" i="174"/>
  <c r="Q107" i="174"/>
  <c r="R107" i="174"/>
  <c r="S107" i="174"/>
  <c r="T107" i="174"/>
  <c r="U107" i="174"/>
  <c r="W107" i="174"/>
  <c r="F12" i="174"/>
  <c r="G12" i="174"/>
  <c r="H12" i="174"/>
  <c r="I12" i="174"/>
  <c r="J12" i="174"/>
  <c r="K12" i="174"/>
  <c r="L12" i="174"/>
  <c r="M12" i="174"/>
  <c r="N12" i="174"/>
  <c r="O12" i="174"/>
  <c r="P12" i="174"/>
  <c r="Q12" i="174"/>
  <c r="R12" i="174"/>
  <c r="S12" i="174"/>
  <c r="T12" i="174"/>
  <c r="U12" i="174"/>
  <c r="E12" i="174"/>
  <c r="C92" i="175"/>
  <c r="C84" i="175"/>
  <c r="C76" i="175"/>
  <c r="C68" i="175"/>
  <c r="C60" i="175"/>
  <c r="C52" i="175"/>
  <c r="C44" i="175"/>
  <c r="C36" i="175"/>
  <c r="C28" i="175"/>
  <c r="C20" i="175"/>
  <c r="C12" i="175"/>
  <c r="B8" i="175"/>
  <c r="D2" i="175"/>
  <c r="D3" i="175"/>
  <c r="E12" i="175"/>
  <c r="W12" i="174"/>
  <c r="C92" i="174"/>
  <c r="C84" i="174"/>
  <c r="C76" i="174"/>
  <c r="C68" i="174"/>
  <c r="C60" i="174"/>
  <c r="C52" i="174"/>
  <c r="C44" i="174"/>
  <c r="C36" i="174"/>
  <c r="C28" i="174"/>
  <c r="C20" i="174"/>
  <c r="C12" i="174"/>
  <c r="B8" i="174"/>
  <c r="D2" i="174"/>
  <c r="D3" i="174"/>
  <c r="E13" i="173"/>
  <c r="F13" i="173"/>
  <c r="G13" i="173"/>
  <c r="H13" i="173"/>
  <c r="I13" i="173"/>
  <c r="J13" i="173"/>
  <c r="K13" i="173"/>
  <c r="L13" i="173"/>
  <c r="M13" i="173"/>
  <c r="N13" i="173"/>
  <c r="O13" i="173"/>
  <c r="P13" i="173"/>
  <c r="Q13" i="173"/>
  <c r="R13" i="173"/>
  <c r="S13" i="173"/>
  <c r="T13" i="173"/>
  <c r="U13" i="173"/>
  <c r="W13" i="173"/>
  <c r="E14" i="173"/>
  <c r="F14" i="173"/>
  <c r="G14" i="173"/>
  <c r="H14" i="173"/>
  <c r="I14" i="173"/>
  <c r="J14" i="173"/>
  <c r="K14" i="173"/>
  <c r="L14" i="173"/>
  <c r="M14" i="173"/>
  <c r="N14" i="173"/>
  <c r="O14" i="173"/>
  <c r="P14" i="173"/>
  <c r="Q14" i="173"/>
  <c r="R14" i="173"/>
  <c r="S14" i="173"/>
  <c r="T14" i="173"/>
  <c r="U14" i="173"/>
  <c r="W14" i="173"/>
  <c r="E15" i="173"/>
  <c r="F15" i="173"/>
  <c r="G15" i="173"/>
  <c r="H15" i="173"/>
  <c r="I15" i="173"/>
  <c r="J15" i="173"/>
  <c r="K15" i="173"/>
  <c r="L15" i="173"/>
  <c r="M15" i="173"/>
  <c r="N15" i="173"/>
  <c r="O15" i="173"/>
  <c r="P15" i="173"/>
  <c r="Q15" i="173"/>
  <c r="R15" i="173"/>
  <c r="S15" i="173"/>
  <c r="T15" i="173"/>
  <c r="U15" i="173"/>
  <c r="W15" i="173"/>
  <c r="E16" i="173"/>
  <c r="F16" i="173"/>
  <c r="G16" i="173"/>
  <c r="H16" i="173"/>
  <c r="I16" i="173"/>
  <c r="J16" i="173"/>
  <c r="K16" i="173"/>
  <c r="L16" i="173"/>
  <c r="M16" i="173"/>
  <c r="N16" i="173"/>
  <c r="O16" i="173"/>
  <c r="P16" i="173"/>
  <c r="Q16" i="173"/>
  <c r="R16" i="173"/>
  <c r="S16" i="173"/>
  <c r="T16" i="173"/>
  <c r="U16" i="173"/>
  <c r="W16" i="173"/>
  <c r="E17" i="173"/>
  <c r="F17" i="173"/>
  <c r="G17" i="173"/>
  <c r="H17" i="173"/>
  <c r="I17" i="173"/>
  <c r="J17" i="173"/>
  <c r="K17" i="173"/>
  <c r="L17" i="173"/>
  <c r="M17" i="173"/>
  <c r="N17" i="173"/>
  <c r="O17" i="173"/>
  <c r="P17" i="173"/>
  <c r="Q17" i="173"/>
  <c r="R17" i="173"/>
  <c r="S17" i="173"/>
  <c r="T17" i="173"/>
  <c r="U17" i="173"/>
  <c r="W17" i="173"/>
  <c r="E18" i="173"/>
  <c r="F18" i="173"/>
  <c r="G18" i="173"/>
  <c r="H18" i="173"/>
  <c r="I18" i="173"/>
  <c r="J18" i="173"/>
  <c r="K18" i="173"/>
  <c r="L18" i="173"/>
  <c r="M18" i="173"/>
  <c r="N18" i="173"/>
  <c r="O18" i="173"/>
  <c r="P18" i="173"/>
  <c r="Q18" i="173"/>
  <c r="R18" i="173"/>
  <c r="S18" i="173"/>
  <c r="T18" i="173"/>
  <c r="U18" i="173"/>
  <c r="W18" i="173"/>
  <c r="E19" i="173"/>
  <c r="F19" i="173"/>
  <c r="G19" i="173"/>
  <c r="H19" i="173"/>
  <c r="I19" i="173"/>
  <c r="J19" i="173"/>
  <c r="K19" i="173"/>
  <c r="L19" i="173"/>
  <c r="M19" i="173"/>
  <c r="N19" i="173"/>
  <c r="O19" i="173"/>
  <c r="P19" i="173"/>
  <c r="Q19" i="173"/>
  <c r="R19" i="173"/>
  <c r="S19" i="173"/>
  <c r="T19" i="173"/>
  <c r="U19" i="173"/>
  <c r="W19" i="173"/>
  <c r="E20" i="173"/>
  <c r="F20" i="173"/>
  <c r="G20" i="173"/>
  <c r="H20" i="173"/>
  <c r="I20" i="173"/>
  <c r="J20" i="173"/>
  <c r="K20" i="173"/>
  <c r="L20" i="173"/>
  <c r="M20" i="173"/>
  <c r="N20" i="173"/>
  <c r="O20" i="173"/>
  <c r="P20" i="173"/>
  <c r="Q20" i="173"/>
  <c r="R20" i="173"/>
  <c r="S20" i="173"/>
  <c r="T20" i="173"/>
  <c r="U20" i="173"/>
  <c r="W20" i="173"/>
  <c r="E21" i="173"/>
  <c r="F21" i="173"/>
  <c r="G21" i="173"/>
  <c r="H21" i="173"/>
  <c r="I21" i="173"/>
  <c r="J21" i="173"/>
  <c r="K21" i="173"/>
  <c r="L21" i="173"/>
  <c r="M21" i="173"/>
  <c r="N21" i="173"/>
  <c r="O21" i="173"/>
  <c r="P21" i="173"/>
  <c r="Q21" i="173"/>
  <c r="R21" i="173"/>
  <c r="S21" i="173"/>
  <c r="T21" i="173"/>
  <c r="U21" i="173"/>
  <c r="W21" i="173"/>
  <c r="E22" i="173"/>
  <c r="F22" i="173"/>
  <c r="G22" i="173"/>
  <c r="H22" i="173"/>
  <c r="I22" i="173"/>
  <c r="J22" i="173"/>
  <c r="K22" i="173"/>
  <c r="L22" i="173"/>
  <c r="M22" i="173"/>
  <c r="N22" i="173"/>
  <c r="O22" i="173"/>
  <c r="P22" i="173"/>
  <c r="Q22" i="173"/>
  <c r="R22" i="173"/>
  <c r="S22" i="173"/>
  <c r="T22" i="173"/>
  <c r="U22" i="173"/>
  <c r="W22" i="173"/>
  <c r="E23" i="173"/>
  <c r="F23" i="173"/>
  <c r="G23" i="173"/>
  <c r="H23" i="173"/>
  <c r="I23" i="173"/>
  <c r="J23" i="173"/>
  <c r="K23" i="173"/>
  <c r="L23" i="173"/>
  <c r="M23" i="173"/>
  <c r="N23" i="173"/>
  <c r="O23" i="173"/>
  <c r="P23" i="173"/>
  <c r="Q23" i="173"/>
  <c r="R23" i="173"/>
  <c r="S23" i="173"/>
  <c r="T23" i="173"/>
  <c r="U23" i="173"/>
  <c r="W23" i="173"/>
  <c r="E24" i="173"/>
  <c r="F24" i="173"/>
  <c r="G24" i="173"/>
  <c r="H24" i="173"/>
  <c r="I24" i="173"/>
  <c r="J24" i="173"/>
  <c r="K24" i="173"/>
  <c r="L24" i="173"/>
  <c r="M24" i="173"/>
  <c r="N24" i="173"/>
  <c r="O24" i="173"/>
  <c r="P24" i="173"/>
  <c r="Q24" i="173"/>
  <c r="R24" i="173"/>
  <c r="S24" i="173"/>
  <c r="T24" i="173"/>
  <c r="U24" i="173"/>
  <c r="W24" i="173"/>
  <c r="E25" i="173"/>
  <c r="F25" i="173"/>
  <c r="G25" i="173"/>
  <c r="H25" i="173"/>
  <c r="I25" i="173"/>
  <c r="J25" i="173"/>
  <c r="K25" i="173"/>
  <c r="L25" i="173"/>
  <c r="M25" i="173"/>
  <c r="N25" i="173"/>
  <c r="O25" i="173"/>
  <c r="P25" i="173"/>
  <c r="Q25" i="173"/>
  <c r="R25" i="173"/>
  <c r="S25" i="173"/>
  <c r="T25" i="173"/>
  <c r="U25" i="173"/>
  <c r="W25" i="173"/>
  <c r="E26" i="173"/>
  <c r="F26" i="173"/>
  <c r="G26" i="173"/>
  <c r="H26" i="173"/>
  <c r="I26" i="173"/>
  <c r="J26" i="173"/>
  <c r="K26" i="173"/>
  <c r="L26" i="173"/>
  <c r="M26" i="173"/>
  <c r="N26" i="173"/>
  <c r="O26" i="173"/>
  <c r="P26" i="173"/>
  <c r="Q26" i="173"/>
  <c r="R26" i="173"/>
  <c r="S26" i="173"/>
  <c r="T26" i="173"/>
  <c r="U26" i="173"/>
  <c r="W26" i="173"/>
  <c r="E27" i="173"/>
  <c r="F27" i="173"/>
  <c r="G27" i="173"/>
  <c r="H27" i="173"/>
  <c r="I27" i="173"/>
  <c r="J27" i="173"/>
  <c r="K27" i="173"/>
  <c r="L27" i="173"/>
  <c r="M27" i="173"/>
  <c r="N27" i="173"/>
  <c r="O27" i="173"/>
  <c r="P27" i="173"/>
  <c r="Q27" i="173"/>
  <c r="R27" i="173"/>
  <c r="S27" i="173"/>
  <c r="T27" i="173"/>
  <c r="U27" i="173"/>
  <c r="W27" i="173"/>
  <c r="E28" i="173"/>
  <c r="F28" i="173"/>
  <c r="G28" i="173"/>
  <c r="H28" i="173"/>
  <c r="I28" i="173"/>
  <c r="J28" i="173"/>
  <c r="K28" i="173"/>
  <c r="L28" i="173"/>
  <c r="M28" i="173"/>
  <c r="N28" i="173"/>
  <c r="O28" i="173"/>
  <c r="P28" i="173"/>
  <c r="Q28" i="173"/>
  <c r="R28" i="173"/>
  <c r="S28" i="173"/>
  <c r="T28" i="173"/>
  <c r="U28" i="173"/>
  <c r="W28" i="173"/>
  <c r="E29" i="173"/>
  <c r="F29" i="173"/>
  <c r="G29" i="173"/>
  <c r="H29" i="173"/>
  <c r="I29" i="173"/>
  <c r="J29" i="173"/>
  <c r="K29" i="173"/>
  <c r="L29" i="173"/>
  <c r="M29" i="173"/>
  <c r="N29" i="173"/>
  <c r="O29" i="173"/>
  <c r="P29" i="173"/>
  <c r="Q29" i="173"/>
  <c r="R29" i="173"/>
  <c r="S29" i="173"/>
  <c r="T29" i="173"/>
  <c r="U29" i="173"/>
  <c r="W29" i="173"/>
  <c r="E30" i="173"/>
  <c r="F30" i="173"/>
  <c r="G30" i="173"/>
  <c r="H30" i="173"/>
  <c r="I30" i="173"/>
  <c r="J30" i="173"/>
  <c r="K30" i="173"/>
  <c r="L30" i="173"/>
  <c r="M30" i="173"/>
  <c r="N30" i="173"/>
  <c r="O30" i="173"/>
  <c r="P30" i="173"/>
  <c r="Q30" i="173"/>
  <c r="R30" i="173"/>
  <c r="S30" i="173"/>
  <c r="T30" i="173"/>
  <c r="U30" i="173"/>
  <c r="W30" i="173"/>
  <c r="E31" i="173"/>
  <c r="F31" i="173"/>
  <c r="G31" i="173"/>
  <c r="H31" i="173"/>
  <c r="I31" i="173"/>
  <c r="J31" i="173"/>
  <c r="K31" i="173"/>
  <c r="L31" i="173"/>
  <c r="M31" i="173"/>
  <c r="N31" i="173"/>
  <c r="O31" i="173"/>
  <c r="P31" i="173"/>
  <c r="Q31" i="173"/>
  <c r="R31" i="173"/>
  <c r="S31" i="173"/>
  <c r="T31" i="173"/>
  <c r="U31" i="173"/>
  <c r="W31" i="173"/>
  <c r="E32" i="173"/>
  <c r="F32" i="173"/>
  <c r="G32" i="173"/>
  <c r="H32" i="173"/>
  <c r="I32" i="173"/>
  <c r="J32" i="173"/>
  <c r="K32" i="173"/>
  <c r="L32" i="173"/>
  <c r="M32" i="173"/>
  <c r="N32" i="173"/>
  <c r="O32" i="173"/>
  <c r="P32" i="173"/>
  <c r="Q32" i="173"/>
  <c r="R32" i="173"/>
  <c r="S32" i="173"/>
  <c r="T32" i="173"/>
  <c r="U32" i="173"/>
  <c r="W32" i="173"/>
  <c r="E33" i="173"/>
  <c r="F33" i="173"/>
  <c r="G33" i="173"/>
  <c r="H33" i="173"/>
  <c r="I33" i="173"/>
  <c r="J33" i="173"/>
  <c r="K33" i="173"/>
  <c r="L33" i="173"/>
  <c r="M33" i="173"/>
  <c r="N33" i="173"/>
  <c r="O33" i="173"/>
  <c r="P33" i="173"/>
  <c r="Q33" i="173"/>
  <c r="R33" i="173"/>
  <c r="S33" i="173"/>
  <c r="T33" i="173"/>
  <c r="U33" i="173"/>
  <c r="W33" i="173"/>
  <c r="E34" i="173"/>
  <c r="F34" i="173"/>
  <c r="G34" i="173"/>
  <c r="H34" i="173"/>
  <c r="I34" i="173"/>
  <c r="J34" i="173"/>
  <c r="K34" i="173"/>
  <c r="L34" i="173"/>
  <c r="M34" i="173"/>
  <c r="N34" i="173"/>
  <c r="O34" i="173"/>
  <c r="P34" i="173"/>
  <c r="Q34" i="173"/>
  <c r="R34" i="173"/>
  <c r="S34" i="173"/>
  <c r="T34" i="173"/>
  <c r="U34" i="173"/>
  <c r="W34" i="173"/>
  <c r="E35" i="173"/>
  <c r="F35" i="173"/>
  <c r="G35" i="173"/>
  <c r="H35" i="173"/>
  <c r="I35" i="173"/>
  <c r="J35" i="173"/>
  <c r="K35" i="173"/>
  <c r="L35" i="173"/>
  <c r="M35" i="173"/>
  <c r="N35" i="173"/>
  <c r="O35" i="173"/>
  <c r="P35" i="173"/>
  <c r="Q35" i="173"/>
  <c r="R35" i="173"/>
  <c r="S35" i="173"/>
  <c r="T35" i="173"/>
  <c r="U35" i="173"/>
  <c r="W35" i="173"/>
  <c r="E36" i="173"/>
  <c r="F36" i="173"/>
  <c r="G36" i="173"/>
  <c r="H36" i="173"/>
  <c r="I36" i="173"/>
  <c r="J36" i="173"/>
  <c r="K36" i="173"/>
  <c r="L36" i="173"/>
  <c r="M36" i="173"/>
  <c r="N36" i="173"/>
  <c r="O36" i="173"/>
  <c r="P36" i="173"/>
  <c r="Q36" i="173"/>
  <c r="R36" i="173"/>
  <c r="S36" i="173"/>
  <c r="T36" i="173"/>
  <c r="U36" i="173"/>
  <c r="W36" i="173"/>
  <c r="E37" i="173"/>
  <c r="F37" i="173"/>
  <c r="G37" i="173"/>
  <c r="H37" i="173"/>
  <c r="I37" i="173"/>
  <c r="J37" i="173"/>
  <c r="K37" i="173"/>
  <c r="L37" i="173"/>
  <c r="M37" i="173"/>
  <c r="N37" i="173"/>
  <c r="O37" i="173"/>
  <c r="P37" i="173"/>
  <c r="Q37" i="173"/>
  <c r="R37" i="173"/>
  <c r="S37" i="173"/>
  <c r="T37" i="173"/>
  <c r="U37" i="173"/>
  <c r="W37" i="173"/>
  <c r="E38" i="173"/>
  <c r="F38" i="173"/>
  <c r="G38" i="173"/>
  <c r="H38" i="173"/>
  <c r="I38" i="173"/>
  <c r="J38" i="173"/>
  <c r="K38" i="173"/>
  <c r="L38" i="173"/>
  <c r="M38" i="173"/>
  <c r="N38" i="173"/>
  <c r="O38" i="173"/>
  <c r="P38" i="173"/>
  <c r="Q38" i="173"/>
  <c r="R38" i="173"/>
  <c r="S38" i="173"/>
  <c r="T38" i="173"/>
  <c r="U38" i="173"/>
  <c r="W38" i="173"/>
  <c r="E39" i="173"/>
  <c r="F39" i="173"/>
  <c r="G39" i="173"/>
  <c r="H39" i="173"/>
  <c r="I39" i="173"/>
  <c r="J39" i="173"/>
  <c r="K39" i="173"/>
  <c r="L39" i="173"/>
  <c r="M39" i="173"/>
  <c r="N39" i="173"/>
  <c r="O39" i="173"/>
  <c r="P39" i="173"/>
  <c r="Q39" i="173"/>
  <c r="R39" i="173"/>
  <c r="S39" i="173"/>
  <c r="T39" i="173"/>
  <c r="U39" i="173"/>
  <c r="W39" i="173"/>
  <c r="E40" i="173"/>
  <c r="F40" i="173"/>
  <c r="G40" i="173"/>
  <c r="H40" i="173"/>
  <c r="I40" i="173"/>
  <c r="J40" i="173"/>
  <c r="K40" i="173"/>
  <c r="L40" i="173"/>
  <c r="M40" i="173"/>
  <c r="N40" i="173"/>
  <c r="O40" i="173"/>
  <c r="P40" i="173"/>
  <c r="Q40" i="173"/>
  <c r="R40" i="173"/>
  <c r="S40" i="173"/>
  <c r="T40" i="173"/>
  <c r="U40" i="173"/>
  <c r="W40" i="173"/>
  <c r="E41" i="173"/>
  <c r="F41" i="173"/>
  <c r="G41" i="173"/>
  <c r="H41" i="173"/>
  <c r="I41" i="173"/>
  <c r="J41" i="173"/>
  <c r="K41" i="173"/>
  <c r="L41" i="173"/>
  <c r="M41" i="173"/>
  <c r="N41" i="173"/>
  <c r="O41" i="173"/>
  <c r="P41" i="173"/>
  <c r="Q41" i="173"/>
  <c r="R41" i="173"/>
  <c r="S41" i="173"/>
  <c r="T41" i="173"/>
  <c r="U41" i="173"/>
  <c r="W41" i="173"/>
  <c r="E42" i="173"/>
  <c r="F42" i="173"/>
  <c r="G42" i="173"/>
  <c r="H42" i="173"/>
  <c r="I42" i="173"/>
  <c r="J42" i="173"/>
  <c r="K42" i="173"/>
  <c r="L42" i="173"/>
  <c r="M42" i="173"/>
  <c r="N42" i="173"/>
  <c r="O42" i="173"/>
  <c r="P42" i="173"/>
  <c r="Q42" i="173"/>
  <c r="R42" i="173"/>
  <c r="S42" i="173"/>
  <c r="T42" i="173"/>
  <c r="U42" i="173"/>
  <c r="W42" i="173"/>
  <c r="E43" i="173"/>
  <c r="F43" i="173"/>
  <c r="G43" i="173"/>
  <c r="H43" i="173"/>
  <c r="I43" i="173"/>
  <c r="J43" i="173"/>
  <c r="K43" i="173"/>
  <c r="L43" i="173"/>
  <c r="M43" i="173"/>
  <c r="N43" i="173"/>
  <c r="O43" i="173"/>
  <c r="P43" i="173"/>
  <c r="Q43" i="173"/>
  <c r="R43" i="173"/>
  <c r="S43" i="173"/>
  <c r="T43" i="173"/>
  <c r="U43" i="173"/>
  <c r="W43" i="173"/>
  <c r="E44" i="173"/>
  <c r="F44" i="173"/>
  <c r="G44" i="173"/>
  <c r="H44" i="173"/>
  <c r="I44" i="173"/>
  <c r="J44" i="173"/>
  <c r="K44" i="173"/>
  <c r="L44" i="173"/>
  <c r="M44" i="173"/>
  <c r="N44" i="173"/>
  <c r="O44" i="173"/>
  <c r="P44" i="173"/>
  <c r="Q44" i="173"/>
  <c r="R44" i="173"/>
  <c r="S44" i="173"/>
  <c r="T44" i="173"/>
  <c r="U44" i="173"/>
  <c r="W44" i="173"/>
  <c r="E45" i="173"/>
  <c r="F45" i="173"/>
  <c r="G45" i="173"/>
  <c r="H45" i="173"/>
  <c r="I45" i="173"/>
  <c r="J45" i="173"/>
  <c r="K45" i="173"/>
  <c r="L45" i="173"/>
  <c r="M45" i="173"/>
  <c r="N45" i="173"/>
  <c r="O45" i="173"/>
  <c r="P45" i="173"/>
  <c r="Q45" i="173"/>
  <c r="R45" i="173"/>
  <c r="S45" i="173"/>
  <c r="T45" i="173"/>
  <c r="U45" i="173"/>
  <c r="W45" i="173"/>
  <c r="E46" i="173"/>
  <c r="F46" i="173"/>
  <c r="G46" i="173"/>
  <c r="H46" i="173"/>
  <c r="I46" i="173"/>
  <c r="J46" i="173"/>
  <c r="K46" i="173"/>
  <c r="L46" i="173"/>
  <c r="M46" i="173"/>
  <c r="N46" i="173"/>
  <c r="O46" i="173"/>
  <c r="P46" i="173"/>
  <c r="Q46" i="173"/>
  <c r="R46" i="173"/>
  <c r="S46" i="173"/>
  <c r="T46" i="173"/>
  <c r="U46" i="173"/>
  <c r="W46" i="173"/>
  <c r="E47" i="173"/>
  <c r="F47" i="173"/>
  <c r="G47" i="173"/>
  <c r="H47" i="173"/>
  <c r="I47" i="173"/>
  <c r="J47" i="173"/>
  <c r="K47" i="173"/>
  <c r="L47" i="173"/>
  <c r="M47" i="173"/>
  <c r="N47" i="173"/>
  <c r="O47" i="173"/>
  <c r="P47" i="173"/>
  <c r="Q47" i="173"/>
  <c r="R47" i="173"/>
  <c r="S47" i="173"/>
  <c r="T47" i="173"/>
  <c r="U47" i="173"/>
  <c r="W47" i="173"/>
  <c r="E48" i="173"/>
  <c r="F48" i="173"/>
  <c r="G48" i="173"/>
  <c r="H48" i="173"/>
  <c r="I48" i="173"/>
  <c r="J48" i="173"/>
  <c r="K48" i="173"/>
  <c r="L48" i="173"/>
  <c r="M48" i="173"/>
  <c r="N48" i="173"/>
  <c r="O48" i="173"/>
  <c r="P48" i="173"/>
  <c r="Q48" i="173"/>
  <c r="R48" i="173"/>
  <c r="S48" i="173"/>
  <c r="T48" i="173"/>
  <c r="U48" i="173"/>
  <c r="W48" i="173"/>
  <c r="E49" i="173"/>
  <c r="F49" i="173"/>
  <c r="G49" i="173"/>
  <c r="H49" i="173"/>
  <c r="I49" i="173"/>
  <c r="J49" i="173"/>
  <c r="K49" i="173"/>
  <c r="L49" i="173"/>
  <c r="M49" i="173"/>
  <c r="N49" i="173"/>
  <c r="O49" i="173"/>
  <c r="P49" i="173"/>
  <c r="Q49" i="173"/>
  <c r="R49" i="173"/>
  <c r="S49" i="173"/>
  <c r="T49" i="173"/>
  <c r="U49" i="173"/>
  <c r="W49" i="173"/>
  <c r="E50" i="173"/>
  <c r="F50" i="173"/>
  <c r="G50" i="173"/>
  <c r="H50" i="173"/>
  <c r="I50" i="173"/>
  <c r="J50" i="173"/>
  <c r="K50" i="173"/>
  <c r="L50" i="173"/>
  <c r="M50" i="173"/>
  <c r="N50" i="173"/>
  <c r="O50" i="173"/>
  <c r="P50" i="173"/>
  <c r="Q50" i="173"/>
  <c r="R50" i="173"/>
  <c r="S50" i="173"/>
  <c r="T50" i="173"/>
  <c r="U50" i="173"/>
  <c r="W50" i="173"/>
  <c r="E51" i="173"/>
  <c r="F51" i="173"/>
  <c r="G51" i="173"/>
  <c r="H51" i="173"/>
  <c r="I51" i="173"/>
  <c r="J51" i="173"/>
  <c r="K51" i="173"/>
  <c r="L51" i="173"/>
  <c r="M51" i="173"/>
  <c r="N51" i="173"/>
  <c r="O51" i="173"/>
  <c r="P51" i="173"/>
  <c r="Q51" i="173"/>
  <c r="R51" i="173"/>
  <c r="S51" i="173"/>
  <c r="T51" i="173"/>
  <c r="U51" i="173"/>
  <c r="W51" i="173"/>
  <c r="E52" i="173"/>
  <c r="F52" i="173"/>
  <c r="G52" i="173"/>
  <c r="H52" i="173"/>
  <c r="I52" i="173"/>
  <c r="J52" i="173"/>
  <c r="K52" i="173"/>
  <c r="L52" i="173"/>
  <c r="M52" i="173"/>
  <c r="N52" i="173"/>
  <c r="O52" i="173"/>
  <c r="P52" i="173"/>
  <c r="Q52" i="173"/>
  <c r="R52" i="173"/>
  <c r="S52" i="173"/>
  <c r="T52" i="173"/>
  <c r="U52" i="173"/>
  <c r="W52" i="173"/>
  <c r="E53" i="173"/>
  <c r="F53" i="173"/>
  <c r="G53" i="173"/>
  <c r="H53" i="173"/>
  <c r="I53" i="173"/>
  <c r="J53" i="173"/>
  <c r="K53" i="173"/>
  <c r="L53" i="173"/>
  <c r="M53" i="173"/>
  <c r="N53" i="173"/>
  <c r="O53" i="173"/>
  <c r="P53" i="173"/>
  <c r="Q53" i="173"/>
  <c r="R53" i="173"/>
  <c r="S53" i="173"/>
  <c r="T53" i="173"/>
  <c r="U53" i="173"/>
  <c r="W53" i="173"/>
  <c r="E54" i="173"/>
  <c r="F54" i="173"/>
  <c r="G54" i="173"/>
  <c r="H54" i="173"/>
  <c r="I54" i="173"/>
  <c r="J54" i="173"/>
  <c r="K54" i="173"/>
  <c r="L54" i="173"/>
  <c r="M54" i="173"/>
  <c r="N54" i="173"/>
  <c r="O54" i="173"/>
  <c r="P54" i="173"/>
  <c r="Q54" i="173"/>
  <c r="R54" i="173"/>
  <c r="S54" i="173"/>
  <c r="T54" i="173"/>
  <c r="U54" i="173"/>
  <c r="W54" i="173"/>
  <c r="E55" i="173"/>
  <c r="F55" i="173"/>
  <c r="G55" i="173"/>
  <c r="H55" i="173"/>
  <c r="I55" i="173"/>
  <c r="J55" i="173"/>
  <c r="K55" i="173"/>
  <c r="L55" i="173"/>
  <c r="M55" i="173"/>
  <c r="N55" i="173"/>
  <c r="O55" i="173"/>
  <c r="P55" i="173"/>
  <c r="Q55" i="173"/>
  <c r="R55" i="173"/>
  <c r="S55" i="173"/>
  <c r="T55" i="173"/>
  <c r="U55" i="173"/>
  <c r="W55" i="173"/>
  <c r="E56" i="173"/>
  <c r="F56" i="173"/>
  <c r="G56" i="173"/>
  <c r="H56" i="173"/>
  <c r="I56" i="173"/>
  <c r="J56" i="173"/>
  <c r="K56" i="173"/>
  <c r="L56" i="173"/>
  <c r="M56" i="173"/>
  <c r="N56" i="173"/>
  <c r="O56" i="173"/>
  <c r="P56" i="173"/>
  <c r="Q56" i="173"/>
  <c r="R56" i="173"/>
  <c r="S56" i="173"/>
  <c r="T56" i="173"/>
  <c r="U56" i="173"/>
  <c r="W56" i="173"/>
  <c r="E57" i="173"/>
  <c r="F57" i="173"/>
  <c r="G57" i="173"/>
  <c r="H57" i="173"/>
  <c r="I57" i="173"/>
  <c r="J57" i="173"/>
  <c r="K57" i="173"/>
  <c r="L57" i="173"/>
  <c r="M57" i="173"/>
  <c r="N57" i="173"/>
  <c r="O57" i="173"/>
  <c r="P57" i="173"/>
  <c r="Q57" i="173"/>
  <c r="R57" i="173"/>
  <c r="S57" i="173"/>
  <c r="T57" i="173"/>
  <c r="U57" i="173"/>
  <c r="W57" i="173"/>
  <c r="E58" i="173"/>
  <c r="F58" i="173"/>
  <c r="G58" i="173"/>
  <c r="H58" i="173"/>
  <c r="I58" i="173"/>
  <c r="J58" i="173"/>
  <c r="K58" i="173"/>
  <c r="L58" i="173"/>
  <c r="M58" i="173"/>
  <c r="N58" i="173"/>
  <c r="O58" i="173"/>
  <c r="P58" i="173"/>
  <c r="Q58" i="173"/>
  <c r="R58" i="173"/>
  <c r="S58" i="173"/>
  <c r="T58" i="173"/>
  <c r="U58" i="173"/>
  <c r="W58" i="173"/>
  <c r="E59" i="173"/>
  <c r="F59" i="173"/>
  <c r="G59" i="173"/>
  <c r="H59" i="173"/>
  <c r="I59" i="173"/>
  <c r="J59" i="173"/>
  <c r="K59" i="173"/>
  <c r="L59" i="173"/>
  <c r="M59" i="173"/>
  <c r="N59" i="173"/>
  <c r="O59" i="173"/>
  <c r="P59" i="173"/>
  <c r="Q59" i="173"/>
  <c r="R59" i="173"/>
  <c r="S59" i="173"/>
  <c r="T59" i="173"/>
  <c r="U59" i="173"/>
  <c r="W59" i="173"/>
  <c r="E60" i="173"/>
  <c r="F60" i="173"/>
  <c r="G60" i="173"/>
  <c r="H60" i="173"/>
  <c r="I60" i="173"/>
  <c r="J60" i="173"/>
  <c r="K60" i="173"/>
  <c r="L60" i="173"/>
  <c r="M60" i="173"/>
  <c r="N60" i="173"/>
  <c r="O60" i="173"/>
  <c r="P60" i="173"/>
  <c r="Q60" i="173"/>
  <c r="R60" i="173"/>
  <c r="S60" i="173"/>
  <c r="T60" i="173"/>
  <c r="U60" i="173"/>
  <c r="W60" i="173"/>
  <c r="E61" i="173"/>
  <c r="F61" i="173"/>
  <c r="G61" i="173"/>
  <c r="H61" i="173"/>
  <c r="I61" i="173"/>
  <c r="J61" i="173"/>
  <c r="K61" i="173"/>
  <c r="L61" i="173"/>
  <c r="M61" i="173"/>
  <c r="N61" i="173"/>
  <c r="O61" i="173"/>
  <c r="P61" i="173"/>
  <c r="Q61" i="173"/>
  <c r="R61" i="173"/>
  <c r="S61" i="173"/>
  <c r="T61" i="173"/>
  <c r="U61" i="173"/>
  <c r="W61" i="173"/>
  <c r="E62" i="173"/>
  <c r="F62" i="173"/>
  <c r="G62" i="173"/>
  <c r="H62" i="173"/>
  <c r="I62" i="173"/>
  <c r="J62" i="173"/>
  <c r="K62" i="173"/>
  <c r="L62" i="173"/>
  <c r="M62" i="173"/>
  <c r="N62" i="173"/>
  <c r="O62" i="173"/>
  <c r="P62" i="173"/>
  <c r="Q62" i="173"/>
  <c r="R62" i="173"/>
  <c r="S62" i="173"/>
  <c r="T62" i="173"/>
  <c r="U62" i="173"/>
  <c r="W62" i="173"/>
  <c r="E63" i="173"/>
  <c r="F63" i="173"/>
  <c r="G63" i="173"/>
  <c r="H63" i="173"/>
  <c r="I63" i="173"/>
  <c r="J63" i="173"/>
  <c r="K63" i="173"/>
  <c r="L63" i="173"/>
  <c r="M63" i="173"/>
  <c r="N63" i="173"/>
  <c r="O63" i="173"/>
  <c r="P63" i="173"/>
  <c r="Q63" i="173"/>
  <c r="R63" i="173"/>
  <c r="S63" i="173"/>
  <c r="T63" i="173"/>
  <c r="U63" i="173"/>
  <c r="W63" i="173"/>
  <c r="E64" i="173"/>
  <c r="F64" i="173"/>
  <c r="G64" i="173"/>
  <c r="H64" i="173"/>
  <c r="I64" i="173"/>
  <c r="J64" i="173"/>
  <c r="K64" i="173"/>
  <c r="L64" i="173"/>
  <c r="M64" i="173"/>
  <c r="N64" i="173"/>
  <c r="O64" i="173"/>
  <c r="P64" i="173"/>
  <c r="Q64" i="173"/>
  <c r="R64" i="173"/>
  <c r="S64" i="173"/>
  <c r="T64" i="173"/>
  <c r="U64" i="173"/>
  <c r="W64" i="173"/>
  <c r="E65" i="173"/>
  <c r="F65" i="173"/>
  <c r="G65" i="173"/>
  <c r="H65" i="173"/>
  <c r="I65" i="173"/>
  <c r="J65" i="173"/>
  <c r="K65" i="173"/>
  <c r="L65" i="173"/>
  <c r="M65" i="173"/>
  <c r="N65" i="173"/>
  <c r="O65" i="173"/>
  <c r="P65" i="173"/>
  <c r="Q65" i="173"/>
  <c r="R65" i="173"/>
  <c r="S65" i="173"/>
  <c r="T65" i="173"/>
  <c r="U65" i="173"/>
  <c r="W65" i="173"/>
  <c r="E66" i="173"/>
  <c r="F66" i="173"/>
  <c r="G66" i="173"/>
  <c r="H66" i="173"/>
  <c r="I66" i="173"/>
  <c r="J66" i="173"/>
  <c r="K66" i="173"/>
  <c r="L66" i="173"/>
  <c r="M66" i="173"/>
  <c r="N66" i="173"/>
  <c r="O66" i="173"/>
  <c r="P66" i="173"/>
  <c r="Q66" i="173"/>
  <c r="R66" i="173"/>
  <c r="S66" i="173"/>
  <c r="T66" i="173"/>
  <c r="U66" i="173"/>
  <c r="W66" i="173"/>
  <c r="E67" i="173"/>
  <c r="F67" i="173"/>
  <c r="G67" i="173"/>
  <c r="H67" i="173"/>
  <c r="I67" i="173"/>
  <c r="J67" i="173"/>
  <c r="K67" i="173"/>
  <c r="L67" i="173"/>
  <c r="M67" i="173"/>
  <c r="N67" i="173"/>
  <c r="O67" i="173"/>
  <c r="P67" i="173"/>
  <c r="Q67" i="173"/>
  <c r="R67" i="173"/>
  <c r="S67" i="173"/>
  <c r="T67" i="173"/>
  <c r="U67" i="173"/>
  <c r="W67" i="173"/>
  <c r="E68" i="173"/>
  <c r="F68" i="173"/>
  <c r="G68" i="173"/>
  <c r="H68" i="173"/>
  <c r="I68" i="173"/>
  <c r="J68" i="173"/>
  <c r="K68" i="173"/>
  <c r="L68" i="173"/>
  <c r="M68" i="173"/>
  <c r="N68" i="173"/>
  <c r="O68" i="173"/>
  <c r="P68" i="173"/>
  <c r="Q68" i="173"/>
  <c r="R68" i="173"/>
  <c r="S68" i="173"/>
  <c r="T68" i="173"/>
  <c r="U68" i="173"/>
  <c r="W68" i="173"/>
  <c r="E69" i="173"/>
  <c r="F69" i="173"/>
  <c r="G69" i="173"/>
  <c r="H69" i="173"/>
  <c r="I69" i="173"/>
  <c r="J69" i="173"/>
  <c r="K69" i="173"/>
  <c r="L69" i="173"/>
  <c r="M69" i="173"/>
  <c r="N69" i="173"/>
  <c r="O69" i="173"/>
  <c r="P69" i="173"/>
  <c r="Q69" i="173"/>
  <c r="R69" i="173"/>
  <c r="S69" i="173"/>
  <c r="T69" i="173"/>
  <c r="U69" i="173"/>
  <c r="W69" i="173"/>
  <c r="E70" i="173"/>
  <c r="F70" i="173"/>
  <c r="G70" i="173"/>
  <c r="H70" i="173"/>
  <c r="I70" i="173"/>
  <c r="J70" i="173"/>
  <c r="K70" i="173"/>
  <c r="L70" i="173"/>
  <c r="M70" i="173"/>
  <c r="N70" i="173"/>
  <c r="O70" i="173"/>
  <c r="P70" i="173"/>
  <c r="Q70" i="173"/>
  <c r="R70" i="173"/>
  <c r="S70" i="173"/>
  <c r="T70" i="173"/>
  <c r="U70" i="173"/>
  <c r="W70" i="173"/>
  <c r="E71" i="173"/>
  <c r="F71" i="173"/>
  <c r="G71" i="173"/>
  <c r="H71" i="173"/>
  <c r="I71" i="173"/>
  <c r="J71" i="173"/>
  <c r="K71" i="173"/>
  <c r="L71" i="173"/>
  <c r="M71" i="173"/>
  <c r="N71" i="173"/>
  <c r="O71" i="173"/>
  <c r="P71" i="173"/>
  <c r="Q71" i="173"/>
  <c r="R71" i="173"/>
  <c r="S71" i="173"/>
  <c r="T71" i="173"/>
  <c r="U71" i="173"/>
  <c r="W71" i="173"/>
  <c r="E72" i="173"/>
  <c r="F72" i="173"/>
  <c r="G72" i="173"/>
  <c r="H72" i="173"/>
  <c r="I72" i="173"/>
  <c r="J72" i="173"/>
  <c r="K72" i="173"/>
  <c r="L72" i="173"/>
  <c r="M72" i="173"/>
  <c r="N72" i="173"/>
  <c r="O72" i="173"/>
  <c r="P72" i="173"/>
  <c r="Q72" i="173"/>
  <c r="R72" i="173"/>
  <c r="S72" i="173"/>
  <c r="T72" i="173"/>
  <c r="U72" i="173"/>
  <c r="W72" i="173"/>
  <c r="E73" i="173"/>
  <c r="F73" i="173"/>
  <c r="G73" i="173"/>
  <c r="H73" i="173"/>
  <c r="I73" i="173"/>
  <c r="J73" i="173"/>
  <c r="K73" i="173"/>
  <c r="L73" i="173"/>
  <c r="M73" i="173"/>
  <c r="N73" i="173"/>
  <c r="O73" i="173"/>
  <c r="P73" i="173"/>
  <c r="Q73" i="173"/>
  <c r="R73" i="173"/>
  <c r="S73" i="173"/>
  <c r="T73" i="173"/>
  <c r="U73" i="173"/>
  <c r="W73" i="173"/>
  <c r="E74" i="173"/>
  <c r="F74" i="173"/>
  <c r="G74" i="173"/>
  <c r="H74" i="173"/>
  <c r="I74" i="173"/>
  <c r="J74" i="173"/>
  <c r="K74" i="173"/>
  <c r="L74" i="173"/>
  <c r="M74" i="173"/>
  <c r="N74" i="173"/>
  <c r="O74" i="173"/>
  <c r="P74" i="173"/>
  <c r="Q74" i="173"/>
  <c r="R74" i="173"/>
  <c r="S74" i="173"/>
  <c r="T74" i="173"/>
  <c r="U74" i="173"/>
  <c r="W74" i="173"/>
  <c r="E75" i="173"/>
  <c r="F75" i="173"/>
  <c r="G75" i="173"/>
  <c r="H75" i="173"/>
  <c r="I75" i="173"/>
  <c r="J75" i="173"/>
  <c r="K75" i="173"/>
  <c r="L75" i="173"/>
  <c r="M75" i="173"/>
  <c r="N75" i="173"/>
  <c r="O75" i="173"/>
  <c r="P75" i="173"/>
  <c r="Q75" i="173"/>
  <c r="R75" i="173"/>
  <c r="S75" i="173"/>
  <c r="T75" i="173"/>
  <c r="U75" i="173"/>
  <c r="W75" i="173"/>
  <c r="E76" i="173"/>
  <c r="F76" i="173"/>
  <c r="G76" i="173"/>
  <c r="H76" i="173"/>
  <c r="I76" i="173"/>
  <c r="J76" i="173"/>
  <c r="K76" i="173"/>
  <c r="L76" i="173"/>
  <c r="M76" i="173"/>
  <c r="N76" i="173"/>
  <c r="O76" i="173"/>
  <c r="P76" i="173"/>
  <c r="Q76" i="173"/>
  <c r="R76" i="173"/>
  <c r="S76" i="173"/>
  <c r="T76" i="173"/>
  <c r="U76" i="173"/>
  <c r="W76" i="173"/>
  <c r="E77" i="173"/>
  <c r="F77" i="173"/>
  <c r="G77" i="173"/>
  <c r="H77" i="173"/>
  <c r="I77" i="173"/>
  <c r="J77" i="173"/>
  <c r="K77" i="173"/>
  <c r="L77" i="173"/>
  <c r="M77" i="173"/>
  <c r="N77" i="173"/>
  <c r="O77" i="173"/>
  <c r="P77" i="173"/>
  <c r="Q77" i="173"/>
  <c r="R77" i="173"/>
  <c r="S77" i="173"/>
  <c r="T77" i="173"/>
  <c r="U77" i="173"/>
  <c r="W77" i="173"/>
  <c r="E78" i="173"/>
  <c r="F78" i="173"/>
  <c r="G78" i="173"/>
  <c r="H78" i="173"/>
  <c r="I78" i="173"/>
  <c r="J78" i="173"/>
  <c r="K78" i="173"/>
  <c r="L78" i="173"/>
  <c r="M78" i="173"/>
  <c r="N78" i="173"/>
  <c r="O78" i="173"/>
  <c r="P78" i="173"/>
  <c r="Q78" i="173"/>
  <c r="R78" i="173"/>
  <c r="S78" i="173"/>
  <c r="T78" i="173"/>
  <c r="U78" i="173"/>
  <c r="W78" i="173"/>
  <c r="E79" i="173"/>
  <c r="F79" i="173"/>
  <c r="G79" i="173"/>
  <c r="H79" i="173"/>
  <c r="I79" i="173"/>
  <c r="J79" i="173"/>
  <c r="K79" i="173"/>
  <c r="L79" i="173"/>
  <c r="M79" i="173"/>
  <c r="N79" i="173"/>
  <c r="O79" i="173"/>
  <c r="P79" i="173"/>
  <c r="Q79" i="173"/>
  <c r="R79" i="173"/>
  <c r="S79" i="173"/>
  <c r="T79" i="173"/>
  <c r="U79" i="173"/>
  <c r="W79" i="173"/>
  <c r="E80" i="173"/>
  <c r="F80" i="173"/>
  <c r="G80" i="173"/>
  <c r="H80" i="173"/>
  <c r="I80" i="173"/>
  <c r="J80" i="173"/>
  <c r="K80" i="173"/>
  <c r="L80" i="173"/>
  <c r="M80" i="173"/>
  <c r="N80" i="173"/>
  <c r="O80" i="173"/>
  <c r="P80" i="173"/>
  <c r="Q80" i="173"/>
  <c r="R80" i="173"/>
  <c r="S80" i="173"/>
  <c r="T80" i="173"/>
  <c r="U80" i="173"/>
  <c r="W80" i="173"/>
  <c r="E81" i="173"/>
  <c r="F81" i="173"/>
  <c r="G81" i="173"/>
  <c r="H81" i="173"/>
  <c r="I81" i="173"/>
  <c r="J81" i="173"/>
  <c r="K81" i="173"/>
  <c r="L81" i="173"/>
  <c r="M81" i="173"/>
  <c r="N81" i="173"/>
  <c r="O81" i="173"/>
  <c r="P81" i="173"/>
  <c r="Q81" i="173"/>
  <c r="R81" i="173"/>
  <c r="S81" i="173"/>
  <c r="T81" i="173"/>
  <c r="U81" i="173"/>
  <c r="W81" i="173"/>
  <c r="E82" i="173"/>
  <c r="F82" i="173"/>
  <c r="G82" i="173"/>
  <c r="H82" i="173"/>
  <c r="I82" i="173"/>
  <c r="J82" i="173"/>
  <c r="K82" i="173"/>
  <c r="L82" i="173"/>
  <c r="M82" i="173"/>
  <c r="N82" i="173"/>
  <c r="O82" i="173"/>
  <c r="P82" i="173"/>
  <c r="Q82" i="173"/>
  <c r="R82" i="173"/>
  <c r="S82" i="173"/>
  <c r="T82" i="173"/>
  <c r="U82" i="173"/>
  <c r="W82" i="173"/>
  <c r="E83" i="173"/>
  <c r="F83" i="173"/>
  <c r="G83" i="173"/>
  <c r="H83" i="173"/>
  <c r="I83" i="173"/>
  <c r="J83" i="173"/>
  <c r="K83" i="173"/>
  <c r="L83" i="173"/>
  <c r="M83" i="173"/>
  <c r="N83" i="173"/>
  <c r="O83" i="173"/>
  <c r="P83" i="173"/>
  <c r="Q83" i="173"/>
  <c r="R83" i="173"/>
  <c r="S83" i="173"/>
  <c r="T83" i="173"/>
  <c r="U83" i="173"/>
  <c r="W83" i="173"/>
  <c r="E84" i="173"/>
  <c r="F84" i="173"/>
  <c r="G84" i="173"/>
  <c r="H84" i="173"/>
  <c r="I84" i="173"/>
  <c r="J84" i="173"/>
  <c r="K84" i="173"/>
  <c r="L84" i="173"/>
  <c r="M84" i="173"/>
  <c r="N84" i="173"/>
  <c r="O84" i="173"/>
  <c r="P84" i="173"/>
  <c r="Q84" i="173"/>
  <c r="R84" i="173"/>
  <c r="S84" i="173"/>
  <c r="T84" i="173"/>
  <c r="U84" i="173"/>
  <c r="W84" i="173"/>
  <c r="E85" i="173"/>
  <c r="F85" i="173"/>
  <c r="G85" i="173"/>
  <c r="H85" i="173"/>
  <c r="I85" i="173"/>
  <c r="J85" i="173"/>
  <c r="K85" i="173"/>
  <c r="L85" i="173"/>
  <c r="M85" i="173"/>
  <c r="N85" i="173"/>
  <c r="O85" i="173"/>
  <c r="P85" i="173"/>
  <c r="Q85" i="173"/>
  <c r="R85" i="173"/>
  <c r="S85" i="173"/>
  <c r="T85" i="173"/>
  <c r="U85" i="173"/>
  <c r="W85" i="173"/>
  <c r="E86" i="173"/>
  <c r="F86" i="173"/>
  <c r="G86" i="173"/>
  <c r="H86" i="173"/>
  <c r="I86" i="173"/>
  <c r="J86" i="173"/>
  <c r="K86" i="173"/>
  <c r="L86" i="173"/>
  <c r="M86" i="173"/>
  <c r="N86" i="173"/>
  <c r="O86" i="173"/>
  <c r="P86" i="173"/>
  <c r="Q86" i="173"/>
  <c r="R86" i="173"/>
  <c r="S86" i="173"/>
  <c r="T86" i="173"/>
  <c r="U86" i="173"/>
  <c r="W86" i="173"/>
  <c r="E87" i="173"/>
  <c r="F87" i="173"/>
  <c r="G87" i="173"/>
  <c r="H87" i="173"/>
  <c r="I87" i="173"/>
  <c r="J87" i="173"/>
  <c r="K87" i="173"/>
  <c r="L87" i="173"/>
  <c r="M87" i="173"/>
  <c r="N87" i="173"/>
  <c r="O87" i="173"/>
  <c r="P87" i="173"/>
  <c r="Q87" i="173"/>
  <c r="R87" i="173"/>
  <c r="S87" i="173"/>
  <c r="T87" i="173"/>
  <c r="U87" i="173"/>
  <c r="W87" i="173"/>
  <c r="E88" i="173"/>
  <c r="F88" i="173"/>
  <c r="G88" i="173"/>
  <c r="H88" i="173"/>
  <c r="I88" i="173"/>
  <c r="J88" i="173"/>
  <c r="K88" i="173"/>
  <c r="L88" i="173"/>
  <c r="M88" i="173"/>
  <c r="N88" i="173"/>
  <c r="O88" i="173"/>
  <c r="P88" i="173"/>
  <c r="Q88" i="173"/>
  <c r="R88" i="173"/>
  <c r="S88" i="173"/>
  <c r="T88" i="173"/>
  <c r="U88" i="173"/>
  <c r="W88" i="173"/>
  <c r="E89" i="173"/>
  <c r="F89" i="173"/>
  <c r="G89" i="173"/>
  <c r="H89" i="173"/>
  <c r="I89" i="173"/>
  <c r="J89" i="173"/>
  <c r="K89" i="173"/>
  <c r="L89" i="173"/>
  <c r="M89" i="173"/>
  <c r="N89" i="173"/>
  <c r="O89" i="173"/>
  <c r="P89" i="173"/>
  <c r="Q89" i="173"/>
  <c r="R89" i="173"/>
  <c r="S89" i="173"/>
  <c r="T89" i="173"/>
  <c r="U89" i="173"/>
  <c r="W89" i="173"/>
  <c r="E90" i="173"/>
  <c r="F90" i="173"/>
  <c r="G90" i="173"/>
  <c r="H90" i="173"/>
  <c r="I90" i="173"/>
  <c r="J90" i="173"/>
  <c r="K90" i="173"/>
  <c r="L90" i="173"/>
  <c r="M90" i="173"/>
  <c r="N90" i="173"/>
  <c r="O90" i="173"/>
  <c r="P90" i="173"/>
  <c r="Q90" i="173"/>
  <c r="R90" i="173"/>
  <c r="S90" i="173"/>
  <c r="T90" i="173"/>
  <c r="U90" i="173"/>
  <c r="W90" i="173"/>
  <c r="E91" i="173"/>
  <c r="F91" i="173"/>
  <c r="G91" i="173"/>
  <c r="H91" i="173"/>
  <c r="I91" i="173"/>
  <c r="J91" i="173"/>
  <c r="K91" i="173"/>
  <c r="L91" i="173"/>
  <c r="M91" i="173"/>
  <c r="N91" i="173"/>
  <c r="O91" i="173"/>
  <c r="P91" i="173"/>
  <c r="Q91" i="173"/>
  <c r="R91" i="173"/>
  <c r="S91" i="173"/>
  <c r="T91" i="173"/>
  <c r="U91" i="173"/>
  <c r="W91" i="173"/>
  <c r="E92" i="173"/>
  <c r="F92" i="173"/>
  <c r="G92" i="173"/>
  <c r="H92" i="173"/>
  <c r="I92" i="173"/>
  <c r="J92" i="173"/>
  <c r="K92" i="173"/>
  <c r="L92" i="173"/>
  <c r="M92" i="173"/>
  <c r="N92" i="173"/>
  <c r="O92" i="173"/>
  <c r="P92" i="173"/>
  <c r="Q92" i="173"/>
  <c r="R92" i="173"/>
  <c r="S92" i="173"/>
  <c r="T92" i="173"/>
  <c r="U92" i="173"/>
  <c r="W92" i="173"/>
  <c r="E93" i="173"/>
  <c r="F93" i="173"/>
  <c r="G93" i="173"/>
  <c r="H93" i="173"/>
  <c r="I93" i="173"/>
  <c r="J93" i="173"/>
  <c r="K93" i="173"/>
  <c r="L93" i="173"/>
  <c r="M93" i="173"/>
  <c r="N93" i="173"/>
  <c r="O93" i="173"/>
  <c r="P93" i="173"/>
  <c r="Q93" i="173"/>
  <c r="R93" i="173"/>
  <c r="S93" i="173"/>
  <c r="T93" i="173"/>
  <c r="U93" i="173"/>
  <c r="W93" i="173"/>
  <c r="E94" i="173"/>
  <c r="F94" i="173"/>
  <c r="G94" i="173"/>
  <c r="H94" i="173"/>
  <c r="I94" i="173"/>
  <c r="J94" i="173"/>
  <c r="K94" i="173"/>
  <c r="L94" i="173"/>
  <c r="M94" i="173"/>
  <c r="N94" i="173"/>
  <c r="O94" i="173"/>
  <c r="P94" i="173"/>
  <c r="Q94" i="173"/>
  <c r="R94" i="173"/>
  <c r="S94" i="173"/>
  <c r="T94" i="173"/>
  <c r="U94" i="173"/>
  <c r="W94" i="173"/>
  <c r="E95" i="173"/>
  <c r="F95" i="173"/>
  <c r="G95" i="173"/>
  <c r="H95" i="173"/>
  <c r="I95" i="173"/>
  <c r="J95" i="173"/>
  <c r="K95" i="173"/>
  <c r="L95" i="173"/>
  <c r="M95" i="173"/>
  <c r="N95" i="173"/>
  <c r="O95" i="173"/>
  <c r="P95" i="173"/>
  <c r="Q95" i="173"/>
  <c r="R95" i="173"/>
  <c r="S95" i="173"/>
  <c r="T95" i="173"/>
  <c r="U95" i="173"/>
  <c r="W95" i="173"/>
  <c r="E96" i="173"/>
  <c r="F96" i="173"/>
  <c r="G96" i="173"/>
  <c r="H96" i="173"/>
  <c r="I96" i="173"/>
  <c r="J96" i="173"/>
  <c r="K96" i="173"/>
  <c r="L96" i="173"/>
  <c r="M96" i="173"/>
  <c r="N96" i="173"/>
  <c r="O96" i="173"/>
  <c r="P96" i="173"/>
  <c r="Q96" i="173"/>
  <c r="R96" i="173"/>
  <c r="S96" i="173"/>
  <c r="T96" i="173"/>
  <c r="U96" i="173"/>
  <c r="W96" i="173"/>
  <c r="E97" i="173"/>
  <c r="F97" i="173"/>
  <c r="G97" i="173"/>
  <c r="H97" i="173"/>
  <c r="I97" i="173"/>
  <c r="J97" i="173"/>
  <c r="K97" i="173"/>
  <c r="L97" i="173"/>
  <c r="M97" i="173"/>
  <c r="N97" i="173"/>
  <c r="O97" i="173"/>
  <c r="P97" i="173"/>
  <c r="Q97" i="173"/>
  <c r="R97" i="173"/>
  <c r="S97" i="173"/>
  <c r="T97" i="173"/>
  <c r="U97" i="173"/>
  <c r="W97" i="173"/>
  <c r="E98" i="173"/>
  <c r="F98" i="173"/>
  <c r="G98" i="173"/>
  <c r="H98" i="173"/>
  <c r="I98" i="173"/>
  <c r="J98" i="173"/>
  <c r="K98" i="173"/>
  <c r="L98" i="173"/>
  <c r="M98" i="173"/>
  <c r="N98" i="173"/>
  <c r="O98" i="173"/>
  <c r="P98" i="173"/>
  <c r="Q98" i="173"/>
  <c r="R98" i="173"/>
  <c r="S98" i="173"/>
  <c r="T98" i="173"/>
  <c r="U98" i="173"/>
  <c r="W98" i="173"/>
  <c r="E99" i="173"/>
  <c r="F99" i="173"/>
  <c r="G99" i="173"/>
  <c r="H99" i="173"/>
  <c r="I99" i="173"/>
  <c r="J99" i="173"/>
  <c r="K99" i="173"/>
  <c r="L99" i="173"/>
  <c r="M99" i="173"/>
  <c r="N99" i="173"/>
  <c r="O99" i="173"/>
  <c r="P99" i="173"/>
  <c r="Q99" i="173"/>
  <c r="R99" i="173"/>
  <c r="S99" i="173"/>
  <c r="T99" i="173"/>
  <c r="U99" i="173"/>
  <c r="W99" i="173"/>
  <c r="E100" i="173"/>
  <c r="F100" i="173"/>
  <c r="G100" i="173"/>
  <c r="H100" i="173"/>
  <c r="I100" i="173"/>
  <c r="J100" i="173"/>
  <c r="K100" i="173"/>
  <c r="L100" i="173"/>
  <c r="M100" i="173"/>
  <c r="N100" i="173"/>
  <c r="O100" i="173"/>
  <c r="P100" i="173"/>
  <c r="Q100" i="173"/>
  <c r="R100" i="173"/>
  <c r="S100" i="173"/>
  <c r="T100" i="173"/>
  <c r="U100" i="173"/>
  <c r="W100" i="173"/>
  <c r="E101" i="173"/>
  <c r="F101" i="173"/>
  <c r="G101" i="173"/>
  <c r="H101" i="173"/>
  <c r="I101" i="173"/>
  <c r="J101" i="173"/>
  <c r="K101" i="173"/>
  <c r="L101" i="173"/>
  <c r="M101" i="173"/>
  <c r="N101" i="173"/>
  <c r="O101" i="173"/>
  <c r="P101" i="173"/>
  <c r="Q101" i="173"/>
  <c r="R101" i="173"/>
  <c r="S101" i="173"/>
  <c r="T101" i="173"/>
  <c r="U101" i="173"/>
  <c r="W101" i="173"/>
  <c r="E102" i="173"/>
  <c r="F102" i="173"/>
  <c r="G102" i="173"/>
  <c r="H102" i="173"/>
  <c r="I102" i="173"/>
  <c r="J102" i="173"/>
  <c r="K102" i="173"/>
  <c r="L102" i="173"/>
  <c r="M102" i="173"/>
  <c r="N102" i="173"/>
  <c r="O102" i="173"/>
  <c r="P102" i="173"/>
  <c r="Q102" i="173"/>
  <c r="R102" i="173"/>
  <c r="S102" i="173"/>
  <c r="T102" i="173"/>
  <c r="U102" i="173"/>
  <c r="W102" i="173"/>
  <c r="E103" i="173"/>
  <c r="F103" i="173"/>
  <c r="G103" i="173"/>
  <c r="H103" i="173"/>
  <c r="I103" i="173"/>
  <c r="J103" i="173"/>
  <c r="K103" i="173"/>
  <c r="L103" i="173"/>
  <c r="M103" i="173"/>
  <c r="N103" i="173"/>
  <c r="O103" i="173"/>
  <c r="P103" i="173"/>
  <c r="Q103" i="173"/>
  <c r="R103" i="173"/>
  <c r="S103" i="173"/>
  <c r="T103" i="173"/>
  <c r="U103" i="173"/>
  <c r="W103" i="173"/>
  <c r="E104" i="173"/>
  <c r="F104" i="173"/>
  <c r="G104" i="173"/>
  <c r="H104" i="173"/>
  <c r="I104" i="173"/>
  <c r="J104" i="173"/>
  <c r="K104" i="173"/>
  <c r="L104" i="173"/>
  <c r="M104" i="173"/>
  <c r="N104" i="173"/>
  <c r="O104" i="173"/>
  <c r="P104" i="173"/>
  <c r="Q104" i="173"/>
  <c r="R104" i="173"/>
  <c r="S104" i="173"/>
  <c r="T104" i="173"/>
  <c r="U104" i="173"/>
  <c r="W104" i="173"/>
  <c r="E105" i="173"/>
  <c r="F105" i="173"/>
  <c r="G105" i="173"/>
  <c r="H105" i="173"/>
  <c r="I105" i="173"/>
  <c r="J105" i="173"/>
  <c r="K105" i="173"/>
  <c r="L105" i="173"/>
  <c r="M105" i="173"/>
  <c r="N105" i="173"/>
  <c r="O105" i="173"/>
  <c r="P105" i="173"/>
  <c r="Q105" i="173"/>
  <c r="R105" i="173"/>
  <c r="S105" i="173"/>
  <c r="T105" i="173"/>
  <c r="U105" i="173"/>
  <c r="W105" i="173"/>
  <c r="E106" i="173"/>
  <c r="F106" i="173"/>
  <c r="G106" i="173"/>
  <c r="H106" i="173"/>
  <c r="I106" i="173"/>
  <c r="J106" i="173"/>
  <c r="K106" i="173"/>
  <c r="L106" i="173"/>
  <c r="M106" i="173"/>
  <c r="N106" i="173"/>
  <c r="O106" i="173"/>
  <c r="P106" i="173"/>
  <c r="Q106" i="173"/>
  <c r="R106" i="173"/>
  <c r="S106" i="173"/>
  <c r="T106" i="173"/>
  <c r="U106" i="173"/>
  <c r="W106" i="173"/>
  <c r="E107" i="173"/>
  <c r="F107" i="173"/>
  <c r="G107" i="173"/>
  <c r="H107" i="173"/>
  <c r="I107" i="173"/>
  <c r="J107" i="173"/>
  <c r="K107" i="173"/>
  <c r="L107" i="173"/>
  <c r="M107" i="173"/>
  <c r="N107" i="173"/>
  <c r="O107" i="173"/>
  <c r="P107" i="173"/>
  <c r="Q107" i="173"/>
  <c r="R107" i="173"/>
  <c r="S107" i="173"/>
  <c r="T107" i="173"/>
  <c r="U107" i="173"/>
  <c r="W107" i="173"/>
  <c r="W12" i="173"/>
  <c r="F12" i="173"/>
  <c r="G12" i="173"/>
  <c r="H12" i="173"/>
  <c r="I12" i="173"/>
  <c r="J12" i="173"/>
  <c r="K12" i="173"/>
  <c r="L12" i="173"/>
  <c r="M12" i="173"/>
  <c r="N12" i="173"/>
  <c r="O12" i="173"/>
  <c r="P12" i="173"/>
  <c r="Q12" i="173"/>
  <c r="R12" i="173"/>
  <c r="S12" i="173"/>
  <c r="T12" i="173"/>
  <c r="U12" i="173"/>
  <c r="E12" i="173"/>
  <c r="C92" i="173"/>
  <c r="C84" i="173"/>
  <c r="C76" i="173"/>
  <c r="C68" i="173"/>
  <c r="C60" i="173"/>
  <c r="C52" i="173"/>
  <c r="C44" i="173"/>
  <c r="C36" i="173"/>
  <c r="C28" i="173"/>
  <c r="C20" i="173"/>
  <c r="C12" i="173"/>
  <c r="B8" i="173"/>
  <c r="D3" i="173"/>
  <c r="D2" i="173"/>
  <c r="E13" i="172"/>
  <c r="F13" i="172"/>
  <c r="G13" i="172"/>
  <c r="H13" i="172"/>
  <c r="I13" i="172"/>
  <c r="J13" i="172"/>
  <c r="K13" i="172"/>
  <c r="L13" i="172"/>
  <c r="M13" i="172"/>
  <c r="N13" i="172"/>
  <c r="O13" i="172"/>
  <c r="P13" i="172"/>
  <c r="Q13" i="172"/>
  <c r="R13" i="172"/>
  <c r="S13" i="172"/>
  <c r="T13" i="172"/>
  <c r="U13" i="172"/>
  <c r="W13" i="172"/>
  <c r="E14" i="172"/>
  <c r="F14" i="172"/>
  <c r="G14" i="172"/>
  <c r="H14" i="172"/>
  <c r="I14" i="172"/>
  <c r="J14" i="172"/>
  <c r="K14" i="172"/>
  <c r="L14" i="172"/>
  <c r="M14" i="172"/>
  <c r="N14" i="172"/>
  <c r="O14" i="172"/>
  <c r="P14" i="172"/>
  <c r="Q14" i="172"/>
  <c r="R14" i="172"/>
  <c r="S14" i="172"/>
  <c r="T14" i="172"/>
  <c r="U14" i="172"/>
  <c r="W14" i="172"/>
  <c r="E15" i="172"/>
  <c r="F15" i="172"/>
  <c r="G15" i="172"/>
  <c r="H15" i="172"/>
  <c r="I15" i="172"/>
  <c r="J15" i="172"/>
  <c r="K15" i="172"/>
  <c r="L15" i="172"/>
  <c r="M15" i="172"/>
  <c r="N15" i="172"/>
  <c r="O15" i="172"/>
  <c r="P15" i="172"/>
  <c r="Q15" i="172"/>
  <c r="R15" i="172"/>
  <c r="S15" i="172"/>
  <c r="T15" i="172"/>
  <c r="U15" i="172"/>
  <c r="W15" i="172"/>
  <c r="E16" i="172"/>
  <c r="F16" i="172"/>
  <c r="G16" i="172"/>
  <c r="H16" i="172"/>
  <c r="I16" i="172"/>
  <c r="J16" i="172"/>
  <c r="K16" i="172"/>
  <c r="L16" i="172"/>
  <c r="M16" i="172"/>
  <c r="N16" i="172"/>
  <c r="O16" i="172"/>
  <c r="P16" i="172"/>
  <c r="Q16" i="172"/>
  <c r="R16" i="172"/>
  <c r="S16" i="172"/>
  <c r="T16" i="172"/>
  <c r="U16" i="172"/>
  <c r="W16" i="172"/>
  <c r="E17" i="172"/>
  <c r="F17" i="172"/>
  <c r="G17" i="172"/>
  <c r="H17" i="172"/>
  <c r="I17" i="172"/>
  <c r="J17" i="172"/>
  <c r="K17" i="172"/>
  <c r="L17" i="172"/>
  <c r="M17" i="172"/>
  <c r="N17" i="172"/>
  <c r="O17" i="172"/>
  <c r="P17" i="172"/>
  <c r="Q17" i="172"/>
  <c r="R17" i="172"/>
  <c r="S17" i="172"/>
  <c r="T17" i="172"/>
  <c r="U17" i="172"/>
  <c r="W17" i="172"/>
  <c r="E18" i="172"/>
  <c r="F18" i="172"/>
  <c r="G18" i="172"/>
  <c r="H18" i="172"/>
  <c r="I18" i="172"/>
  <c r="J18" i="172"/>
  <c r="K18" i="172"/>
  <c r="L18" i="172"/>
  <c r="M18" i="172"/>
  <c r="N18" i="172"/>
  <c r="O18" i="172"/>
  <c r="P18" i="172"/>
  <c r="Q18" i="172"/>
  <c r="R18" i="172"/>
  <c r="S18" i="172"/>
  <c r="T18" i="172"/>
  <c r="U18" i="172"/>
  <c r="W18" i="172"/>
  <c r="E19" i="172"/>
  <c r="F19" i="172"/>
  <c r="G19" i="172"/>
  <c r="H19" i="172"/>
  <c r="I19" i="172"/>
  <c r="J19" i="172"/>
  <c r="K19" i="172"/>
  <c r="L19" i="172"/>
  <c r="M19" i="172"/>
  <c r="N19" i="172"/>
  <c r="O19" i="172"/>
  <c r="P19" i="172"/>
  <c r="Q19" i="172"/>
  <c r="R19" i="172"/>
  <c r="S19" i="172"/>
  <c r="T19" i="172"/>
  <c r="U19" i="172"/>
  <c r="W19" i="172"/>
  <c r="E20" i="172"/>
  <c r="F20" i="172"/>
  <c r="G20" i="172"/>
  <c r="H20" i="172"/>
  <c r="I20" i="172"/>
  <c r="J20" i="172"/>
  <c r="K20" i="172"/>
  <c r="L20" i="172"/>
  <c r="M20" i="172"/>
  <c r="N20" i="172"/>
  <c r="O20" i="172"/>
  <c r="P20" i="172"/>
  <c r="Q20" i="172"/>
  <c r="R20" i="172"/>
  <c r="S20" i="172"/>
  <c r="T20" i="172"/>
  <c r="U20" i="172"/>
  <c r="W20" i="172"/>
  <c r="E21" i="172"/>
  <c r="F21" i="172"/>
  <c r="G21" i="172"/>
  <c r="H21" i="172"/>
  <c r="I21" i="172"/>
  <c r="J21" i="172"/>
  <c r="K21" i="172"/>
  <c r="L21" i="172"/>
  <c r="M21" i="172"/>
  <c r="N21" i="172"/>
  <c r="O21" i="172"/>
  <c r="P21" i="172"/>
  <c r="Q21" i="172"/>
  <c r="R21" i="172"/>
  <c r="S21" i="172"/>
  <c r="T21" i="172"/>
  <c r="U21" i="172"/>
  <c r="W21" i="172"/>
  <c r="E22" i="172"/>
  <c r="F22" i="172"/>
  <c r="G22" i="172"/>
  <c r="H22" i="172"/>
  <c r="I22" i="172"/>
  <c r="J22" i="172"/>
  <c r="K22" i="172"/>
  <c r="L22" i="172"/>
  <c r="M22" i="172"/>
  <c r="N22" i="172"/>
  <c r="O22" i="172"/>
  <c r="P22" i="172"/>
  <c r="Q22" i="172"/>
  <c r="R22" i="172"/>
  <c r="S22" i="172"/>
  <c r="T22" i="172"/>
  <c r="U22" i="172"/>
  <c r="W22" i="172"/>
  <c r="E23" i="172"/>
  <c r="F23" i="172"/>
  <c r="G23" i="172"/>
  <c r="H23" i="172"/>
  <c r="I23" i="172"/>
  <c r="J23" i="172"/>
  <c r="K23" i="172"/>
  <c r="L23" i="172"/>
  <c r="M23" i="172"/>
  <c r="N23" i="172"/>
  <c r="O23" i="172"/>
  <c r="P23" i="172"/>
  <c r="Q23" i="172"/>
  <c r="R23" i="172"/>
  <c r="S23" i="172"/>
  <c r="T23" i="172"/>
  <c r="U23" i="172"/>
  <c r="W23" i="172"/>
  <c r="E24" i="172"/>
  <c r="F24" i="172"/>
  <c r="G24" i="172"/>
  <c r="H24" i="172"/>
  <c r="I24" i="172"/>
  <c r="J24" i="172"/>
  <c r="K24" i="172"/>
  <c r="L24" i="172"/>
  <c r="M24" i="172"/>
  <c r="N24" i="172"/>
  <c r="O24" i="172"/>
  <c r="P24" i="172"/>
  <c r="Q24" i="172"/>
  <c r="R24" i="172"/>
  <c r="S24" i="172"/>
  <c r="T24" i="172"/>
  <c r="U24" i="172"/>
  <c r="W24" i="172"/>
  <c r="E25" i="172"/>
  <c r="F25" i="172"/>
  <c r="G25" i="172"/>
  <c r="H25" i="172"/>
  <c r="I25" i="172"/>
  <c r="J25" i="172"/>
  <c r="K25" i="172"/>
  <c r="L25" i="172"/>
  <c r="M25" i="172"/>
  <c r="N25" i="172"/>
  <c r="O25" i="172"/>
  <c r="P25" i="172"/>
  <c r="Q25" i="172"/>
  <c r="R25" i="172"/>
  <c r="S25" i="172"/>
  <c r="T25" i="172"/>
  <c r="U25" i="172"/>
  <c r="W25" i="172"/>
  <c r="E26" i="172"/>
  <c r="F26" i="172"/>
  <c r="G26" i="172"/>
  <c r="H26" i="172"/>
  <c r="I26" i="172"/>
  <c r="J26" i="172"/>
  <c r="K26" i="172"/>
  <c r="L26" i="172"/>
  <c r="M26" i="172"/>
  <c r="N26" i="172"/>
  <c r="O26" i="172"/>
  <c r="P26" i="172"/>
  <c r="Q26" i="172"/>
  <c r="R26" i="172"/>
  <c r="S26" i="172"/>
  <c r="T26" i="172"/>
  <c r="U26" i="172"/>
  <c r="W26" i="172"/>
  <c r="E27" i="172"/>
  <c r="F27" i="172"/>
  <c r="G27" i="172"/>
  <c r="H27" i="172"/>
  <c r="I27" i="172"/>
  <c r="J27" i="172"/>
  <c r="K27" i="172"/>
  <c r="L27" i="172"/>
  <c r="M27" i="172"/>
  <c r="N27" i="172"/>
  <c r="O27" i="172"/>
  <c r="P27" i="172"/>
  <c r="Q27" i="172"/>
  <c r="R27" i="172"/>
  <c r="S27" i="172"/>
  <c r="T27" i="172"/>
  <c r="U27" i="172"/>
  <c r="W27" i="172"/>
  <c r="E28" i="172"/>
  <c r="F28" i="172"/>
  <c r="G28" i="172"/>
  <c r="H28" i="172"/>
  <c r="I28" i="172"/>
  <c r="J28" i="172"/>
  <c r="K28" i="172"/>
  <c r="L28" i="172"/>
  <c r="M28" i="172"/>
  <c r="N28" i="172"/>
  <c r="O28" i="172"/>
  <c r="P28" i="172"/>
  <c r="Q28" i="172"/>
  <c r="R28" i="172"/>
  <c r="S28" i="172"/>
  <c r="T28" i="172"/>
  <c r="U28" i="172"/>
  <c r="W28" i="172"/>
  <c r="E29" i="172"/>
  <c r="F29" i="172"/>
  <c r="G29" i="172"/>
  <c r="H29" i="172"/>
  <c r="I29" i="172"/>
  <c r="J29" i="172"/>
  <c r="K29" i="172"/>
  <c r="L29" i="172"/>
  <c r="M29" i="172"/>
  <c r="N29" i="172"/>
  <c r="O29" i="172"/>
  <c r="P29" i="172"/>
  <c r="Q29" i="172"/>
  <c r="R29" i="172"/>
  <c r="S29" i="172"/>
  <c r="T29" i="172"/>
  <c r="U29" i="172"/>
  <c r="W29" i="172"/>
  <c r="E30" i="172"/>
  <c r="F30" i="172"/>
  <c r="G30" i="172"/>
  <c r="H30" i="172"/>
  <c r="I30" i="172"/>
  <c r="J30" i="172"/>
  <c r="K30" i="172"/>
  <c r="L30" i="172"/>
  <c r="M30" i="172"/>
  <c r="N30" i="172"/>
  <c r="O30" i="172"/>
  <c r="P30" i="172"/>
  <c r="Q30" i="172"/>
  <c r="R30" i="172"/>
  <c r="S30" i="172"/>
  <c r="T30" i="172"/>
  <c r="U30" i="172"/>
  <c r="W30" i="172"/>
  <c r="E31" i="172"/>
  <c r="F31" i="172"/>
  <c r="G31" i="172"/>
  <c r="H31" i="172"/>
  <c r="I31" i="172"/>
  <c r="J31" i="172"/>
  <c r="K31" i="172"/>
  <c r="L31" i="172"/>
  <c r="M31" i="172"/>
  <c r="N31" i="172"/>
  <c r="O31" i="172"/>
  <c r="P31" i="172"/>
  <c r="Q31" i="172"/>
  <c r="R31" i="172"/>
  <c r="S31" i="172"/>
  <c r="T31" i="172"/>
  <c r="U31" i="172"/>
  <c r="W31" i="172"/>
  <c r="E32" i="172"/>
  <c r="F32" i="172"/>
  <c r="G32" i="172"/>
  <c r="H32" i="172"/>
  <c r="I32" i="172"/>
  <c r="J32" i="172"/>
  <c r="K32" i="172"/>
  <c r="L32" i="172"/>
  <c r="M32" i="172"/>
  <c r="N32" i="172"/>
  <c r="O32" i="172"/>
  <c r="P32" i="172"/>
  <c r="Q32" i="172"/>
  <c r="R32" i="172"/>
  <c r="S32" i="172"/>
  <c r="T32" i="172"/>
  <c r="U32" i="172"/>
  <c r="W32" i="172"/>
  <c r="E33" i="172"/>
  <c r="F33" i="172"/>
  <c r="G33" i="172"/>
  <c r="H33" i="172"/>
  <c r="I33" i="172"/>
  <c r="J33" i="172"/>
  <c r="K33" i="172"/>
  <c r="L33" i="172"/>
  <c r="M33" i="172"/>
  <c r="N33" i="172"/>
  <c r="O33" i="172"/>
  <c r="P33" i="172"/>
  <c r="Q33" i="172"/>
  <c r="R33" i="172"/>
  <c r="S33" i="172"/>
  <c r="T33" i="172"/>
  <c r="U33" i="172"/>
  <c r="W33" i="172"/>
  <c r="E34" i="172"/>
  <c r="F34" i="172"/>
  <c r="G34" i="172"/>
  <c r="H34" i="172"/>
  <c r="I34" i="172"/>
  <c r="J34" i="172"/>
  <c r="K34" i="172"/>
  <c r="L34" i="172"/>
  <c r="M34" i="172"/>
  <c r="N34" i="172"/>
  <c r="O34" i="172"/>
  <c r="P34" i="172"/>
  <c r="Q34" i="172"/>
  <c r="R34" i="172"/>
  <c r="S34" i="172"/>
  <c r="T34" i="172"/>
  <c r="U34" i="172"/>
  <c r="W34" i="172"/>
  <c r="E35" i="172"/>
  <c r="F35" i="172"/>
  <c r="G35" i="172"/>
  <c r="H35" i="172"/>
  <c r="I35" i="172"/>
  <c r="J35" i="172"/>
  <c r="K35" i="172"/>
  <c r="L35" i="172"/>
  <c r="M35" i="172"/>
  <c r="N35" i="172"/>
  <c r="O35" i="172"/>
  <c r="P35" i="172"/>
  <c r="Q35" i="172"/>
  <c r="R35" i="172"/>
  <c r="S35" i="172"/>
  <c r="T35" i="172"/>
  <c r="U35" i="172"/>
  <c r="W35" i="172"/>
  <c r="E36" i="172"/>
  <c r="F36" i="172"/>
  <c r="G36" i="172"/>
  <c r="H36" i="172"/>
  <c r="I36" i="172"/>
  <c r="J36" i="172"/>
  <c r="K36" i="172"/>
  <c r="L36" i="172"/>
  <c r="M36" i="172"/>
  <c r="N36" i="172"/>
  <c r="O36" i="172"/>
  <c r="P36" i="172"/>
  <c r="Q36" i="172"/>
  <c r="R36" i="172"/>
  <c r="S36" i="172"/>
  <c r="T36" i="172"/>
  <c r="U36" i="172"/>
  <c r="W36" i="172"/>
  <c r="E37" i="172"/>
  <c r="F37" i="172"/>
  <c r="G37" i="172"/>
  <c r="H37" i="172"/>
  <c r="I37" i="172"/>
  <c r="J37" i="172"/>
  <c r="K37" i="172"/>
  <c r="L37" i="172"/>
  <c r="M37" i="172"/>
  <c r="N37" i="172"/>
  <c r="O37" i="172"/>
  <c r="P37" i="172"/>
  <c r="Q37" i="172"/>
  <c r="R37" i="172"/>
  <c r="S37" i="172"/>
  <c r="T37" i="172"/>
  <c r="U37" i="172"/>
  <c r="W37" i="172"/>
  <c r="E38" i="172"/>
  <c r="F38" i="172"/>
  <c r="G38" i="172"/>
  <c r="H38" i="172"/>
  <c r="I38" i="172"/>
  <c r="J38" i="172"/>
  <c r="K38" i="172"/>
  <c r="L38" i="172"/>
  <c r="M38" i="172"/>
  <c r="N38" i="172"/>
  <c r="O38" i="172"/>
  <c r="P38" i="172"/>
  <c r="Q38" i="172"/>
  <c r="R38" i="172"/>
  <c r="S38" i="172"/>
  <c r="T38" i="172"/>
  <c r="U38" i="172"/>
  <c r="W38" i="172"/>
  <c r="E39" i="172"/>
  <c r="F39" i="172"/>
  <c r="G39" i="172"/>
  <c r="H39" i="172"/>
  <c r="I39" i="172"/>
  <c r="J39" i="172"/>
  <c r="K39" i="172"/>
  <c r="L39" i="172"/>
  <c r="M39" i="172"/>
  <c r="N39" i="172"/>
  <c r="O39" i="172"/>
  <c r="P39" i="172"/>
  <c r="Q39" i="172"/>
  <c r="R39" i="172"/>
  <c r="S39" i="172"/>
  <c r="T39" i="172"/>
  <c r="U39" i="172"/>
  <c r="W39" i="172"/>
  <c r="E40" i="172"/>
  <c r="F40" i="172"/>
  <c r="G40" i="172"/>
  <c r="H40" i="172"/>
  <c r="I40" i="172"/>
  <c r="J40" i="172"/>
  <c r="K40" i="172"/>
  <c r="L40" i="172"/>
  <c r="M40" i="172"/>
  <c r="N40" i="172"/>
  <c r="O40" i="172"/>
  <c r="P40" i="172"/>
  <c r="Q40" i="172"/>
  <c r="R40" i="172"/>
  <c r="S40" i="172"/>
  <c r="T40" i="172"/>
  <c r="U40" i="172"/>
  <c r="W40" i="172"/>
  <c r="E41" i="172"/>
  <c r="F41" i="172"/>
  <c r="G41" i="172"/>
  <c r="H41" i="172"/>
  <c r="I41" i="172"/>
  <c r="J41" i="172"/>
  <c r="K41" i="172"/>
  <c r="L41" i="172"/>
  <c r="M41" i="172"/>
  <c r="N41" i="172"/>
  <c r="O41" i="172"/>
  <c r="P41" i="172"/>
  <c r="Q41" i="172"/>
  <c r="R41" i="172"/>
  <c r="S41" i="172"/>
  <c r="T41" i="172"/>
  <c r="U41" i="172"/>
  <c r="W41" i="172"/>
  <c r="E42" i="172"/>
  <c r="F42" i="172"/>
  <c r="G42" i="172"/>
  <c r="H42" i="172"/>
  <c r="I42" i="172"/>
  <c r="J42" i="172"/>
  <c r="K42" i="172"/>
  <c r="L42" i="172"/>
  <c r="M42" i="172"/>
  <c r="N42" i="172"/>
  <c r="O42" i="172"/>
  <c r="P42" i="172"/>
  <c r="Q42" i="172"/>
  <c r="R42" i="172"/>
  <c r="S42" i="172"/>
  <c r="T42" i="172"/>
  <c r="U42" i="172"/>
  <c r="W42" i="172"/>
  <c r="E43" i="172"/>
  <c r="F43" i="172"/>
  <c r="G43" i="172"/>
  <c r="H43" i="172"/>
  <c r="I43" i="172"/>
  <c r="J43" i="172"/>
  <c r="K43" i="172"/>
  <c r="L43" i="172"/>
  <c r="M43" i="172"/>
  <c r="N43" i="172"/>
  <c r="O43" i="172"/>
  <c r="P43" i="172"/>
  <c r="Q43" i="172"/>
  <c r="R43" i="172"/>
  <c r="S43" i="172"/>
  <c r="T43" i="172"/>
  <c r="U43" i="172"/>
  <c r="W43" i="172"/>
  <c r="E44" i="172"/>
  <c r="F44" i="172"/>
  <c r="G44" i="172"/>
  <c r="H44" i="172"/>
  <c r="I44" i="172"/>
  <c r="J44" i="172"/>
  <c r="K44" i="172"/>
  <c r="L44" i="172"/>
  <c r="M44" i="172"/>
  <c r="N44" i="172"/>
  <c r="O44" i="172"/>
  <c r="P44" i="172"/>
  <c r="Q44" i="172"/>
  <c r="R44" i="172"/>
  <c r="S44" i="172"/>
  <c r="T44" i="172"/>
  <c r="U44" i="172"/>
  <c r="W44" i="172"/>
  <c r="E45" i="172"/>
  <c r="F45" i="172"/>
  <c r="G45" i="172"/>
  <c r="H45" i="172"/>
  <c r="I45" i="172"/>
  <c r="J45" i="172"/>
  <c r="K45" i="172"/>
  <c r="L45" i="172"/>
  <c r="M45" i="172"/>
  <c r="N45" i="172"/>
  <c r="O45" i="172"/>
  <c r="P45" i="172"/>
  <c r="Q45" i="172"/>
  <c r="R45" i="172"/>
  <c r="S45" i="172"/>
  <c r="T45" i="172"/>
  <c r="U45" i="172"/>
  <c r="W45" i="172"/>
  <c r="E46" i="172"/>
  <c r="F46" i="172"/>
  <c r="G46" i="172"/>
  <c r="H46" i="172"/>
  <c r="I46" i="172"/>
  <c r="J46" i="172"/>
  <c r="K46" i="172"/>
  <c r="L46" i="172"/>
  <c r="M46" i="172"/>
  <c r="N46" i="172"/>
  <c r="O46" i="172"/>
  <c r="P46" i="172"/>
  <c r="Q46" i="172"/>
  <c r="R46" i="172"/>
  <c r="S46" i="172"/>
  <c r="T46" i="172"/>
  <c r="U46" i="172"/>
  <c r="W46" i="172"/>
  <c r="E47" i="172"/>
  <c r="F47" i="172"/>
  <c r="G47" i="172"/>
  <c r="H47" i="172"/>
  <c r="I47" i="172"/>
  <c r="J47" i="172"/>
  <c r="K47" i="172"/>
  <c r="L47" i="172"/>
  <c r="M47" i="172"/>
  <c r="N47" i="172"/>
  <c r="O47" i="172"/>
  <c r="P47" i="172"/>
  <c r="Q47" i="172"/>
  <c r="R47" i="172"/>
  <c r="S47" i="172"/>
  <c r="T47" i="172"/>
  <c r="U47" i="172"/>
  <c r="W47" i="172"/>
  <c r="E48" i="172"/>
  <c r="F48" i="172"/>
  <c r="G48" i="172"/>
  <c r="H48" i="172"/>
  <c r="I48" i="172"/>
  <c r="J48" i="172"/>
  <c r="K48" i="172"/>
  <c r="L48" i="172"/>
  <c r="M48" i="172"/>
  <c r="N48" i="172"/>
  <c r="O48" i="172"/>
  <c r="P48" i="172"/>
  <c r="Q48" i="172"/>
  <c r="R48" i="172"/>
  <c r="S48" i="172"/>
  <c r="T48" i="172"/>
  <c r="U48" i="172"/>
  <c r="W48" i="172"/>
  <c r="E49" i="172"/>
  <c r="F49" i="172"/>
  <c r="G49" i="172"/>
  <c r="H49" i="172"/>
  <c r="I49" i="172"/>
  <c r="J49" i="172"/>
  <c r="K49" i="172"/>
  <c r="L49" i="172"/>
  <c r="M49" i="172"/>
  <c r="N49" i="172"/>
  <c r="O49" i="172"/>
  <c r="P49" i="172"/>
  <c r="Q49" i="172"/>
  <c r="R49" i="172"/>
  <c r="S49" i="172"/>
  <c r="T49" i="172"/>
  <c r="U49" i="172"/>
  <c r="W49" i="172"/>
  <c r="E50" i="172"/>
  <c r="F50" i="172"/>
  <c r="G50" i="172"/>
  <c r="H50" i="172"/>
  <c r="I50" i="172"/>
  <c r="J50" i="172"/>
  <c r="K50" i="172"/>
  <c r="L50" i="172"/>
  <c r="M50" i="172"/>
  <c r="N50" i="172"/>
  <c r="O50" i="172"/>
  <c r="P50" i="172"/>
  <c r="Q50" i="172"/>
  <c r="R50" i="172"/>
  <c r="S50" i="172"/>
  <c r="T50" i="172"/>
  <c r="U50" i="172"/>
  <c r="W50" i="172"/>
  <c r="E51" i="172"/>
  <c r="F51" i="172"/>
  <c r="G51" i="172"/>
  <c r="H51" i="172"/>
  <c r="I51" i="172"/>
  <c r="J51" i="172"/>
  <c r="K51" i="172"/>
  <c r="L51" i="172"/>
  <c r="M51" i="172"/>
  <c r="N51" i="172"/>
  <c r="O51" i="172"/>
  <c r="P51" i="172"/>
  <c r="Q51" i="172"/>
  <c r="R51" i="172"/>
  <c r="S51" i="172"/>
  <c r="T51" i="172"/>
  <c r="U51" i="172"/>
  <c r="W51" i="172"/>
  <c r="E52" i="172"/>
  <c r="F52" i="172"/>
  <c r="G52" i="172"/>
  <c r="H52" i="172"/>
  <c r="I52" i="172"/>
  <c r="J52" i="172"/>
  <c r="K52" i="172"/>
  <c r="L52" i="172"/>
  <c r="M52" i="172"/>
  <c r="N52" i="172"/>
  <c r="O52" i="172"/>
  <c r="P52" i="172"/>
  <c r="Q52" i="172"/>
  <c r="R52" i="172"/>
  <c r="S52" i="172"/>
  <c r="T52" i="172"/>
  <c r="U52" i="172"/>
  <c r="W52" i="172"/>
  <c r="E53" i="172"/>
  <c r="F53" i="172"/>
  <c r="G53" i="172"/>
  <c r="H53" i="172"/>
  <c r="I53" i="172"/>
  <c r="J53" i="172"/>
  <c r="K53" i="172"/>
  <c r="L53" i="172"/>
  <c r="M53" i="172"/>
  <c r="N53" i="172"/>
  <c r="O53" i="172"/>
  <c r="P53" i="172"/>
  <c r="Q53" i="172"/>
  <c r="R53" i="172"/>
  <c r="S53" i="172"/>
  <c r="T53" i="172"/>
  <c r="U53" i="172"/>
  <c r="W53" i="172"/>
  <c r="E54" i="172"/>
  <c r="F54" i="172"/>
  <c r="G54" i="172"/>
  <c r="H54" i="172"/>
  <c r="I54" i="172"/>
  <c r="J54" i="172"/>
  <c r="K54" i="172"/>
  <c r="L54" i="172"/>
  <c r="M54" i="172"/>
  <c r="N54" i="172"/>
  <c r="O54" i="172"/>
  <c r="P54" i="172"/>
  <c r="Q54" i="172"/>
  <c r="R54" i="172"/>
  <c r="S54" i="172"/>
  <c r="T54" i="172"/>
  <c r="U54" i="172"/>
  <c r="W54" i="172"/>
  <c r="E55" i="172"/>
  <c r="F55" i="172"/>
  <c r="G55" i="172"/>
  <c r="H55" i="172"/>
  <c r="I55" i="172"/>
  <c r="J55" i="172"/>
  <c r="K55" i="172"/>
  <c r="L55" i="172"/>
  <c r="M55" i="172"/>
  <c r="N55" i="172"/>
  <c r="O55" i="172"/>
  <c r="P55" i="172"/>
  <c r="Q55" i="172"/>
  <c r="R55" i="172"/>
  <c r="S55" i="172"/>
  <c r="T55" i="172"/>
  <c r="U55" i="172"/>
  <c r="W55" i="172"/>
  <c r="E56" i="172"/>
  <c r="F56" i="172"/>
  <c r="G56" i="172"/>
  <c r="H56" i="172"/>
  <c r="I56" i="172"/>
  <c r="J56" i="172"/>
  <c r="K56" i="172"/>
  <c r="L56" i="172"/>
  <c r="M56" i="172"/>
  <c r="N56" i="172"/>
  <c r="O56" i="172"/>
  <c r="P56" i="172"/>
  <c r="Q56" i="172"/>
  <c r="R56" i="172"/>
  <c r="S56" i="172"/>
  <c r="T56" i="172"/>
  <c r="U56" i="172"/>
  <c r="W56" i="172"/>
  <c r="E57" i="172"/>
  <c r="F57" i="172"/>
  <c r="G57" i="172"/>
  <c r="H57" i="172"/>
  <c r="I57" i="172"/>
  <c r="J57" i="172"/>
  <c r="K57" i="172"/>
  <c r="L57" i="172"/>
  <c r="M57" i="172"/>
  <c r="N57" i="172"/>
  <c r="O57" i="172"/>
  <c r="P57" i="172"/>
  <c r="Q57" i="172"/>
  <c r="R57" i="172"/>
  <c r="S57" i="172"/>
  <c r="T57" i="172"/>
  <c r="U57" i="172"/>
  <c r="W57" i="172"/>
  <c r="E58" i="172"/>
  <c r="F58" i="172"/>
  <c r="G58" i="172"/>
  <c r="H58" i="172"/>
  <c r="I58" i="172"/>
  <c r="J58" i="172"/>
  <c r="K58" i="172"/>
  <c r="L58" i="172"/>
  <c r="M58" i="172"/>
  <c r="N58" i="172"/>
  <c r="O58" i="172"/>
  <c r="P58" i="172"/>
  <c r="Q58" i="172"/>
  <c r="R58" i="172"/>
  <c r="S58" i="172"/>
  <c r="T58" i="172"/>
  <c r="U58" i="172"/>
  <c r="W58" i="172"/>
  <c r="E59" i="172"/>
  <c r="F59" i="172"/>
  <c r="G59" i="172"/>
  <c r="H59" i="172"/>
  <c r="I59" i="172"/>
  <c r="J59" i="172"/>
  <c r="K59" i="172"/>
  <c r="L59" i="172"/>
  <c r="M59" i="172"/>
  <c r="N59" i="172"/>
  <c r="O59" i="172"/>
  <c r="P59" i="172"/>
  <c r="Q59" i="172"/>
  <c r="R59" i="172"/>
  <c r="S59" i="172"/>
  <c r="T59" i="172"/>
  <c r="U59" i="172"/>
  <c r="W59" i="172"/>
  <c r="E60" i="172"/>
  <c r="F60" i="172"/>
  <c r="G60" i="172"/>
  <c r="H60" i="172"/>
  <c r="I60" i="172"/>
  <c r="J60" i="172"/>
  <c r="K60" i="172"/>
  <c r="L60" i="172"/>
  <c r="M60" i="172"/>
  <c r="N60" i="172"/>
  <c r="O60" i="172"/>
  <c r="P60" i="172"/>
  <c r="Q60" i="172"/>
  <c r="R60" i="172"/>
  <c r="S60" i="172"/>
  <c r="T60" i="172"/>
  <c r="U60" i="172"/>
  <c r="W60" i="172"/>
  <c r="E61" i="172"/>
  <c r="F61" i="172"/>
  <c r="G61" i="172"/>
  <c r="H61" i="172"/>
  <c r="I61" i="172"/>
  <c r="J61" i="172"/>
  <c r="K61" i="172"/>
  <c r="L61" i="172"/>
  <c r="M61" i="172"/>
  <c r="N61" i="172"/>
  <c r="O61" i="172"/>
  <c r="P61" i="172"/>
  <c r="Q61" i="172"/>
  <c r="R61" i="172"/>
  <c r="S61" i="172"/>
  <c r="T61" i="172"/>
  <c r="U61" i="172"/>
  <c r="W61" i="172"/>
  <c r="E62" i="172"/>
  <c r="F62" i="172"/>
  <c r="G62" i="172"/>
  <c r="H62" i="172"/>
  <c r="I62" i="172"/>
  <c r="J62" i="172"/>
  <c r="K62" i="172"/>
  <c r="L62" i="172"/>
  <c r="M62" i="172"/>
  <c r="N62" i="172"/>
  <c r="O62" i="172"/>
  <c r="P62" i="172"/>
  <c r="Q62" i="172"/>
  <c r="R62" i="172"/>
  <c r="S62" i="172"/>
  <c r="T62" i="172"/>
  <c r="U62" i="172"/>
  <c r="W62" i="172"/>
  <c r="E63" i="172"/>
  <c r="F63" i="172"/>
  <c r="G63" i="172"/>
  <c r="H63" i="172"/>
  <c r="I63" i="172"/>
  <c r="J63" i="172"/>
  <c r="K63" i="172"/>
  <c r="L63" i="172"/>
  <c r="M63" i="172"/>
  <c r="N63" i="172"/>
  <c r="O63" i="172"/>
  <c r="P63" i="172"/>
  <c r="Q63" i="172"/>
  <c r="R63" i="172"/>
  <c r="S63" i="172"/>
  <c r="T63" i="172"/>
  <c r="U63" i="172"/>
  <c r="W63" i="172"/>
  <c r="E64" i="172"/>
  <c r="F64" i="172"/>
  <c r="G64" i="172"/>
  <c r="H64" i="172"/>
  <c r="I64" i="172"/>
  <c r="J64" i="172"/>
  <c r="K64" i="172"/>
  <c r="L64" i="172"/>
  <c r="M64" i="172"/>
  <c r="N64" i="172"/>
  <c r="O64" i="172"/>
  <c r="P64" i="172"/>
  <c r="Q64" i="172"/>
  <c r="R64" i="172"/>
  <c r="S64" i="172"/>
  <c r="T64" i="172"/>
  <c r="U64" i="172"/>
  <c r="W64" i="172"/>
  <c r="E65" i="172"/>
  <c r="F65" i="172"/>
  <c r="G65" i="172"/>
  <c r="H65" i="172"/>
  <c r="I65" i="172"/>
  <c r="J65" i="172"/>
  <c r="K65" i="172"/>
  <c r="L65" i="172"/>
  <c r="M65" i="172"/>
  <c r="N65" i="172"/>
  <c r="O65" i="172"/>
  <c r="P65" i="172"/>
  <c r="Q65" i="172"/>
  <c r="R65" i="172"/>
  <c r="S65" i="172"/>
  <c r="T65" i="172"/>
  <c r="U65" i="172"/>
  <c r="W65" i="172"/>
  <c r="E66" i="172"/>
  <c r="F66" i="172"/>
  <c r="G66" i="172"/>
  <c r="H66" i="172"/>
  <c r="I66" i="172"/>
  <c r="J66" i="172"/>
  <c r="K66" i="172"/>
  <c r="L66" i="172"/>
  <c r="M66" i="172"/>
  <c r="N66" i="172"/>
  <c r="O66" i="172"/>
  <c r="P66" i="172"/>
  <c r="Q66" i="172"/>
  <c r="R66" i="172"/>
  <c r="S66" i="172"/>
  <c r="T66" i="172"/>
  <c r="U66" i="172"/>
  <c r="W66" i="172"/>
  <c r="E67" i="172"/>
  <c r="F67" i="172"/>
  <c r="G67" i="172"/>
  <c r="H67" i="172"/>
  <c r="I67" i="172"/>
  <c r="J67" i="172"/>
  <c r="K67" i="172"/>
  <c r="L67" i="172"/>
  <c r="M67" i="172"/>
  <c r="N67" i="172"/>
  <c r="O67" i="172"/>
  <c r="P67" i="172"/>
  <c r="Q67" i="172"/>
  <c r="R67" i="172"/>
  <c r="S67" i="172"/>
  <c r="T67" i="172"/>
  <c r="U67" i="172"/>
  <c r="W67" i="172"/>
  <c r="E68" i="172"/>
  <c r="F68" i="172"/>
  <c r="G68" i="172"/>
  <c r="H68" i="172"/>
  <c r="I68" i="172"/>
  <c r="J68" i="172"/>
  <c r="K68" i="172"/>
  <c r="L68" i="172"/>
  <c r="M68" i="172"/>
  <c r="N68" i="172"/>
  <c r="O68" i="172"/>
  <c r="P68" i="172"/>
  <c r="Q68" i="172"/>
  <c r="R68" i="172"/>
  <c r="S68" i="172"/>
  <c r="T68" i="172"/>
  <c r="U68" i="172"/>
  <c r="W68" i="172"/>
  <c r="E69" i="172"/>
  <c r="F69" i="172"/>
  <c r="G69" i="172"/>
  <c r="H69" i="172"/>
  <c r="I69" i="172"/>
  <c r="J69" i="172"/>
  <c r="K69" i="172"/>
  <c r="L69" i="172"/>
  <c r="M69" i="172"/>
  <c r="N69" i="172"/>
  <c r="O69" i="172"/>
  <c r="P69" i="172"/>
  <c r="Q69" i="172"/>
  <c r="R69" i="172"/>
  <c r="S69" i="172"/>
  <c r="T69" i="172"/>
  <c r="U69" i="172"/>
  <c r="W69" i="172"/>
  <c r="E70" i="172"/>
  <c r="F70" i="172"/>
  <c r="G70" i="172"/>
  <c r="H70" i="172"/>
  <c r="I70" i="172"/>
  <c r="J70" i="172"/>
  <c r="K70" i="172"/>
  <c r="L70" i="172"/>
  <c r="M70" i="172"/>
  <c r="N70" i="172"/>
  <c r="O70" i="172"/>
  <c r="P70" i="172"/>
  <c r="Q70" i="172"/>
  <c r="R70" i="172"/>
  <c r="S70" i="172"/>
  <c r="T70" i="172"/>
  <c r="U70" i="172"/>
  <c r="W70" i="172"/>
  <c r="E71" i="172"/>
  <c r="F71" i="172"/>
  <c r="G71" i="172"/>
  <c r="H71" i="172"/>
  <c r="I71" i="172"/>
  <c r="J71" i="172"/>
  <c r="K71" i="172"/>
  <c r="L71" i="172"/>
  <c r="M71" i="172"/>
  <c r="N71" i="172"/>
  <c r="O71" i="172"/>
  <c r="P71" i="172"/>
  <c r="Q71" i="172"/>
  <c r="R71" i="172"/>
  <c r="S71" i="172"/>
  <c r="T71" i="172"/>
  <c r="U71" i="172"/>
  <c r="W71" i="172"/>
  <c r="E72" i="172"/>
  <c r="F72" i="172"/>
  <c r="G72" i="172"/>
  <c r="H72" i="172"/>
  <c r="I72" i="172"/>
  <c r="J72" i="172"/>
  <c r="K72" i="172"/>
  <c r="L72" i="172"/>
  <c r="M72" i="172"/>
  <c r="N72" i="172"/>
  <c r="O72" i="172"/>
  <c r="P72" i="172"/>
  <c r="Q72" i="172"/>
  <c r="R72" i="172"/>
  <c r="S72" i="172"/>
  <c r="T72" i="172"/>
  <c r="U72" i="172"/>
  <c r="W72" i="172"/>
  <c r="E73" i="172"/>
  <c r="F73" i="172"/>
  <c r="G73" i="172"/>
  <c r="H73" i="172"/>
  <c r="I73" i="172"/>
  <c r="J73" i="172"/>
  <c r="K73" i="172"/>
  <c r="L73" i="172"/>
  <c r="M73" i="172"/>
  <c r="N73" i="172"/>
  <c r="O73" i="172"/>
  <c r="P73" i="172"/>
  <c r="Q73" i="172"/>
  <c r="R73" i="172"/>
  <c r="S73" i="172"/>
  <c r="T73" i="172"/>
  <c r="U73" i="172"/>
  <c r="W73" i="172"/>
  <c r="E74" i="172"/>
  <c r="F74" i="172"/>
  <c r="G74" i="172"/>
  <c r="H74" i="172"/>
  <c r="I74" i="172"/>
  <c r="J74" i="172"/>
  <c r="K74" i="172"/>
  <c r="L74" i="172"/>
  <c r="M74" i="172"/>
  <c r="N74" i="172"/>
  <c r="O74" i="172"/>
  <c r="P74" i="172"/>
  <c r="Q74" i="172"/>
  <c r="R74" i="172"/>
  <c r="S74" i="172"/>
  <c r="T74" i="172"/>
  <c r="U74" i="172"/>
  <c r="W74" i="172"/>
  <c r="E75" i="172"/>
  <c r="F75" i="172"/>
  <c r="G75" i="172"/>
  <c r="H75" i="172"/>
  <c r="I75" i="172"/>
  <c r="J75" i="172"/>
  <c r="K75" i="172"/>
  <c r="L75" i="172"/>
  <c r="M75" i="172"/>
  <c r="N75" i="172"/>
  <c r="O75" i="172"/>
  <c r="P75" i="172"/>
  <c r="Q75" i="172"/>
  <c r="R75" i="172"/>
  <c r="S75" i="172"/>
  <c r="T75" i="172"/>
  <c r="U75" i="172"/>
  <c r="W75" i="172"/>
  <c r="E76" i="172"/>
  <c r="F76" i="172"/>
  <c r="G76" i="172"/>
  <c r="H76" i="172"/>
  <c r="I76" i="172"/>
  <c r="J76" i="172"/>
  <c r="K76" i="172"/>
  <c r="L76" i="172"/>
  <c r="M76" i="172"/>
  <c r="N76" i="172"/>
  <c r="O76" i="172"/>
  <c r="P76" i="172"/>
  <c r="Q76" i="172"/>
  <c r="R76" i="172"/>
  <c r="S76" i="172"/>
  <c r="T76" i="172"/>
  <c r="U76" i="172"/>
  <c r="W76" i="172"/>
  <c r="E77" i="172"/>
  <c r="F77" i="172"/>
  <c r="G77" i="172"/>
  <c r="H77" i="172"/>
  <c r="I77" i="172"/>
  <c r="J77" i="172"/>
  <c r="K77" i="172"/>
  <c r="L77" i="172"/>
  <c r="M77" i="172"/>
  <c r="N77" i="172"/>
  <c r="O77" i="172"/>
  <c r="P77" i="172"/>
  <c r="Q77" i="172"/>
  <c r="R77" i="172"/>
  <c r="S77" i="172"/>
  <c r="T77" i="172"/>
  <c r="U77" i="172"/>
  <c r="W77" i="172"/>
  <c r="E78" i="172"/>
  <c r="F78" i="172"/>
  <c r="G78" i="172"/>
  <c r="H78" i="172"/>
  <c r="I78" i="172"/>
  <c r="J78" i="172"/>
  <c r="K78" i="172"/>
  <c r="L78" i="172"/>
  <c r="M78" i="172"/>
  <c r="N78" i="172"/>
  <c r="O78" i="172"/>
  <c r="P78" i="172"/>
  <c r="Q78" i="172"/>
  <c r="R78" i="172"/>
  <c r="S78" i="172"/>
  <c r="T78" i="172"/>
  <c r="U78" i="172"/>
  <c r="W78" i="172"/>
  <c r="E79" i="172"/>
  <c r="F79" i="172"/>
  <c r="G79" i="172"/>
  <c r="H79" i="172"/>
  <c r="I79" i="172"/>
  <c r="J79" i="172"/>
  <c r="K79" i="172"/>
  <c r="L79" i="172"/>
  <c r="M79" i="172"/>
  <c r="N79" i="172"/>
  <c r="O79" i="172"/>
  <c r="P79" i="172"/>
  <c r="Q79" i="172"/>
  <c r="R79" i="172"/>
  <c r="S79" i="172"/>
  <c r="T79" i="172"/>
  <c r="U79" i="172"/>
  <c r="W79" i="172"/>
  <c r="E80" i="172"/>
  <c r="F80" i="172"/>
  <c r="G80" i="172"/>
  <c r="H80" i="172"/>
  <c r="I80" i="172"/>
  <c r="J80" i="172"/>
  <c r="K80" i="172"/>
  <c r="L80" i="172"/>
  <c r="M80" i="172"/>
  <c r="N80" i="172"/>
  <c r="O80" i="172"/>
  <c r="P80" i="172"/>
  <c r="Q80" i="172"/>
  <c r="R80" i="172"/>
  <c r="S80" i="172"/>
  <c r="T80" i="172"/>
  <c r="U80" i="172"/>
  <c r="W80" i="172"/>
  <c r="E81" i="172"/>
  <c r="F81" i="172"/>
  <c r="G81" i="172"/>
  <c r="H81" i="172"/>
  <c r="I81" i="172"/>
  <c r="J81" i="172"/>
  <c r="K81" i="172"/>
  <c r="L81" i="172"/>
  <c r="M81" i="172"/>
  <c r="N81" i="172"/>
  <c r="O81" i="172"/>
  <c r="P81" i="172"/>
  <c r="Q81" i="172"/>
  <c r="R81" i="172"/>
  <c r="S81" i="172"/>
  <c r="T81" i="172"/>
  <c r="U81" i="172"/>
  <c r="W81" i="172"/>
  <c r="E82" i="172"/>
  <c r="F82" i="172"/>
  <c r="G82" i="172"/>
  <c r="H82" i="172"/>
  <c r="I82" i="172"/>
  <c r="J82" i="172"/>
  <c r="K82" i="172"/>
  <c r="L82" i="172"/>
  <c r="M82" i="172"/>
  <c r="N82" i="172"/>
  <c r="O82" i="172"/>
  <c r="P82" i="172"/>
  <c r="Q82" i="172"/>
  <c r="R82" i="172"/>
  <c r="S82" i="172"/>
  <c r="T82" i="172"/>
  <c r="U82" i="172"/>
  <c r="W82" i="172"/>
  <c r="E83" i="172"/>
  <c r="F83" i="172"/>
  <c r="G83" i="172"/>
  <c r="H83" i="172"/>
  <c r="I83" i="172"/>
  <c r="J83" i="172"/>
  <c r="K83" i="172"/>
  <c r="L83" i="172"/>
  <c r="M83" i="172"/>
  <c r="N83" i="172"/>
  <c r="O83" i="172"/>
  <c r="P83" i="172"/>
  <c r="Q83" i="172"/>
  <c r="R83" i="172"/>
  <c r="S83" i="172"/>
  <c r="T83" i="172"/>
  <c r="U83" i="172"/>
  <c r="W83" i="172"/>
  <c r="E84" i="172"/>
  <c r="F84" i="172"/>
  <c r="G84" i="172"/>
  <c r="H84" i="172"/>
  <c r="I84" i="172"/>
  <c r="J84" i="172"/>
  <c r="K84" i="172"/>
  <c r="L84" i="172"/>
  <c r="M84" i="172"/>
  <c r="N84" i="172"/>
  <c r="O84" i="172"/>
  <c r="P84" i="172"/>
  <c r="Q84" i="172"/>
  <c r="R84" i="172"/>
  <c r="S84" i="172"/>
  <c r="T84" i="172"/>
  <c r="U84" i="172"/>
  <c r="W84" i="172"/>
  <c r="E85" i="172"/>
  <c r="F85" i="172"/>
  <c r="G85" i="172"/>
  <c r="H85" i="172"/>
  <c r="I85" i="172"/>
  <c r="J85" i="172"/>
  <c r="K85" i="172"/>
  <c r="L85" i="172"/>
  <c r="M85" i="172"/>
  <c r="N85" i="172"/>
  <c r="O85" i="172"/>
  <c r="P85" i="172"/>
  <c r="Q85" i="172"/>
  <c r="R85" i="172"/>
  <c r="S85" i="172"/>
  <c r="T85" i="172"/>
  <c r="U85" i="172"/>
  <c r="W85" i="172"/>
  <c r="E86" i="172"/>
  <c r="F86" i="172"/>
  <c r="G86" i="172"/>
  <c r="H86" i="172"/>
  <c r="I86" i="172"/>
  <c r="J86" i="172"/>
  <c r="K86" i="172"/>
  <c r="L86" i="172"/>
  <c r="M86" i="172"/>
  <c r="N86" i="172"/>
  <c r="O86" i="172"/>
  <c r="P86" i="172"/>
  <c r="Q86" i="172"/>
  <c r="R86" i="172"/>
  <c r="S86" i="172"/>
  <c r="T86" i="172"/>
  <c r="U86" i="172"/>
  <c r="W86" i="172"/>
  <c r="E87" i="172"/>
  <c r="F87" i="172"/>
  <c r="G87" i="172"/>
  <c r="H87" i="172"/>
  <c r="I87" i="172"/>
  <c r="J87" i="172"/>
  <c r="K87" i="172"/>
  <c r="L87" i="172"/>
  <c r="M87" i="172"/>
  <c r="N87" i="172"/>
  <c r="O87" i="172"/>
  <c r="P87" i="172"/>
  <c r="Q87" i="172"/>
  <c r="R87" i="172"/>
  <c r="S87" i="172"/>
  <c r="T87" i="172"/>
  <c r="U87" i="172"/>
  <c r="W87" i="172"/>
  <c r="E88" i="172"/>
  <c r="F88" i="172"/>
  <c r="G88" i="172"/>
  <c r="H88" i="172"/>
  <c r="I88" i="172"/>
  <c r="J88" i="172"/>
  <c r="K88" i="172"/>
  <c r="L88" i="172"/>
  <c r="M88" i="172"/>
  <c r="N88" i="172"/>
  <c r="O88" i="172"/>
  <c r="P88" i="172"/>
  <c r="Q88" i="172"/>
  <c r="R88" i="172"/>
  <c r="S88" i="172"/>
  <c r="T88" i="172"/>
  <c r="U88" i="172"/>
  <c r="W88" i="172"/>
  <c r="E89" i="172"/>
  <c r="F89" i="172"/>
  <c r="G89" i="172"/>
  <c r="H89" i="172"/>
  <c r="I89" i="172"/>
  <c r="J89" i="172"/>
  <c r="K89" i="172"/>
  <c r="L89" i="172"/>
  <c r="M89" i="172"/>
  <c r="N89" i="172"/>
  <c r="O89" i="172"/>
  <c r="P89" i="172"/>
  <c r="Q89" i="172"/>
  <c r="R89" i="172"/>
  <c r="S89" i="172"/>
  <c r="T89" i="172"/>
  <c r="U89" i="172"/>
  <c r="W89" i="172"/>
  <c r="E90" i="172"/>
  <c r="F90" i="172"/>
  <c r="G90" i="172"/>
  <c r="H90" i="172"/>
  <c r="I90" i="172"/>
  <c r="J90" i="172"/>
  <c r="K90" i="172"/>
  <c r="L90" i="172"/>
  <c r="M90" i="172"/>
  <c r="N90" i="172"/>
  <c r="O90" i="172"/>
  <c r="P90" i="172"/>
  <c r="Q90" i="172"/>
  <c r="R90" i="172"/>
  <c r="S90" i="172"/>
  <c r="T90" i="172"/>
  <c r="U90" i="172"/>
  <c r="W90" i="172"/>
  <c r="E91" i="172"/>
  <c r="F91" i="172"/>
  <c r="G91" i="172"/>
  <c r="H91" i="172"/>
  <c r="I91" i="172"/>
  <c r="J91" i="172"/>
  <c r="K91" i="172"/>
  <c r="L91" i="172"/>
  <c r="M91" i="172"/>
  <c r="N91" i="172"/>
  <c r="O91" i="172"/>
  <c r="P91" i="172"/>
  <c r="Q91" i="172"/>
  <c r="R91" i="172"/>
  <c r="S91" i="172"/>
  <c r="T91" i="172"/>
  <c r="U91" i="172"/>
  <c r="W91" i="172"/>
  <c r="E92" i="172"/>
  <c r="F92" i="172"/>
  <c r="G92" i="172"/>
  <c r="H92" i="172"/>
  <c r="I92" i="172"/>
  <c r="J92" i="172"/>
  <c r="K92" i="172"/>
  <c r="L92" i="172"/>
  <c r="M92" i="172"/>
  <c r="N92" i="172"/>
  <c r="O92" i="172"/>
  <c r="P92" i="172"/>
  <c r="Q92" i="172"/>
  <c r="R92" i="172"/>
  <c r="S92" i="172"/>
  <c r="T92" i="172"/>
  <c r="U92" i="172"/>
  <c r="W92" i="172"/>
  <c r="E93" i="172"/>
  <c r="F93" i="172"/>
  <c r="G93" i="172"/>
  <c r="H93" i="172"/>
  <c r="I93" i="172"/>
  <c r="J93" i="172"/>
  <c r="K93" i="172"/>
  <c r="L93" i="172"/>
  <c r="M93" i="172"/>
  <c r="N93" i="172"/>
  <c r="O93" i="172"/>
  <c r="P93" i="172"/>
  <c r="Q93" i="172"/>
  <c r="R93" i="172"/>
  <c r="S93" i="172"/>
  <c r="T93" i="172"/>
  <c r="U93" i="172"/>
  <c r="W93" i="172"/>
  <c r="E94" i="172"/>
  <c r="F94" i="172"/>
  <c r="G94" i="172"/>
  <c r="H94" i="172"/>
  <c r="I94" i="172"/>
  <c r="J94" i="172"/>
  <c r="K94" i="172"/>
  <c r="L94" i="172"/>
  <c r="M94" i="172"/>
  <c r="N94" i="172"/>
  <c r="O94" i="172"/>
  <c r="P94" i="172"/>
  <c r="Q94" i="172"/>
  <c r="R94" i="172"/>
  <c r="S94" i="172"/>
  <c r="T94" i="172"/>
  <c r="U94" i="172"/>
  <c r="W94" i="172"/>
  <c r="E95" i="172"/>
  <c r="F95" i="172"/>
  <c r="G95" i="172"/>
  <c r="H95" i="172"/>
  <c r="I95" i="172"/>
  <c r="J95" i="172"/>
  <c r="K95" i="172"/>
  <c r="L95" i="172"/>
  <c r="M95" i="172"/>
  <c r="N95" i="172"/>
  <c r="O95" i="172"/>
  <c r="P95" i="172"/>
  <c r="Q95" i="172"/>
  <c r="R95" i="172"/>
  <c r="S95" i="172"/>
  <c r="T95" i="172"/>
  <c r="U95" i="172"/>
  <c r="W95" i="172"/>
  <c r="E96" i="172"/>
  <c r="F96" i="172"/>
  <c r="G96" i="172"/>
  <c r="H96" i="172"/>
  <c r="I96" i="172"/>
  <c r="J96" i="172"/>
  <c r="K96" i="172"/>
  <c r="L96" i="172"/>
  <c r="M96" i="172"/>
  <c r="N96" i="172"/>
  <c r="O96" i="172"/>
  <c r="P96" i="172"/>
  <c r="Q96" i="172"/>
  <c r="R96" i="172"/>
  <c r="S96" i="172"/>
  <c r="T96" i="172"/>
  <c r="U96" i="172"/>
  <c r="W96" i="172"/>
  <c r="E97" i="172"/>
  <c r="F97" i="172"/>
  <c r="G97" i="172"/>
  <c r="H97" i="172"/>
  <c r="I97" i="172"/>
  <c r="J97" i="172"/>
  <c r="K97" i="172"/>
  <c r="L97" i="172"/>
  <c r="M97" i="172"/>
  <c r="N97" i="172"/>
  <c r="O97" i="172"/>
  <c r="P97" i="172"/>
  <c r="Q97" i="172"/>
  <c r="R97" i="172"/>
  <c r="S97" i="172"/>
  <c r="T97" i="172"/>
  <c r="U97" i="172"/>
  <c r="W97" i="172"/>
  <c r="E98" i="172"/>
  <c r="F98" i="172"/>
  <c r="G98" i="172"/>
  <c r="H98" i="172"/>
  <c r="I98" i="172"/>
  <c r="J98" i="172"/>
  <c r="K98" i="172"/>
  <c r="L98" i="172"/>
  <c r="M98" i="172"/>
  <c r="N98" i="172"/>
  <c r="O98" i="172"/>
  <c r="P98" i="172"/>
  <c r="Q98" i="172"/>
  <c r="R98" i="172"/>
  <c r="S98" i="172"/>
  <c r="T98" i="172"/>
  <c r="U98" i="172"/>
  <c r="W98" i="172"/>
  <c r="E99" i="172"/>
  <c r="F99" i="172"/>
  <c r="G99" i="172"/>
  <c r="H99" i="172"/>
  <c r="I99" i="172"/>
  <c r="J99" i="172"/>
  <c r="K99" i="172"/>
  <c r="L99" i="172"/>
  <c r="M99" i="172"/>
  <c r="N99" i="172"/>
  <c r="O99" i="172"/>
  <c r="P99" i="172"/>
  <c r="Q99" i="172"/>
  <c r="R99" i="172"/>
  <c r="S99" i="172"/>
  <c r="T99" i="172"/>
  <c r="U99" i="172"/>
  <c r="W99" i="172"/>
  <c r="E100" i="172"/>
  <c r="F100" i="172"/>
  <c r="G100" i="172"/>
  <c r="H100" i="172"/>
  <c r="I100" i="172"/>
  <c r="J100" i="172"/>
  <c r="K100" i="172"/>
  <c r="L100" i="172"/>
  <c r="M100" i="172"/>
  <c r="N100" i="172"/>
  <c r="O100" i="172"/>
  <c r="P100" i="172"/>
  <c r="Q100" i="172"/>
  <c r="R100" i="172"/>
  <c r="S100" i="172"/>
  <c r="T100" i="172"/>
  <c r="U100" i="172"/>
  <c r="W100" i="172"/>
  <c r="E101" i="172"/>
  <c r="F101" i="172"/>
  <c r="G101" i="172"/>
  <c r="H101" i="172"/>
  <c r="I101" i="172"/>
  <c r="J101" i="172"/>
  <c r="K101" i="172"/>
  <c r="L101" i="172"/>
  <c r="M101" i="172"/>
  <c r="N101" i="172"/>
  <c r="O101" i="172"/>
  <c r="P101" i="172"/>
  <c r="Q101" i="172"/>
  <c r="R101" i="172"/>
  <c r="S101" i="172"/>
  <c r="T101" i="172"/>
  <c r="U101" i="172"/>
  <c r="W101" i="172"/>
  <c r="E102" i="172"/>
  <c r="F102" i="172"/>
  <c r="G102" i="172"/>
  <c r="H102" i="172"/>
  <c r="I102" i="172"/>
  <c r="J102" i="172"/>
  <c r="K102" i="172"/>
  <c r="L102" i="172"/>
  <c r="M102" i="172"/>
  <c r="N102" i="172"/>
  <c r="O102" i="172"/>
  <c r="P102" i="172"/>
  <c r="Q102" i="172"/>
  <c r="R102" i="172"/>
  <c r="S102" i="172"/>
  <c r="T102" i="172"/>
  <c r="U102" i="172"/>
  <c r="W102" i="172"/>
  <c r="E103" i="172"/>
  <c r="F103" i="172"/>
  <c r="G103" i="172"/>
  <c r="H103" i="172"/>
  <c r="I103" i="172"/>
  <c r="J103" i="172"/>
  <c r="K103" i="172"/>
  <c r="L103" i="172"/>
  <c r="M103" i="172"/>
  <c r="N103" i="172"/>
  <c r="O103" i="172"/>
  <c r="P103" i="172"/>
  <c r="Q103" i="172"/>
  <c r="R103" i="172"/>
  <c r="S103" i="172"/>
  <c r="T103" i="172"/>
  <c r="U103" i="172"/>
  <c r="W103" i="172"/>
  <c r="E104" i="172"/>
  <c r="F104" i="172"/>
  <c r="G104" i="172"/>
  <c r="H104" i="172"/>
  <c r="I104" i="172"/>
  <c r="J104" i="172"/>
  <c r="K104" i="172"/>
  <c r="L104" i="172"/>
  <c r="M104" i="172"/>
  <c r="N104" i="172"/>
  <c r="O104" i="172"/>
  <c r="P104" i="172"/>
  <c r="Q104" i="172"/>
  <c r="R104" i="172"/>
  <c r="S104" i="172"/>
  <c r="T104" i="172"/>
  <c r="U104" i="172"/>
  <c r="W104" i="172"/>
  <c r="E105" i="172"/>
  <c r="F105" i="172"/>
  <c r="G105" i="172"/>
  <c r="H105" i="172"/>
  <c r="I105" i="172"/>
  <c r="J105" i="172"/>
  <c r="K105" i="172"/>
  <c r="L105" i="172"/>
  <c r="M105" i="172"/>
  <c r="N105" i="172"/>
  <c r="O105" i="172"/>
  <c r="P105" i="172"/>
  <c r="Q105" i="172"/>
  <c r="R105" i="172"/>
  <c r="S105" i="172"/>
  <c r="T105" i="172"/>
  <c r="U105" i="172"/>
  <c r="W105" i="172"/>
  <c r="E106" i="172"/>
  <c r="F106" i="172"/>
  <c r="G106" i="172"/>
  <c r="H106" i="172"/>
  <c r="I106" i="172"/>
  <c r="J106" i="172"/>
  <c r="K106" i="172"/>
  <c r="L106" i="172"/>
  <c r="M106" i="172"/>
  <c r="N106" i="172"/>
  <c r="O106" i="172"/>
  <c r="P106" i="172"/>
  <c r="Q106" i="172"/>
  <c r="R106" i="172"/>
  <c r="S106" i="172"/>
  <c r="T106" i="172"/>
  <c r="U106" i="172"/>
  <c r="W106" i="172"/>
  <c r="E107" i="172"/>
  <c r="F107" i="172"/>
  <c r="G107" i="172"/>
  <c r="H107" i="172"/>
  <c r="I107" i="172"/>
  <c r="J107" i="172"/>
  <c r="K107" i="172"/>
  <c r="L107" i="172"/>
  <c r="M107" i="172"/>
  <c r="N107" i="172"/>
  <c r="O107" i="172"/>
  <c r="P107" i="172"/>
  <c r="Q107" i="172"/>
  <c r="R107" i="172"/>
  <c r="S107" i="172"/>
  <c r="T107" i="172"/>
  <c r="U107" i="172"/>
  <c r="W107" i="172"/>
  <c r="W12" i="172"/>
  <c r="F12" i="172"/>
  <c r="G12" i="172"/>
  <c r="H12" i="172"/>
  <c r="I12" i="172"/>
  <c r="J12" i="172"/>
  <c r="K12" i="172"/>
  <c r="L12" i="172"/>
  <c r="M12" i="172"/>
  <c r="N12" i="172"/>
  <c r="O12" i="172"/>
  <c r="P12" i="172"/>
  <c r="Q12" i="172"/>
  <c r="R12" i="172"/>
  <c r="S12" i="172"/>
  <c r="T12" i="172"/>
  <c r="U12" i="172"/>
  <c r="E12" i="172"/>
  <c r="C92" i="172"/>
  <c r="C84" i="172"/>
  <c r="C76" i="172"/>
  <c r="C68" i="172"/>
  <c r="C60" i="172"/>
  <c r="C52" i="172"/>
  <c r="C44" i="172"/>
  <c r="C36" i="172"/>
  <c r="C28" i="172"/>
  <c r="C20" i="172"/>
  <c r="C12" i="172"/>
  <c r="B8" i="172"/>
  <c r="D2" i="172"/>
  <c r="D3" i="172"/>
  <c r="E13" i="171"/>
  <c r="F13" i="171"/>
  <c r="G13" i="171"/>
  <c r="H13" i="171"/>
  <c r="I13" i="171"/>
  <c r="J13" i="171"/>
  <c r="K13" i="171"/>
  <c r="L13" i="171"/>
  <c r="M13" i="171"/>
  <c r="N13" i="171"/>
  <c r="O13" i="171"/>
  <c r="P13" i="171"/>
  <c r="Q13" i="171"/>
  <c r="R13" i="171"/>
  <c r="S13" i="171"/>
  <c r="T13" i="171"/>
  <c r="U13" i="171"/>
  <c r="W13" i="171"/>
  <c r="E14" i="171"/>
  <c r="F14" i="171"/>
  <c r="G14" i="171"/>
  <c r="H14" i="171"/>
  <c r="I14" i="171"/>
  <c r="J14" i="171"/>
  <c r="K14" i="171"/>
  <c r="L14" i="171"/>
  <c r="M14" i="171"/>
  <c r="N14" i="171"/>
  <c r="O14" i="171"/>
  <c r="P14" i="171"/>
  <c r="Q14" i="171"/>
  <c r="R14" i="171"/>
  <c r="S14" i="171"/>
  <c r="T14" i="171"/>
  <c r="U14" i="171"/>
  <c r="W14" i="171"/>
  <c r="E15" i="171"/>
  <c r="F15" i="171"/>
  <c r="G15" i="171"/>
  <c r="H15" i="171"/>
  <c r="I15" i="171"/>
  <c r="J15" i="171"/>
  <c r="K15" i="171"/>
  <c r="L15" i="171"/>
  <c r="M15" i="171"/>
  <c r="N15" i="171"/>
  <c r="O15" i="171"/>
  <c r="P15" i="171"/>
  <c r="Q15" i="171"/>
  <c r="R15" i="171"/>
  <c r="S15" i="171"/>
  <c r="T15" i="171"/>
  <c r="U15" i="171"/>
  <c r="W15" i="171"/>
  <c r="E16" i="171"/>
  <c r="F16" i="171"/>
  <c r="G16" i="171"/>
  <c r="H16" i="171"/>
  <c r="I16" i="171"/>
  <c r="J16" i="171"/>
  <c r="K16" i="171"/>
  <c r="L16" i="171"/>
  <c r="M16" i="171"/>
  <c r="N16" i="171"/>
  <c r="O16" i="171"/>
  <c r="P16" i="171"/>
  <c r="Q16" i="171"/>
  <c r="R16" i="171"/>
  <c r="S16" i="171"/>
  <c r="T16" i="171"/>
  <c r="U16" i="171"/>
  <c r="W16" i="171"/>
  <c r="E17" i="171"/>
  <c r="F17" i="171"/>
  <c r="G17" i="171"/>
  <c r="H17" i="171"/>
  <c r="I17" i="171"/>
  <c r="J17" i="171"/>
  <c r="K17" i="171"/>
  <c r="L17" i="171"/>
  <c r="M17" i="171"/>
  <c r="N17" i="171"/>
  <c r="O17" i="171"/>
  <c r="P17" i="171"/>
  <c r="Q17" i="171"/>
  <c r="R17" i="171"/>
  <c r="S17" i="171"/>
  <c r="T17" i="171"/>
  <c r="U17" i="171"/>
  <c r="W17" i="171"/>
  <c r="E18" i="171"/>
  <c r="F18" i="171"/>
  <c r="G18" i="171"/>
  <c r="H18" i="171"/>
  <c r="I18" i="171"/>
  <c r="J18" i="171"/>
  <c r="K18" i="171"/>
  <c r="L18" i="171"/>
  <c r="M18" i="171"/>
  <c r="N18" i="171"/>
  <c r="O18" i="171"/>
  <c r="P18" i="171"/>
  <c r="Q18" i="171"/>
  <c r="R18" i="171"/>
  <c r="S18" i="171"/>
  <c r="T18" i="171"/>
  <c r="U18" i="171"/>
  <c r="W18" i="171"/>
  <c r="E19" i="171"/>
  <c r="F19" i="171"/>
  <c r="G19" i="171"/>
  <c r="H19" i="171"/>
  <c r="I19" i="171"/>
  <c r="J19" i="171"/>
  <c r="K19" i="171"/>
  <c r="L19" i="171"/>
  <c r="M19" i="171"/>
  <c r="N19" i="171"/>
  <c r="O19" i="171"/>
  <c r="P19" i="171"/>
  <c r="Q19" i="171"/>
  <c r="R19" i="171"/>
  <c r="S19" i="171"/>
  <c r="T19" i="171"/>
  <c r="U19" i="171"/>
  <c r="W19" i="171"/>
  <c r="E20" i="171"/>
  <c r="F20" i="171"/>
  <c r="G20" i="171"/>
  <c r="H20" i="171"/>
  <c r="I20" i="171"/>
  <c r="J20" i="171"/>
  <c r="K20" i="171"/>
  <c r="L20" i="171"/>
  <c r="M20" i="171"/>
  <c r="N20" i="171"/>
  <c r="O20" i="171"/>
  <c r="P20" i="171"/>
  <c r="Q20" i="171"/>
  <c r="R20" i="171"/>
  <c r="S20" i="171"/>
  <c r="T20" i="171"/>
  <c r="U20" i="171"/>
  <c r="W20" i="171"/>
  <c r="X20" i="171" s="1"/>
  <c r="E21" i="171"/>
  <c r="F21" i="171"/>
  <c r="G21" i="171"/>
  <c r="H21" i="171"/>
  <c r="I21" i="171"/>
  <c r="J21" i="171"/>
  <c r="K21" i="171"/>
  <c r="L21" i="171"/>
  <c r="M21" i="171"/>
  <c r="N21" i="171"/>
  <c r="O21" i="171"/>
  <c r="P21" i="171"/>
  <c r="Q21" i="171"/>
  <c r="R21" i="171"/>
  <c r="S21" i="171"/>
  <c r="T21" i="171"/>
  <c r="U21" i="171"/>
  <c r="W21" i="171"/>
  <c r="E22" i="171"/>
  <c r="F22" i="171"/>
  <c r="G22" i="171"/>
  <c r="H22" i="171"/>
  <c r="I22" i="171"/>
  <c r="J22" i="171"/>
  <c r="K22" i="171"/>
  <c r="L22" i="171"/>
  <c r="M22" i="171"/>
  <c r="N22" i="171"/>
  <c r="O22" i="171"/>
  <c r="P22" i="171"/>
  <c r="Q22" i="171"/>
  <c r="R22" i="171"/>
  <c r="S22" i="171"/>
  <c r="T22" i="171"/>
  <c r="U22" i="171"/>
  <c r="W22" i="171"/>
  <c r="E23" i="171"/>
  <c r="F23" i="171"/>
  <c r="G23" i="171"/>
  <c r="H23" i="171"/>
  <c r="I23" i="171"/>
  <c r="J23" i="171"/>
  <c r="K23" i="171"/>
  <c r="L23" i="171"/>
  <c r="M23" i="171"/>
  <c r="N23" i="171"/>
  <c r="O23" i="171"/>
  <c r="P23" i="171"/>
  <c r="Q23" i="171"/>
  <c r="R23" i="171"/>
  <c r="S23" i="171"/>
  <c r="T23" i="171"/>
  <c r="U23" i="171"/>
  <c r="W23" i="171"/>
  <c r="E24" i="171"/>
  <c r="F24" i="171"/>
  <c r="G24" i="171"/>
  <c r="H24" i="171"/>
  <c r="I24" i="171"/>
  <c r="J24" i="171"/>
  <c r="K24" i="171"/>
  <c r="L24" i="171"/>
  <c r="M24" i="171"/>
  <c r="N24" i="171"/>
  <c r="O24" i="171"/>
  <c r="P24" i="171"/>
  <c r="Q24" i="171"/>
  <c r="R24" i="171"/>
  <c r="S24" i="171"/>
  <c r="T24" i="171"/>
  <c r="U24" i="171"/>
  <c r="W24" i="171"/>
  <c r="E25" i="171"/>
  <c r="F25" i="171"/>
  <c r="G25" i="171"/>
  <c r="H25" i="171"/>
  <c r="I25" i="171"/>
  <c r="J25" i="171"/>
  <c r="K25" i="171"/>
  <c r="L25" i="171"/>
  <c r="M25" i="171"/>
  <c r="N25" i="171"/>
  <c r="O25" i="171"/>
  <c r="P25" i="171"/>
  <c r="Q25" i="171"/>
  <c r="R25" i="171"/>
  <c r="S25" i="171"/>
  <c r="T25" i="171"/>
  <c r="U25" i="171"/>
  <c r="W25" i="171"/>
  <c r="E26" i="171"/>
  <c r="F26" i="171"/>
  <c r="G26" i="171"/>
  <c r="H26" i="171"/>
  <c r="I26" i="171"/>
  <c r="J26" i="171"/>
  <c r="K26" i="171"/>
  <c r="L26" i="171"/>
  <c r="M26" i="171"/>
  <c r="N26" i="171"/>
  <c r="O26" i="171"/>
  <c r="P26" i="171"/>
  <c r="Q26" i="171"/>
  <c r="R26" i="171"/>
  <c r="S26" i="171"/>
  <c r="T26" i="171"/>
  <c r="U26" i="171"/>
  <c r="W26" i="171"/>
  <c r="E27" i="171"/>
  <c r="F27" i="171"/>
  <c r="G27" i="171"/>
  <c r="H27" i="171"/>
  <c r="I27" i="171"/>
  <c r="J27" i="171"/>
  <c r="K27" i="171"/>
  <c r="L27" i="171"/>
  <c r="M27" i="171"/>
  <c r="N27" i="171"/>
  <c r="O27" i="171"/>
  <c r="P27" i="171"/>
  <c r="Q27" i="171"/>
  <c r="R27" i="171"/>
  <c r="S27" i="171"/>
  <c r="T27" i="171"/>
  <c r="U27" i="171"/>
  <c r="W27" i="171"/>
  <c r="W12" i="171"/>
  <c r="F12" i="171"/>
  <c r="G12" i="171"/>
  <c r="H12" i="171"/>
  <c r="I12" i="171"/>
  <c r="J12" i="171"/>
  <c r="K12" i="171"/>
  <c r="L12" i="171"/>
  <c r="M12" i="171"/>
  <c r="N12" i="171"/>
  <c r="O12" i="171"/>
  <c r="P12" i="171"/>
  <c r="Q12" i="171"/>
  <c r="R12" i="171"/>
  <c r="S12" i="171"/>
  <c r="T12" i="171"/>
  <c r="U12" i="171"/>
  <c r="E12" i="171"/>
  <c r="C12" i="171"/>
  <c r="B8" i="171"/>
  <c r="D3" i="171"/>
  <c r="D2" i="171"/>
  <c r="E13" i="170"/>
  <c r="F13" i="170"/>
  <c r="G13" i="170"/>
  <c r="H13" i="170"/>
  <c r="I13" i="170"/>
  <c r="J13" i="170"/>
  <c r="K13" i="170"/>
  <c r="L13" i="170"/>
  <c r="M13" i="170"/>
  <c r="N13" i="170"/>
  <c r="O13" i="170"/>
  <c r="P13" i="170"/>
  <c r="Q13" i="170"/>
  <c r="R13" i="170"/>
  <c r="S13" i="170"/>
  <c r="T13" i="170"/>
  <c r="U13" i="170"/>
  <c r="W13" i="170"/>
  <c r="E14" i="170"/>
  <c r="F14" i="170"/>
  <c r="G14" i="170"/>
  <c r="H14" i="170"/>
  <c r="I14" i="170"/>
  <c r="J14" i="170"/>
  <c r="K14" i="170"/>
  <c r="L14" i="170"/>
  <c r="M14" i="170"/>
  <c r="N14" i="170"/>
  <c r="O14" i="170"/>
  <c r="P14" i="170"/>
  <c r="Q14" i="170"/>
  <c r="R14" i="170"/>
  <c r="S14" i="170"/>
  <c r="T14" i="170"/>
  <c r="U14" i="170"/>
  <c r="W14" i="170"/>
  <c r="E15" i="170"/>
  <c r="F15" i="170"/>
  <c r="G15" i="170"/>
  <c r="H15" i="170"/>
  <c r="I15" i="170"/>
  <c r="J15" i="170"/>
  <c r="K15" i="170"/>
  <c r="L15" i="170"/>
  <c r="M15" i="170"/>
  <c r="N15" i="170"/>
  <c r="O15" i="170"/>
  <c r="P15" i="170"/>
  <c r="Q15" i="170"/>
  <c r="R15" i="170"/>
  <c r="S15" i="170"/>
  <c r="T15" i="170"/>
  <c r="U15" i="170"/>
  <c r="W15" i="170"/>
  <c r="E16" i="170"/>
  <c r="F16" i="170"/>
  <c r="G16" i="170"/>
  <c r="H16" i="170"/>
  <c r="I16" i="170"/>
  <c r="J16" i="170"/>
  <c r="K16" i="170"/>
  <c r="L16" i="170"/>
  <c r="M16" i="170"/>
  <c r="N16" i="170"/>
  <c r="O16" i="170"/>
  <c r="P16" i="170"/>
  <c r="Q16" i="170"/>
  <c r="R16" i="170"/>
  <c r="S16" i="170"/>
  <c r="T16" i="170"/>
  <c r="U16" i="170"/>
  <c r="W16" i="170"/>
  <c r="E17" i="170"/>
  <c r="F17" i="170"/>
  <c r="G17" i="170"/>
  <c r="H17" i="170"/>
  <c r="I17" i="170"/>
  <c r="J17" i="170"/>
  <c r="K17" i="170"/>
  <c r="L17" i="170"/>
  <c r="M17" i="170"/>
  <c r="N17" i="170"/>
  <c r="O17" i="170"/>
  <c r="P17" i="170"/>
  <c r="Q17" i="170"/>
  <c r="R17" i="170"/>
  <c r="S17" i="170"/>
  <c r="T17" i="170"/>
  <c r="U17" i="170"/>
  <c r="W17" i="170"/>
  <c r="E18" i="170"/>
  <c r="F18" i="170"/>
  <c r="G18" i="170"/>
  <c r="H18" i="170"/>
  <c r="I18" i="170"/>
  <c r="J18" i="170"/>
  <c r="K18" i="170"/>
  <c r="L18" i="170"/>
  <c r="M18" i="170"/>
  <c r="N18" i="170"/>
  <c r="O18" i="170"/>
  <c r="P18" i="170"/>
  <c r="Q18" i="170"/>
  <c r="R18" i="170"/>
  <c r="S18" i="170"/>
  <c r="T18" i="170"/>
  <c r="U18" i="170"/>
  <c r="W18" i="170"/>
  <c r="E19" i="170"/>
  <c r="F19" i="170"/>
  <c r="G19" i="170"/>
  <c r="H19" i="170"/>
  <c r="I19" i="170"/>
  <c r="J19" i="170"/>
  <c r="K19" i="170"/>
  <c r="L19" i="170"/>
  <c r="M19" i="170"/>
  <c r="N19" i="170"/>
  <c r="O19" i="170"/>
  <c r="P19" i="170"/>
  <c r="Q19" i="170"/>
  <c r="R19" i="170"/>
  <c r="S19" i="170"/>
  <c r="T19" i="170"/>
  <c r="U19" i="170"/>
  <c r="W19" i="170"/>
  <c r="E20" i="170"/>
  <c r="F20" i="170"/>
  <c r="G20" i="170"/>
  <c r="H20" i="170"/>
  <c r="I20" i="170"/>
  <c r="J20" i="170"/>
  <c r="K20" i="170"/>
  <c r="L20" i="170"/>
  <c r="M20" i="170"/>
  <c r="N20" i="170"/>
  <c r="O20" i="170"/>
  <c r="P20" i="170"/>
  <c r="Q20" i="170"/>
  <c r="R20" i="170"/>
  <c r="S20" i="170"/>
  <c r="T20" i="170"/>
  <c r="U20" i="170"/>
  <c r="W20" i="170"/>
  <c r="X20" i="170" s="1"/>
  <c r="E21" i="170"/>
  <c r="F21" i="170"/>
  <c r="G21" i="170"/>
  <c r="H21" i="170"/>
  <c r="I21" i="170"/>
  <c r="J21" i="170"/>
  <c r="K21" i="170"/>
  <c r="L21" i="170"/>
  <c r="M21" i="170"/>
  <c r="N21" i="170"/>
  <c r="O21" i="170"/>
  <c r="P21" i="170"/>
  <c r="Q21" i="170"/>
  <c r="R21" i="170"/>
  <c r="S21" i="170"/>
  <c r="T21" i="170"/>
  <c r="U21" i="170"/>
  <c r="W21" i="170"/>
  <c r="E22" i="170"/>
  <c r="F22" i="170"/>
  <c r="G22" i="170"/>
  <c r="H22" i="170"/>
  <c r="I22" i="170"/>
  <c r="J22" i="170"/>
  <c r="K22" i="170"/>
  <c r="L22" i="170"/>
  <c r="M22" i="170"/>
  <c r="N22" i="170"/>
  <c r="O22" i="170"/>
  <c r="P22" i="170"/>
  <c r="Q22" i="170"/>
  <c r="R22" i="170"/>
  <c r="S22" i="170"/>
  <c r="T22" i="170"/>
  <c r="U22" i="170"/>
  <c r="W22" i="170"/>
  <c r="E23" i="170"/>
  <c r="F23" i="170"/>
  <c r="G23" i="170"/>
  <c r="H23" i="170"/>
  <c r="I23" i="170"/>
  <c r="J23" i="170"/>
  <c r="K23" i="170"/>
  <c r="L23" i="170"/>
  <c r="M23" i="170"/>
  <c r="N23" i="170"/>
  <c r="O23" i="170"/>
  <c r="P23" i="170"/>
  <c r="Q23" i="170"/>
  <c r="R23" i="170"/>
  <c r="S23" i="170"/>
  <c r="T23" i="170"/>
  <c r="U23" i="170"/>
  <c r="W23" i="170"/>
  <c r="E24" i="170"/>
  <c r="F24" i="170"/>
  <c r="G24" i="170"/>
  <c r="H24" i="170"/>
  <c r="I24" i="170"/>
  <c r="J24" i="170"/>
  <c r="K24" i="170"/>
  <c r="L24" i="170"/>
  <c r="M24" i="170"/>
  <c r="N24" i="170"/>
  <c r="O24" i="170"/>
  <c r="P24" i="170"/>
  <c r="Q24" i="170"/>
  <c r="R24" i="170"/>
  <c r="S24" i="170"/>
  <c r="T24" i="170"/>
  <c r="U24" i="170"/>
  <c r="W24" i="170"/>
  <c r="E25" i="170"/>
  <c r="F25" i="170"/>
  <c r="G25" i="170"/>
  <c r="H25" i="170"/>
  <c r="I25" i="170"/>
  <c r="J25" i="170"/>
  <c r="K25" i="170"/>
  <c r="L25" i="170"/>
  <c r="M25" i="170"/>
  <c r="N25" i="170"/>
  <c r="O25" i="170"/>
  <c r="P25" i="170"/>
  <c r="Q25" i="170"/>
  <c r="R25" i="170"/>
  <c r="S25" i="170"/>
  <c r="T25" i="170"/>
  <c r="U25" i="170"/>
  <c r="W25" i="170"/>
  <c r="E26" i="170"/>
  <c r="F26" i="170"/>
  <c r="G26" i="170"/>
  <c r="H26" i="170"/>
  <c r="I26" i="170"/>
  <c r="J26" i="170"/>
  <c r="K26" i="170"/>
  <c r="L26" i="170"/>
  <c r="M26" i="170"/>
  <c r="N26" i="170"/>
  <c r="O26" i="170"/>
  <c r="P26" i="170"/>
  <c r="Q26" i="170"/>
  <c r="R26" i="170"/>
  <c r="S26" i="170"/>
  <c r="T26" i="170"/>
  <c r="U26" i="170"/>
  <c r="W26" i="170"/>
  <c r="E27" i="170"/>
  <c r="F27" i="170"/>
  <c r="G27" i="170"/>
  <c r="H27" i="170"/>
  <c r="I27" i="170"/>
  <c r="J27" i="170"/>
  <c r="K27" i="170"/>
  <c r="L27" i="170"/>
  <c r="M27" i="170"/>
  <c r="N27" i="170"/>
  <c r="O27" i="170"/>
  <c r="P27" i="170"/>
  <c r="Q27" i="170"/>
  <c r="R27" i="170"/>
  <c r="S27" i="170"/>
  <c r="T27" i="170"/>
  <c r="U27" i="170"/>
  <c r="W27" i="170"/>
  <c r="X27" i="170" s="1"/>
  <c r="W12" i="170"/>
  <c r="F12" i="170"/>
  <c r="G12" i="170"/>
  <c r="H12" i="170"/>
  <c r="I12" i="170"/>
  <c r="J12" i="170"/>
  <c r="K12" i="170"/>
  <c r="L12" i="170"/>
  <c r="M12" i="170"/>
  <c r="N12" i="170"/>
  <c r="O12" i="170"/>
  <c r="P12" i="170"/>
  <c r="Q12" i="170"/>
  <c r="R12" i="170"/>
  <c r="S12" i="170"/>
  <c r="T12" i="170"/>
  <c r="U12" i="170"/>
  <c r="E12" i="170"/>
  <c r="C12" i="170"/>
  <c r="B8" i="170"/>
  <c r="D3" i="170"/>
  <c r="D2" i="170"/>
  <c r="E13" i="169"/>
  <c r="F13" i="169"/>
  <c r="G13" i="169"/>
  <c r="H13" i="169"/>
  <c r="I13" i="169"/>
  <c r="J13" i="169"/>
  <c r="K13" i="169"/>
  <c r="L13" i="169"/>
  <c r="M13" i="169"/>
  <c r="N13" i="169"/>
  <c r="O13" i="169"/>
  <c r="P13" i="169"/>
  <c r="Q13" i="169"/>
  <c r="R13" i="169"/>
  <c r="S13" i="169"/>
  <c r="T13" i="169"/>
  <c r="U13" i="169"/>
  <c r="W13" i="169"/>
  <c r="E14" i="169"/>
  <c r="F14" i="169"/>
  <c r="G14" i="169"/>
  <c r="H14" i="169"/>
  <c r="I14" i="169"/>
  <c r="J14" i="169"/>
  <c r="K14" i="169"/>
  <c r="L14" i="169"/>
  <c r="M14" i="169"/>
  <c r="N14" i="169"/>
  <c r="O14" i="169"/>
  <c r="P14" i="169"/>
  <c r="Q14" i="169"/>
  <c r="R14" i="169"/>
  <c r="S14" i="169"/>
  <c r="T14" i="169"/>
  <c r="U14" i="169"/>
  <c r="W14" i="169"/>
  <c r="E15" i="169"/>
  <c r="F15" i="169"/>
  <c r="G15" i="169"/>
  <c r="H15" i="169"/>
  <c r="I15" i="169"/>
  <c r="J15" i="169"/>
  <c r="K15" i="169"/>
  <c r="L15" i="169"/>
  <c r="M15" i="169"/>
  <c r="N15" i="169"/>
  <c r="O15" i="169"/>
  <c r="P15" i="169"/>
  <c r="Q15" i="169"/>
  <c r="R15" i="169"/>
  <c r="S15" i="169"/>
  <c r="T15" i="169"/>
  <c r="U15" i="169"/>
  <c r="W15" i="169"/>
  <c r="E16" i="169"/>
  <c r="F16" i="169"/>
  <c r="G16" i="169"/>
  <c r="H16" i="169"/>
  <c r="I16" i="169"/>
  <c r="J16" i="169"/>
  <c r="K16" i="169"/>
  <c r="L16" i="169"/>
  <c r="M16" i="169"/>
  <c r="N16" i="169"/>
  <c r="O16" i="169"/>
  <c r="P16" i="169"/>
  <c r="Q16" i="169"/>
  <c r="R16" i="169"/>
  <c r="S16" i="169"/>
  <c r="T16" i="169"/>
  <c r="U16" i="169"/>
  <c r="W16" i="169"/>
  <c r="E17" i="169"/>
  <c r="F17" i="169"/>
  <c r="G17" i="169"/>
  <c r="H17" i="169"/>
  <c r="I17" i="169"/>
  <c r="J17" i="169"/>
  <c r="K17" i="169"/>
  <c r="L17" i="169"/>
  <c r="M17" i="169"/>
  <c r="N17" i="169"/>
  <c r="O17" i="169"/>
  <c r="P17" i="169"/>
  <c r="Q17" i="169"/>
  <c r="R17" i="169"/>
  <c r="S17" i="169"/>
  <c r="T17" i="169"/>
  <c r="U17" i="169"/>
  <c r="W17" i="169"/>
  <c r="E18" i="169"/>
  <c r="F18" i="169"/>
  <c r="G18" i="169"/>
  <c r="H18" i="169"/>
  <c r="I18" i="169"/>
  <c r="J18" i="169"/>
  <c r="K18" i="169"/>
  <c r="L18" i="169"/>
  <c r="M18" i="169"/>
  <c r="N18" i="169"/>
  <c r="O18" i="169"/>
  <c r="P18" i="169"/>
  <c r="Q18" i="169"/>
  <c r="R18" i="169"/>
  <c r="S18" i="169"/>
  <c r="T18" i="169"/>
  <c r="U18" i="169"/>
  <c r="W18" i="169"/>
  <c r="E19" i="169"/>
  <c r="F19" i="169"/>
  <c r="G19" i="169"/>
  <c r="H19" i="169"/>
  <c r="I19" i="169"/>
  <c r="J19" i="169"/>
  <c r="K19" i="169"/>
  <c r="L19" i="169"/>
  <c r="M19" i="169"/>
  <c r="N19" i="169"/>
  <c r="O19" i="169"/>
  <c r="P19" i="169"/>
  <c r="Q19" i="169"/>
  <c r="R19" i="169"/>
  <c r="S19" i="169"/>
  <c r="T19" i="169"/>
  <c r="U19" i="169"/>
  <c r="W19" i="169"/>
  <c r="E20" i="169"/>
  <c r="F20" i="169"/>
  <c r="G20" i="169"/>
  <c r="H20" i="169"/>
  <c r="I20" i="169"/>
  <c r="J20" i="169"/>
  <c r="K20" i="169"/>
  <c r="L20" i="169"/>
  <c r="M20" i="169"/>
  <c r="N20" i="169"/>
  <c r="O20" i="169"/>
  <c r="P20" i="169"/>
  <c r="Q20" i="169"/>
  <c r="R20" i="169"/>
  <c r="S20" i="169"/>
  <c r="T20" i="169"/>
  <c r="U20" i="169"/>
  <c r="W20" i="169"/>
  <c r="E21" i="169"/>
  <c r="F21" i="169"/>
  <c r="G21" i="169"/>
  <c r="H21" i="169"/>
  <c r="I21" i="169"/>
  <c r="J21" i="169"/>
  <c r="K21" i="169"/>
  <c r="L21" i="169"/>
  <c r="M21" i="169"/>
  <c r="N21" i="169"/>
  <c r="O21" i="169"/>
  <c r="P21" i="169"/>
  <c r="Q21" i="169"/>
  <c r="R21" i="169"/>
  <c r="S21" i="169"/>
  <c r="T21" i="169"/>
  <c r="U21" i="169"/>
  <c r="W21" i="169"/>
  <c r="E22" i="169"/>
  <c r="F22" i="169"/>
  <c r="G22" i="169"/>
  <c r="H22" i="169"/>
  <c r="I22" i="169"/>
  <c r="J22" i="169"/>
  <c r="K22" i="169"/>
  <c r="L22" i="169"/>
  <c r="M22" i="169"/>
  <c r="N22" i="169"/>
  <c r="O22" i="169"/>
  <c r="P22" i="169"/>
  <c r="Q22" i="169"/>
  <c r="R22" i="169"/>
  <c r="S22" i="169"/>
  <c r="T22" i="169"/>
  <c r="U22" i="169"/>
  <c r="W22" i="169"/>
  <c r="E23" i="169"/>
  <c r="F23" i="169"/>
  <c r="G23" i="169"/>
  <c r="H23" i="169"/>
  <c r="I23" i="169"/>
  <c r="J23" i="169"/>
  <c r="K23" i="169"/>
  <c r="L23" i="169"/>
  <c r="M23" i="169"/>
  <c r="N23" i="169"/>
  <c r="O23" i="169"/>
  <c r="P23" i="169"/>
  <c r="Q23" i="169"/>
  <c r="R23" i="169"/>
  <c r="S23" i="169"/>
  <c r="T23" i="169"/>
  <c r="U23" i="169"/>
  <c r="W23" i="169"/>
  <c r="E24" i="169"/>
  <c r="F24" i="169"/>
  <c r="G24" i="169"/>
  <c r="H24" i="169"/>
  <c r="I24" i="169"/>
  <c r="J24" i="169"/>
  <c r="K24" i="169"/>
  <c r="L24" i="169"/>
  <c r="M24" i="169"/>
  <c r="N24" i="169"/>
  <c r="O24" i="169"/>
  <c r="P24" i="169"/>
  <c r="Q24" i="169"/>
  <c r="R24" i="169"/>
  <c r="S24" i="169"/>
  <c r="T24" i="169"/>
  <c r="U24" i="169"/>
  <c r="W24" i="169"/>
  <c r="E25" i="169"/>
  <c r="F25" i="169"/>
  <c r="G25" i="169"/>
  <c r="H25" i="169"/>
  <c r="I25" i="169"/>
  <c r="J25" i="169"/>
  <c r="K25" i="169"/>
  <c r="L25" i="169"/>
  <c r="M25" i="169"/>
  <c r="N25" i="169"/>
  <c r="O25" i="169"/>
  <c r="P25" i="169"/>
  <c r="Q25" i="169"/>
  <c r="R25" i="169"/>
  <c r="S25" i="169"/>
  <c r="T25" i="169"/>
  <c r="U25" i="169"/>
  <c r="W25" i="169"/>
  <c r="E26" i="169"/>
  <c r="F26" i="169"/>
  <c r="G26" i="169"/>
  <c r="H26" i="169"/>
  <c r="I26" i="169"/>
  <c r="J26" i="169"/>
  <c r="K26" i="169"/>
  <c r="L26" i="169"/>
  <c r="M26" i="169"/>
  <c r="N26" i="169"/>
  <c r="O26" i="169"/>
  <c r="P26" i="169"/>
  <c r="Q26" i="169"/>
  <c r="R26" i="169"/>
  <c r="S26" i="169"/>
  <c r="T26" i="169"/>
  <c r="U26" i="169"/>
  <c r="W26" i="169"/>
  <c r="E27" i="169"/>
  <c r="F27" i="169"/>
  <c r="G27" i="169"/>
  <c r="H27" i="169"/>
  <c r="I27" i="169"/>
  <c r="J27" i="169"/>
  <c r="K27" i="169"/>
  <c r="L27" i="169"/>
  <c r="M27" i="169"/>
  <c r="N27" i="169"/>
  <c r="O27" i="169"/>
  <c r="P27" i="169"/>
  <c r="Q27" i="169"/>
  <c r="R27" i="169"/>
  <c r="S27" i="169"/>
  <c r="T27" i="169"/>
  <c r="U27" i="169"/>
  <c r="W27" i="169"/>
  <c r="W12" i="169"/>
  <c r="F12" i="169"/>
  <c r="G12" i="169"/>
  <c r="H12" i="169"/>
  <c r="I12" i="169"/>
  <c r="J12" i="169"/>
  <c r="K12" i="169"/>
  <c r="L12" i="169"/>
  <c r="M12" i="169"/>
  <c r="N12" i="169"/>
  <c r="O12" i="169"/>
  <c r="P12" i="169"/>
  <c r="Q12" i="169"/>
  <c r="R12" i="169"/>
  <c r="S12" i="169"/>
  <c r="T12" i="169"/>
  <c r="U12" i="169"/>
  <c r="E12" i="169"/>
  <c r="C12" i="169"/>
  <c r="B8" i="169"/>
  <c r="D2" i="169"/>
  <c r="D3" i="169"/>
  <c r="E13" i="168"/>
  <c r="F13" i="168"/>
  <c r="G13" i="168"/>
  <c r="H13" i="168"/>
  <c r="I13" i="168"/>
  <c r="J13" i="168"/>
  <c r="K13" i="168"/>
  <c r="L13" i="168"/>
  <c r="M13" i="168"/>
  <c r="N13" i="168"/>
  <c r="O13" i="168"/>
  <c r="P13" i="168"/>
  <c r="Q13" i="168"/>
  <c r="R13" i="168"/>
  <c r="S13" i="168"/>
  <c r="T13" i="168"/>
  <c r="U13" i="168"/>
  <c r="W13" i="168"/>
  <c r="E14" i="168"/>
  <c r="F14" i="168"/>
  <c r="G14" i="168"/>
  <c r="H14" i="168"/>
  <c r="I14" i="168"/>
  <c r="J14" i="168"/>
  <c r="K14" i="168"/>
  <c r="L14" i="168"/>
  <c r="M14" i="168"/>
  <c r="N14" i="168"/>
  <c r="O14" i="168"/>
  <c r="P14" i="168"/>
  <c r="Q14" i="168"/>
  <c r="R14" i="168"/>
  <c r="S14" i="168"/>
  <c r="T14" i="168"/>
  <c r="U14" i="168"/>
  <c r="W14" i="168"/>
  <c r="E15" i="168"/>
  <c r="F15" i="168"/>
  <c r="G15" i="168"/>
  <c r="H15" i="168"/>
  <c r="I15" i="168"/>
  <c r="J15" i="168"/>
  <c r="K15" i="168"/>
  <c r="L15" i="168"/>
  <c r="M15" i="168"/>
  <c r="N15" i="168"/>
  <c r="O15" i="168"/>
  <c r="P15" i="168"/>
  <c r="Q15" i="168"/>
  <c r="R15" i="168"/>
  <c r="S15" i="168"/>
  <c r="T15" i="168"/>
  <c r="U15" i="168"/>
  <c r="W15" i="168"/>
  <c r="E16" i="168"/>
  <c r="F16" i="168"/>
  <c r="G16" i="168"/>
  <c r="H16" i="168"/>
  <c r="I16" i="168"/>
  <c r="J16" i="168"/>
  <c r="K16" i="168"/>
  <c r="L16" i="168"/>
  <c r="M16" i="168"/>
  <c r="N16" i="168"/>
  <c r="O16" i="168"/>
  <c r="P16" i="168"/>
  <c r="Q16" i="168"/>
  <c r="R16" i="168"/>
  <c r="S16" i="168"/>
  <c r="T16" i="168"/>
  <c r="U16" i="168"/>
  <c r="W16" i="168"/>
  <c r="E17" i="168"/>
  <c r="F17" i="168"/>
  <c r="G17" i="168"/>
  <c r="H17" i="168"/>
  <c r="I17" i="168"/>
  <c r="J17" i="168"/>
  <c r="K17" i="168"/>
  <c r="L17" i="168"/>
  <c r="M17" i="168"/>
  <c r="N17" i="168"/>
  <c r="O17" i="168"/>
  <c r="P17" i="168"/>
  <c r="Q17" i="168"/>
  <c r="R17" i="168"/>
  <c r="S17" i="168"/>
  <c r="T17" i="168"/>
  <c r="U17" i="168"/>
  <c r="W17" i="168"/>
  <c r="E18" i="168"/>
  <c r="F18" i="168"/>
  <c r="G18" i="168"/>
  <c r="H18" i="168"/>
  <c r="I18" i="168"/>
  <c r="J18" i="168"/>
  <c r="K18" i="168"/>
  <c r="L18" i="168"/>
  <c r="M18" i="168"/>
  <c r="N18" i="168"/>
  <c r="O18" i="168"/>
  <c r="P18" i="168"/>
  <c r="Q18" i="168"/>
  <c r="R18" i="168"/>
  <c r="S18" i="168"/>
  <c r="T18" i="168"/>
  <c r="U18" i="168"/>
  <c r="W18" i="168"/>
  <c r="E19" i="168"/>
  <c r="F19" i="168"/>
  <c r="G19" i="168"/>
  <c r="H19" i="168"/>
  <c r="I19" i="168"/>
  <c r="J19" i="168"/>
  <c r="K19" i="168"/>
  <c r="L19" i="168"/>
  <c r="M19" i="168"/>
  <c r="N19" i="168"/>
  <c r="O19" i="168"/>
  <c r="P19" i="168"/>
  <c r="Q19" i="168"/>
  <c r="R19" i="168"/>
  <c r="S19" i="168"/>
  <c r="T19" i="168"/>
  <c r="U19" i="168"/>
  <c r="W19" i="168"/>
  <c r="E20" i="168"/>
  <c r="F20" i="168"/>
  <c r="G20" i="168"/>
  <c r="H20" i="168"/>
  <c r="I20" i="168"/>
  <c r="J20" i="168"/>
  <c r="K20" i="168"/>
  <c r="L20" i="168"/>
  <c r="M20" i="168"/>
  <c r="N20" i="168"/>
  <c r="O20" i="168"/>
  <c r="P20" i="168"/>
  <c r="Q20" i="168"/>
  <c r="R20" i="168"/>
  <c r="S20" i="168"/>
  <c r="T20" i="168"/>
  <c r="U20" i="168"/>
  <c r="W20" i="168"/>
  <c r="E21" i="168"/>
  <c r="F21" i="168"/>
  <c r="G21" i="168"/>
  <c r="H21" i="168"/>
  <c r="I21" i="168"/>
  <c r="J21" i="168"/>
  <c r="K21" i="168"/>
  <c r="L21" i="168"/>
  <c r="M21" i="168"/>
  <c r="N21" i="168"/>
  <c r="O21" i="168"/>
  <c r="P21" i="168"/>
  <c r="Q21" i="168"/>
  <c r="R21" i="168"/>
  <c r="S21" i="168"/>
  <c r="T21" i="168"/>
  <c r="U21" i="168"/>
  <c r="W21" i="168"/>
  <c r="E22" i="168"/>
  <c r="F22" i="168"/>
  <c r="G22" i="168"/>
  <c r="H22" i="168"/>
  <c r="I22" i="168"/>
  <c r="J22" i="168"/>
  <c r="K22" i="168"/>
  <c r="L22" i="168"/>
  <c r="M22" i="168"/>
  <c r="N22" i="168"/>
  <c r="O22" i="168"/>
  <c r="P22" i="168"/>
  <c r="Q22" i="168"/>
  <c r="R22" i="168"/>
  <c r="S22" i="168"/>
  <c r="T22" i="168"/>
  <c r="U22" i="168"/>
  <c r="W22" i="168"/>
  <c r="E23" i="168"/>
  <c r="F23" i="168"/>
  <c r="G23" i="168"/>
  <c r="H23" i="168"/>
  <c r="I23" i="168"/>
  <c r="J23" i="168"/>
  <c r="K23" i="168"/>
  <c r="L23" i="168"/>
  <c r="M23" i="168"/>
  <c r="N23" i="168"/>
  <c r="O23" i="168"/>
  <c r="P23" i="168"/>
  <c r="Q23" i="168"/>
  <c r="R23" i="168"/>
  <c r="S23" i="168"/>
  <c r="T23" i="168"/>
  <c r="U23" i="168"/>
  <c r="W23" i="168"/>
  <c r="E24" i="168"/>
  <c r="F24" i="168"/>
  <c r="G24" i="168"/>
  <c r="H24" i="168"/>
  <c r="I24" i="168"/>
  <c r="J24" i="168"/>
  <c r="K24" i="168"/>
  <c r="L24" i="168"/>
  <c r="M24" i="168"/>
  <c r="N24" i="168"/>
  <c r="O24" i="168"/>
  <c r="P24" i="168"/>
  <c r="Q24" i="168"/>
  <c r="R24" i="168"/>
  <c r="S24" i="168"/>
  <c r="T24" i="168"/>
  <c r="U24" i="168"/>
  <c r="W24" i="168"/>
  <c r="E25" i="168"/>
  <c r="F25" i="168"/>
  <c r="G25" i="168"/>
  <c r="H25" i="168"/>
  <c r="I25" i="168"/>
  <c r="J25" i="168"/>
  <c r="K25" i="168"/>
  <c r="L25" i="168"/>
  <c r="M25" i="168"/>
  <c r="N25" i="168"/>
  <c r="O25" i="168"/>
  <c r="P25" i="168"/>
  <c r="Q25" i="168"/>
  <c r="R25" i="168"/>
  <c r="S25" i="168"/>
  <c r="T25" i="168"/>
  <c r="U25" i="168"/>
  <c r="W25" i="168"/>
  <c r="E26" i="168"/>
  <c r="F26" i="168"/>
  <c r="G26" i="168"/>
  <c r="H26" i="168"/>
  <c r="I26" i="168"/>
  <c r="J26" i="168"/>
  <c r="K26" i="168"/>
  <c r="L26" i="168"/>
  <c r="M26" i="168"/>
  <c r="N26" i="168"/>
  <c r="O26" i="168"/>
  <c r="P26" i="168"/>
  <c r="Q26" i="168"/>
  <c r="R26" i="168"/>
  <c r="S26" i="168"/>
  <c r="T26" i="168"/>
  <c r="U26" i="168"/>
  <c r="W26" i="168"/>
  <c r="E27" i="168"/>
  <c r="F27" i="168"/>
  <c r="G27" i="168"/>
  <c r="H27" i="168"/>
  <c r="I27" i="168"/>
  <c r="J27" i="168"/>
  <c r="K27" i="168"/>
  <c r="L27" i="168"/>
  <c r="M27" i="168"/>
  <c r="N27" i="168"/>
  <c r="O27" i="168"/>
  <c r="P27" i="168"/>
  <c r="Q27" i="168"/>
  <c r="R27" i="168"/>
  <c r="S27" i="168"/>
  <c r="T27" i="168"/>
  <c r="U27" i="168"/>
  <c r="W27" i="168"/>
  <c r="W12" i="168"/>
  <c r="F12" i="168"/>
  <c r="G12" i="168"/>
  <c r="H12" i="168"/>
  <c r="I12" i="168"/>
  <c r="J12" i="168"/>
  <c r="K12" i="168"/>
  <c r="L12" i="168"/>
  <c r="M12" i="168"/>
  <c r="N12" i="168"/>
  <c r="O12" i="168"/>
  <c r="P12" i="168"/>
  <c r="Q12" i="168"/>
  <c r="R12" i="168"/>
  <c r="S12" i="168"/>
  <c r="T12" i="168"/>
  <c r="U12" i="168"/>
  <c r="E12" i="168"/>
  <c r="C12" i="168"/>
  <c r="B8" i="168"/>
  <c r="D2" i="168"/>
  <c r="D3" i="168"/>
  <c r="E13" i="167"/>
  <c r="F13" i="167"/>
  <c r="G13" i="167"/>
  <c r="H13" i="167"/>
  <c r="I13" i="167"/>
  <c r="J13" i="167"/>
  <c r="K13" i="167"/>
  <c r="L13" i="167"/>
  <c r="M13" i="167"/>
  <c r="N13" i="167"/>
  <c r="O13" i="167"/>
  <c r="P13" i="167"/>
  <c r="Q13" i="167"/>
  <c r="R13" i="167"/>
  <c r="S13" i="167"/>
  <c r="T13" i="167"/>
  <c r="U13" i="167"/>
  <c r="W13" i="167"/>
  <c r="E14" i="167"/>
  <c r="F14" i="167"/>
  <c r="G14" i="167"/>
  <c r="H14" i="167"/>
  <c r="I14" i="167"/>
  <c r="J14" i="167"/>
  <c r="K14" i="167"/>
  <c r="L14" i="167"/>
  <c r="M14" i="167"/>
  <c r="N14" i="167"/>
  <c r="O14" i="167"/>
  <c r="P14" i="167"/>
  <c r="Q14" i="167"/>
  <c r="R14" i="167"/>
  <c r="S14" i="167"/>
  <c r="T14" i="167"/>
  <c r="U14" i="167"/>
  <c r="W14" i="167"/>
  <c r="E15" i="167"/>
  <c r="F15" i="167"/>
  <c r="G15" i="167"/>
  <c r="H15" i="167"/>
  <c r="I15" i="167"/>
  <c r="J15" i="167"/>
  <c r="K15" i="167"/>
  <c r="L15" i="167"/>
  <c r="M15" i="167"/>
  <c r="N15" i="167"/>
  <c r="O15" i="167"/>
  <c r="P15" i="167"/>
  <c r="Q15" i="167"/>
  <c r="R15" i="167"/>
  <c r="S15" i="167"/>
  <c r="T15" i="167"/>
  <c r="U15" i="167"/>
  <c r="W15" i="167"/>
  <c r="E16" i="167"/>
  <c r="F16" i="167"/>
  <c r="G16" i="167"/>
  <c r="H16" i="167"/>
  <c r="I16" i="167"/>
  <c r="J16" i="167"/>
  <c r="K16" i="167"/>
  <c r="L16" i="167"/>
  <c r="M16" i="167"/>
  <c r="N16" i="167"/>
  <c r="O16" i="167"/>
  <c r="P16" i="167"/>
  <c r="Q16" i="167"/>
  <c r="R16" i="167"/>
  <c r="S16" i="167"/>
  <c r="T16" i="167"/>
  <c r="U16" i="167"/>
  <c r="W16" i="167"/>
  <c r="E17" i="167"/>
  <c r="F17" i="167"/>
  <c r="G17" i="167"/>
  <c r="H17" i="167"/>
  <c r="I17" i="167"/>
  <c r="J17" i="167"/>
  <c r="K17" i="167"/>
  <c r="L17" i="167"/>
  <c r="M17" i="167"/>
  <c r="N17" i="167"/>
  <c r="O17" i="167"/>
  <c r="P17" i="167"/>
  <c r="Q17" i="167"/>
  <c r="R17" i="167"/>
  <c r="S17" i="167"/>
  <c r="T17" i="167"/>
  <c r="U17" i="167"/>
  <c r="W17" i="167"/>
  <c r="E18" i="167"/>
  <c r="F18" i="167"/>
  <c r="G18" i="167"/>
  <c r="H18" i="167"/>
  <c r="I18" i="167"/>
  <c r="J18" i="167"/>
  <c r="K18" i="167"/>
  <c r="L18" i="167"/>
  <c r="M18" i="167"/>
  <c r="N18" i="167"/>
  <c r="O18" i="167"/>
  <c r="P18" i="167"/>
  <c r="Q18" i="167"/>
  <c r="R18" i="167"/>
  <c r="S18" i="167"/>
  <c r="T18" i="167"/>
  <c r="U18" i="167"/>
  <c r="W18" i="167"/>
  <c r="E19" i="167"/>
  <c r="F19" i="167"/>
  <c r="G19" i="167"/>
  <c r="H19" i="167"/>
  <c r="I19" i="167"/>
  <c r="J19" i="167"/>
  <c r="K19" i="167"/>
  <c r="L19" i="167"/>
  <c r="M19" i="167"/>
  <c r="N19" i="167"/>
  <c r="O19" i="167"/>
  <c r="P19" i="167"/>
  <c r="Q19" i="167"/>
  <c r="R19" i="167"/>
  <c r="S19" i="167"/>
  <c r="T19" i="167"/>
  <c r="U19" i="167"/>
  <c r="W19" i="167"/>
  <c r="E20" i="167"/>
  <c r="F20" i="167"/>
  <c r="G20" i="167"/>
  <c r="H20" i="167"/>
  <c r="I20" i="167"/>
  <c r="J20" i="167"/>
  <c r="K20" i="167"/>
  <c r="L20" i="167"/>
  <c r="M20" i="167"/>
  <c r="N20" i="167"/>
  <c r="O20" i="167"/>
  <c r="P20" i="167"/>
  <c r="Q20" i="167"/>
  <c r="R20" i="167"/>
  <c r="S20" i="167"/>
  <c r="T20" i="167"/>
  <c r="U20" i="167"/>
  <c r="W20" i="167"/>
  <c r="E21" i="167"/>
  <c r="F21" i="167"/>
  <c r="G21" i="167"/>
  <c r="H21" i="167"/>
  <c r="I21" i="167"/>
  <c r="J21" i="167"/>
  <c r="K21" i="167"/>
  <c r="L21" i="167"/>
  <c r="M21" i="167"/>
  <c r="N21" i="167"/>
  <c r="O21" i="167"/>
  <c r="P21" i="167"/>
  <c r="Q21" i="167"/>
  <c r="R21" i="167"/>
  <c r="S21" i="167"/>
  <c r="T21" i="167"/>
  <c r="U21" i="167"/>
  <c r="W21" i="167"/>
  <c r="E22" i="167"/>
  <c r="F22" i="167"/>
  <c r="G22" i="167"/>
  <c r="H22" i="167"/>
  <c r="I22" i="167"/>
  <c r="J22" i="167"/>
  <c r="K22" i="167"/>
  <c r="L22" i="167"/>
  <c r="M22" i="167"/>
  <c r="N22" i="167"/>
  <c r="O22" i="167"/>
  <c r="P22" i="167"/>
  <c r="Q22" i="167"/>
  <c r="R22" i="167"/>
  <c r="S22" i="167"/>
  <c r="T22" i="167"/>
  <c r="U22" i="167"/>
  <c r="W22" i="167"/>
  <c r="E23" i="167"/>
  <c r="F23" i="167"/>
  <c r="G23" i="167"/>
  <c r="H23" i="167"/>
  <c r="I23" i="167"/>
  <c r="J23" i="167"/>
  <c r="K23" i="167"/>
  <c r="L23" i="167"/>
  <c r="M23" i="167"/>
  <c r="N23" i="167"/>
  <c r="O23" i="167"/>
  <c r="P23" i="167"/>
  <c r="Q23" i="167"/>
  <c r="R23" i="167"/>
  <c r="S23" i="167"/>
  <c r="T23" i="167"/>
  <c r="U23" i="167"/>
  <c r="W23" i="167"/>
  <c r="E24" i="167"/>
  <c r="F24" i="167"/>
  <c r="G24" i="167"/>
  <c r="H24" i="167"/>
  <c r="I24" i="167"/>
  <c r="J24" i="167"/>
  <c r="K24" i="167"/>
  <c r="L24" i="167"/>
  <c r="M24" i="167"/>
  <c r="N24" i="167"/>
  <c r="O24" i="167"/>
  <c r="P24" i="167"/>
  <c r="Q24" i="167"/>
  <c r="R24" i="167"/>
  <c r="S24" i="167"/>
  <c r="T24" i="167"/>
  <c r="U24" i="167"/>
  <c r="W24" i="167"/>
  <c r="E25" i="167"/>
  <c r="F25" i="167"/>
  <c r="G25" i="167"/>
  <c r="H25" i="167"/>
  <c r="I25" i="167"/>
  <c r="J25" i="167"/>
  <c r="K25" i="167"/>
  <c r="L25" i="167"/>
  <c r="M25" i="167"/>
  <c r="N25" i="167"/>
  <c r="O25" i="167"/>
  <c r="P25" i="167"/>
  <c r="Q25" i="167"/>
  <c r="R25" i="167"/>
  <c r="S25" i="167"/>
  <c r="T25" i="167"/>
  <c r="U25" i="167"/>
  <c r="W25" i="167"/>
  <c r="E26" i="167"/>
  <c r="F26" i="167"/>
  <c r="G26" i="167"/>
  <c r="H26" i="167"/>
  <c r="I26" i="167"/>
  <c r="J26" i="167"/>
  <c r="K26" i="167"/>
  <c r="L26" i="167"/>
  <c r="M26" i="167"/>
  <c r="N26" i="167"/>
  <c r="O26" i="167"/>
  <c r="P26" i="167"/>
  <c r="Q26" i="167"/>
  <c r="R26" i="167"/>
  <c r="S26" i="167"/>
  <c r="T26" i="167"/>
  <c r="U26" i="167"/>
  <c r="W26" i="167"/>
  <c r="E27" i="167"/>
  <c r="F27" i="167"/>
  <c r="G27" i="167"/>
  <c r="H27" i="167"/>
  <c r="I27" i="167"/>
  <c r="J27" i="167"/>
  <c r="K27" i="167"/>
  <c r="L27" i="167"/>
  <c r="M27" i="167"/>
  <c r="N27" i="167"/>
  <c r="O27" i="167"/>
  <c r="P27" i="167"/>
  <c r="Q27" i="167"/>
  <c r="R27" i="167"/>
  <c r="S27" i="167"/>
  <c r="T27" i="167"/>
  <c r="U27" i="167"/>
  <c r="W27" i="167"/>
  <c r="W12" i="167"/>
  <c r="F12" i="167"/>
  <c r="G12" i="167"/>
  <c r="H12" i="167"/>
  <c r="I12" i="167"/>
  <c r="J12" i="167"/>
  <c r="K12" i="167"/>
  <c r="L12" i="167"/>
  <c r="M12" i="167"/>
  <c r="N12" i="167"/>
  <c r="O12" i="167"/>
  <c r="P12" i="167"/>
  <c r="Q12" i="167"/>
  <c r="R12" i="167"/>
  <c r="S12" i="167"/>
  <c r="T12" i="167"/>
  <c r="U12" i="167"/>
  <c r="E12" i="167"/>
  <c r="C12" i="167"/>
  <c r="B8" i="167"/>
  <c r="D3" i="167"/>
  <c r="D2" i="167"/>
  <c r="E13" i="136"/>
  <c r="F13" i="136"/>
  <c r="G13" i="136"/>
  <c r="H13" i="136"/>
  <c r="I13" i="136"/>
  <c r="J13" i="136"/>
  <c r="K13" i="136"/>
  <c r="L13" i="136"/>
  <c r="M13" i="136"/>
  <c r="N13" i="136"/>
  <c r="O13" i="136"/>
  <c r="P13" i="136"/>
  <c r="Q13" i="136"/>
  <c r="R13" i="136"/>
  <c r="S13" i="136"/>
  <c r="T13" i="136"/>
  <c r="U13" i="136"/>
  <c r="W13" i="136"/>
  <c r="E14" i="136"/>
  <c r="F14" i="136"/>
  <c r="G14" i="136"/>
  <c r="H14" i="136"/>
  <c r="I14" i="136"/>
  <c r="J14" i="136"/>
  <c r="K14" i="136"/>
  <c r="L14" i="136"/>
  <c r="M14" i="136"/>
  <c r="N14" i="136"/>
  <c r="O14" i="136"/>
  <c r="P14" i="136"/>
  <c r="Q14" i="136"/>
  <c r="R14" i="136"/>
  <c r="S14" i="136"/>
  <c r="T14" i="136"/>
  <c r="U14" i="136"/>
  <c r="W14" i="136"/>
  <c r="E15" i="136"/>
  <c r="F15" i="136"/>
  <c r="G15" i="136"/>
  <c r="H15" i="136"/>
  <c r="I15" i="136"/>
  <c r="J15" i="136"/>
  <c r="K15" i="136"/>
  <c r="L15" i="136"/>
  <c r="M15" i="136"/>
  <c r="N15" i="136"/>
  <c r="O15" i="136"/>
  <c r="P15" i="136"/>
  <c r="Q15" i="136"/>
  <c r="R15" i="136"/>
  <c r="S15" i="136"/>
  <c r="T15" i="136"/>
  <c r="U15" i="136"/>
  <c r="W15" i="136"/>
  <c r="E16" i="136"/>
  <c r="F16" i="136"/>
  <c r="G16" i="136"/>
  <c r="H16" i="136"/>
  <c r="I16" i="136"/>
  <c r="J16" i="136"/>
  <c r="K16" i="136"/>
  <c r="L16" i="136"/>
  <c r="M16" i="136"/>
  <c r="N16" i="136"/>
  <c r="O16" i="136"/>
  <c r="P16" i="136"/>
  <c r="Q16" i="136"/>
  <c r="R16" i="136"/>
  <c r="S16" i="136"/>
  <c r="T16" i="136"/>
  <c r="U16" i="136"/>
  <c r="W16" i="136"/>
  <c r="E17" i="136"/>
  <c r="F17" i="136"/>
  <c r="G17" i="136"/>
  <c r="H17" i="136"/>
  <c r="I17" i="136"/>
  <c r="J17" i="136"/>
  <c r="K17" i="136"/>
  <c r="L17" i="136"/>
  <c r="M17" i="136"/>
  <c r="N17" i="136"/>
  <c r="O17" i="136"/>
  <c r="P17" i="136"/>
  <c r="Q17" i="136"/>
  <c r="R17" i="136"/>
  <c r="S17" i="136"/>
  <c r="T17" i="136"/>
  <c r="U17" i="136"/>
  <c r="W17" i="136"/>
  <c r="E18" i="136"/>
  <c r="F18" i="136"/>
  <c r="G18" i="136"/>
  <c r="H18" i="136"/>
  <c r="I18" i="136"/>
  <c r="J18" i="136"/>
  <c r="K18" i="136"/>
  <c r="L18" i="136"/>
  <c r="M18" i="136"/>
  <c r="N18" i="136"/>
  <c r="O18" i="136"/>
  <c r="P18" i="136"/>
  <c r="Q18" i="136"/>
  <c r="R18" i="136"/>
  <c r="S18" i="136"/>
  <c r="T18" i="136"/>
  <c r="U18" i="136"/>
  <c r="W18" i="136"/>
  <c r="E19" i="136"/>
  <c r="F19" i="136"/>
  <c r="G19" i="136"/>
  <c r="H19" i="136"/>
  <c r="I19" i="136"/>
  <c r="J19" i="136"/>
  <c r="K19" i="136"/>
  <c r="L19" i="136"/>
  <c r="M19" i="136"/>
  <c r="N19" i="136"/>
  <c r="O19" i="136"/>
  <c r="P19" i="136"/>
  <c r="Q19" i="136"/>
  <c r="R19" i="136"/>
  <c r="S19" i="136"/>
  <c r="T19" i="136"/>
  <c r="U19" i="136"/>
  <c r="W19" i="136"/>
  <c r="E20" i="136"/>
  <c r="F20" i="136"/>
  <c r="G20" i="136"/>
  <c r="H20" i="136"/>
  <c r="I20" i="136"/>
  <c r="J20" i="136"/>
  <c r="K20" i="136"/>
  <c r="L20" i="136"/>
  <c r="M20" i="136"/>
  <c r="N20" i="136"/>
  <c r="O20" i="136"/>
  <c r="P20" i="136"/>
  <c r="Q20" i="136"/>
  <c r="R20" i="136"/>
  <c r="S20" i="136"/>
  <c r="T20" i="136"/>
  <c r="U20" i="136"/>
  <c r="W20" i="136"/>
  <c r="E21" i="136"/>
  <c r="F21" i="136"/>
  <c r="G21" i="136"/>
  <c r="H21" i="136"/>
  <c r="I21" i="136"/>
  <c r="J21" i="136"/>
  <c r="K21" i="136"/>
  <c r="L21" i="136"/>
  <c r="M21" i="136"/>
  <c r="N21" i="136"/>
  <c r="O21" i="136"/>
  <c r="P21" i="136"/>
  <c r="Q21" i="136"/>
  <c r="R21" i="136"/>
  <c r="S21" i="136"/>
  <c r="T21" i="136"/>
  <c r="U21" i="136"/>
  <c r="W21" i="136"/>
  <c r="E22" i="136"/>
  <c r="F22" i="136"/>
  <c r="G22" i="136"/>
  <c r="H22" i="136"/>
  <c r="I22" i="136"/>
  <c r="J22" i="136"/>
  <c r="K22" i="136"/>
  <c r="L22" i="136"/>
  <c r="M22" i="136"/>
  <c r="N22" i="136"/>
  <c r="O22" i="136"/>
  <c r="P22" i="136"/>
  <c r="Q22" i="136"/>
  <c r="R22" i="136"/>
  <c r="S22" i="136"/>
  <c r="T22" i="136"/>
  <c r="U22" i="136"/>
  <c r="W22" i="136"/>
  <c r="E23" i="136"/>
  <c r="F23" i="136"/>
  <c r="G23" i="136"/>
  <c r="H23" i="136"/>
  <c r="I23" i="136"/>
  <c r="J23" i="136"/>
  <c r="K23" i="136"/>
  <c r="L23" i="136"/>
  <c r="M23" i="136"/>
  <c r="N23" i="136"/>
  <c r="O23" i="136"/>
  <c r="P23" i="136"/>
  <c r="Q23" i="136"/>
  <c r="R23" i="136"/>
  <c r="S23" i="136"/>
  <c r="T23" i="136"/>
  <c r="U23" i="136"/>
  <c r="W23" i="136"/>
  <c r="E24" i="136"/>
  <c r="F24" i="136"/>
  <c r="G24" i="136"/>
  <c r="H24" i="136"/>
  <c r="I24" i="136"/>
  <c r="J24" i="136"/>
  <c r="K24" i="136"/>
  <c r="L24" i="136"/>
  <c r="M24" i="136"/>
  <c r="N24" i="136"/>
  <c r="O24" i="136"/>
  <c r="P24" i="136"/>
  <c r="Q24" i="136"/>
  <c r="R24" i="136"/>
  <c r="S24" i="136"/>
  <c r="T24" i="136"/>
  <c r="U24" i="136"/>
  <c r="W24" i="136"/>
  <c r="E25" i="136"/>
  <c r="F25" i="136"/>
  <c r="G25" i="136"/>
  <c r="H25" i="136"/>
  <c r="I25" i="136"/>
  <c r="J25" i="136"/>
  <c r="K25" i="136"/>
  <c r="L25" i="136"/>
  <c r="M25" i="136"/>
  <c r="N25" i="136"/>
  <c r="O25" i="136"/>
  <c r="P25" i="136"/>
  <c r="Q25" i="136"/>
  <c r="R25" i="136"/>
  <c r="S25" i="136"/>
  <c r="T25" i="136"/>
  <c r="U25" i="136"/>
  <c r="W25" i="136"/>
  <c r="E26" i="136"/>
  <c r="F26" i="136"/>
  <c r="G26" i="136"/>
  <c r="H26" i="136"/>
  <c r="I26" i="136"/>
  <c r="J26" i="136"/>
  <c r="K26" i="136"/>
  <c r="L26" i="136"/>
  <c r="M26" i="136"/>
  <c r="N26" i="136"/>
  <c r="O26" i="136"/>
  <c r="P26" i="136"/>
  <c r="Q26" i="136"/>
  <c r="R26" i="136"/>
  <c r="S26" i="136"/>
  <c r="T26" i="136"/>
  <c r="U26" i="136"/>
  <c r="W26" i="136"/>
  <c r="E27" i="136"/>
  <c r="F27" i="136"/>
  <c r="G27" i="136"/>
  <c r="H27" i="136"/>
  <c r="I27" i="136"/>
  <c r="J27" i="136"/>
  <c r="K27" i="136"/>
  <c r="L27" i="136"/>
  <c r="M27" i="136"/>
  <c r="N27" i="136"/>
  <c r="O27" i="136"/>
  <c r="P27" i="136"/>
  <c r="Q27" i="136"/>
  <c r="R27" i="136"/>
  <c r="S27" i="136"/>
  <c r="T27" i="136"/>
  <c r="U27" i="136"/>
  <c r="W27" i="136"/>
  <c r="E28" i="136"/>
  <c r="F28" i="136"/>
  <c r="G28" i="136"/>
  <c r="H28" i="136"/>
  <c r="I28" i="136"/>
  <c r="J28" i="136"/>
  <c r="K28" i="136"/>
  <c r="L28" i="136"/>
  <c r="M28" i="136"/>
  <c r="N28" i="136"/>
  <c r="O28" i="136"/>
  <c r="P28" i="136"/>
  <c r="Q28" i="136"/>
  <c r="R28" i="136"/>
  <c r="S28" i="136"/>
  <c r="T28" i="136"/>
  <c r="U28" i="136"/>
  <c r="W28" i="136"/>
  <c r="E29" i="136"/>
  <c r="F29" i="136"/>
  <c r="G29" i="136"/>
  <c r="H29" i="136"/>
  <c r="I29" i="136"/>
  <c r="J29" i="136"/>
  <c r="K29" i="136"/>
  <c r="L29" i="136"/>
  <c r="M29" i="136"/>
  <c r="N29" i="136"/>
  <c r="O29" i="136"/>
  <c r="P29" i="136"/>
  <c r="Q29" i="136"/>
  <c r="R29" i="136"/>
  <c r="S29" i="136"/>
  <c r="T29" i="136"/>
  <c r="U29" i="136"/>
  <c r="W29" i="136"/>
  <c r="E30" i="136"/>
  <c r="F30" i="136"/>
  <c r="G30" i="136"/>
  <c r="H30" i="136"/>
  <c r="I30" i="136"/>
  <c r="J30" i="136"/>
  <c r="K30" i="136"/>
  <c r="L30" i="136"/>
  <c r="M30" i="136"/>
  <c r="N30" i="136"/>
  <c r="O30" i="136"/>
  <c r="P30" i="136"/>
  <c r="Q30" i="136"/>
  <c r="R30" i="136"/>
  <c r="S30" i="136"/>
  <c r="T30" i="136"/>
  <c r="U30" i="136"/>
  <c r="W30" i="136"/>
  <c r="E31" i="136"/>
  <c r="F31" i="136"/>
  <c r="G31" i="136"/>
  <c r="H31" i="136"/>
  <c r="I31" i="136"/>
  <c r="J31" i="136"/>
  <c r="K31" i="136"/>
  <c r="L31" i="136"/>
  <c r="M31" i="136"/>
  <c r="N31" i="136"/>
  <c r="O31" i="136"/>
  <c r="P31" i="136"/>
  <c r="Q31" i="136"/>
  <c r="R31" i="136"/>
  <c r="S31" i="136"/>
  <c r="T31" i="136"/>
  <c r="U31" i="136"/>
  <c r="W31" i="136"/>
  <c r="E32" i="136"/>
  <c r="F32" i="136"/>
  <c r="G32" i="136"/>
  <c r="H32" i="136"/>
  <c r="I32" i="136"/>
  <c r="J32" i="136"/>
  <c r="K32" i="136"/>
  <c r="L32" i="136"/>
  <c r="M32" i="136"/>
  <c r="N32" i="136"/>
  <c r="O32" i="136"/>
  <c r="P32" i="136"/>
  <c r="Q32" i="136"/>
  <c r="R32" i="136"/>
  <c r="S32" i="136"/>
  <c r="T32" i="136"/>
  <c r="U32" i="136"/>
  <c r="W32" i="136"/>
  <c r="E33" i="136"/>
  <c r="F33" i="136"/>
  <c r="G33" i="136"/>
  <c r="H33" i="136"/>
  <c r="I33" i="136"/>
  <c r="J33" i="136"/>
  <c r="K33" i="136"/>
  <c r="L33" i="136"/>
  <c r="M33" i="136"/>
  <c r="N33" i="136"/>
  <c r="O33" i="136"/>
  <c r="P33" i="136"/>
  <c r="Q33" i="136"/>
  <c r="R33" i="136"/>
  <c r="S33" i="136"/>
  <c r="T33" i="136"/>
  <c r="U33" i="136"/>
  <c r="W33" i="136"/>
  <c r="E34" i="136"/>
  <c r="F34" i="136"/>
  <c r="G34" i="136"/>
  <c r="H34" i="136"/>
  <c r="I34" i="136"/>
  <c r="J34" i="136"/>
  <c r="K34" i="136"/>
  <c r="L34" i="136"/>
  <c r="M34" i="136"/>
  <c r="N34" i="136"/>
  <c r="O34" i="136"/>
  <c r="P34" i="136"/>
  <c r="Q34" i="136"/>
  <c r="R34" i="136"/>
  <c r="S34" i="136"/>
  <c r="T34" i="136"/>
  <c r="U34" i="136"/>
  <c r="W34" i="136"/>
  <c r="E35" i="136"/>
  <c r="F35" i="136"/>
  <c r="G35" i="136"/>
  <c r="H35" i="136"/>
  <c r="I35" i="136"/>
  <c r="J35" i="136"/>
  <c r="K35" i="136"/>
  <c r="L35" i="136"/>
  <c r="M35" i="136"/>
  <c r="N35" i="136"/>
  <c r="O35" i="136"/>
  <c r="P35" i="136"/>
  <c r="Q35" i="136"/>
  <c r="R35" i="136"/>
  <c r="S35" i="136"/>
  <c r="T35" i="136"/>
  <c r="U35" i="136"/>
  <c r="W35" i="136"/>
  <c r="E36" i="136"/>
  <c r="F36" i="136"/>
  <c r="G36" i="136"/>
  <c r="H36" i="136"/>
  <c r="I36" i="136"/>
  <c r="J36" i="136"/>
  <c r="K36" i="136"/>
  <c r="L36" i="136"/>
  <c r="M36" i="136"/>
  <c r="N36" i="136"/>
  <c r="O36" i="136"/>
  <c r="P36" i="136"/>
  <c r="Q36" i="136"/>
  <c r="R36" i="136"/>
  <c r="S36" i="136"/>
  <c r="T36" i="136"/>
  <c r="U36" i="136"/>
  <c r="W36" i="136"/>
  <c r="E37" i="136"/>
  <c r="F37" i="136"/>
  <c r="G37" i="136"/>
  <c r="H37" i="136"/>
  <c r="I37" i="136"/>
  <c r="J37" i="136"/>
  <c r="K37" i="136"/>
  <c r="L37" i="136"/>
  <c r="M37" i="136"/>
  <c r="N37" i="136"/>
  <c r="O37" i="136"/>
  <c r="P37" i="136"/>
  <c r="Q37" i="136"/>
  <c r="R37" i="136"/>
  <c r="S37" i="136"/>
  <c r="T37" i="136"/>
  <c r="U37" i="136"/>
  <c r="W37" i="136"/>
  <c r="E38" i="136"/>
  <c r="F38" i="136"/>
  <c r="G38" i="136"/>
  <c r="H38" i="136"/>
  <c r="I38" i="136"/>
  <c r="J38" i="136"/>
  <c r="K38" i="136"/>
  <c r="L38" i="136"/>
  <c r="M38" i="136"/>
  <c r="N38" i="136"/>
  <c r="O38" i="136"/>
  <c r="P38" i="136"/>
  <c r="Q38" i="136"/>
  <c r="R38" i="136"/>
  <c r="S38" i="136"/>
  <c r="T38" i="136"/>
  <c r="U38" i="136"/>
  <c r="W38" i="136"/>
  <c r="E39" i="136"/>
  <c r="F39" i="136"/>
  <c r="G39" i="136"/>
  <c r="H39" i="136"/>
  <c r="I39" i="136"/>
  <c r="J39" i="136"/>
  <c r="K39" i="136"/>
  <c r="L39" i="136"/>
  <c r="M39" i="136"/>
  <c r="N39" i="136"/>
  <c r="O39" i="136"/>
  <c r="P39" i="136"/>
  <c r="Q39" i="136"/>
  <c r="R39" i="136"/>
  <c r="S39" i="136"/>
  <c r="T39" i="136"/>
  <c r="U39" i="136"/>
  <c r="W39" i="136"/>
  <c r="E40" i="136"/>
  <c r="F40" i="136"/>
  <c r="G40" i="136"/>
  <c r="H40" i="136"/>
  <c r="I40" i="136"/>
  <c r="J40" i="136"/>
  <c r="K40" i="136"/>
  <c r="L40" i="136"/>
  <c r="M40" i="136"/>
  <c r="N40" i="136"/>
  <c r="O40" i="136"/>
  <c r="P40" i="136"/>
  <c r="Q40" i="136"/>
  <c r="R40" i="136"/>
  <c r="S40" i="136"/>
  <c r="T40" i="136"/>
  <c r="U40" i="136"/>
  <c r="W40" i="136"/>
  <c r="E41" i="136"/>
  <c r="F41" i="136"/>
  <c r="G41" i="136"/>
  <c r="H41" i="136"/>
  <c r="I41" i="136"/>
  <c r="J41" i="136"/>
  <c r="K41" i="136"/>
  <c r="L41" i="136"/>
  <c r="M41" i="136"/>
  <c r="N41" i="136"/>
  <c r="O41" i="136"/>
  <c r="P41" i="136"/>
  <c r="Q41" i="136"/>
  <c r="R41" i="136"/>
  <c r="S41" i="136"/>
  <c r="T41" i="136"/>
  <c r="U41" i="136"/>
  <c r="W41" i="136"/>
  <c r="E42" i="136"/>
  <c r="F42" i="136"/>
  <c r="G42" i="136"/>
  <c r="H42" i="136"/>
  <c r="I42" i="136"/>
  <c r="J42" i="136"/>
  <c r="K42" i="136"/>
  <c r="L42" i="136"/>
  <c r="M42" i="136"/>
  <c r="N42" i="136"/>
  <c r="O42" i="136"/>
  <c r="P42" i="136"/>
  <c r="Q42" i="136"/>
  <c r="R42" i="136"/>
  <c r="S42" i="136"/>
  <c r="T42" i="136"/>
  <c r="U42" i="136"/>
  <c r="W42" i="136"/>
  <c r="E43" i="136"/>
  <c r="F43" i="136"/>
  <c r="G43" i="136"/>
  <c r="H43" i="136"/>
  <c r="I43" i="136"/>
  <c r="J43" i="136"/>
  <c r="K43" i="136"/>
  <c r="L43" i="136"/>
  <c r="M43" i="136"/>
  <c r="N43" i="136"/>
  <c r="O43" i="136"/>
  <c r="P43" i="136"/>
  <c r="Q43" i="136"/>
  <c r="R43" i="136"/>
  <c r="S43" i="136"/>
  <c r="T43" i="136"/>
  <c r="U43" i="136"/>
  <c r="W43" i="136"/>
  <c r="E44" i="136"/>
  <c r="F44" i="136"/>
  <c r="G44" i="136"/>
  <c r="H44" i="136"/>
  <c r="I44" i="136"/>
  <c r="J44" i="136"/>
  <c r="K44" i="136"/>
  <c r="L44" i="136"/>
  <c r="M44" i="136"/>
  <c r="N44" i="136"/>
  <c r="O44" i="136"/>
  <c r="P44" i="136"/>
  <c r="Q44" i="136"/>
  <c r="R44" i="136"/>
  <c r="S44" i="136"/>
  <c r="T44" i="136"/>
  <c r="U44" i="136"/>
  <c r="W44" i="136"/>
  <c r="E45" i="136"/>
  <c r="F45" i="136"/>
  <c r="G45" i="136"/>
  <c r="H45" i="136"/>
  <c r="I45" i="136"/>
  <c r="J45" i="136"/>
  <c r="K45" i="136"/>
  <c r="L45" i="136"/>
  <c r="M45" i="136"/>
  <c r="N45" i="136"/>
  <c r="O45" i="136"/>
  <c r="P45" i="136"/>
  <c r="Q45" i="136"/>
  <c r="R45" i="136"/>
  <c r="S45" i="136"/>
  <c r="T45" i="136"/>
  <c r="U45" i="136"/>
  <c r="W45" i="136"/>
  <c r="E46" i="136"/>
  <c r="F46" i="136"/>
  <c r="G46" i="136"/>
  <c r="H46" i="136"/>
  <c r="I46" i="136"/>
  <c r="J46" i="136"/>
  <c r="K46" i="136"/>
  <c r="L46" i="136"/>
  <c r="M46" i="136"/>
  <c r="N46" i="136"/>
  <c r="O46" i="136"/>
  <c r="P46" i="136"/>
  <c r="Q46" i="136"/>
  <c r="R46" i="136"/>
  <c r="S46" i="136"/>
  <c r="T46" i="136"/>
  <c r="U46" i="136"/>
  <c r="W46" i="136"/>
  <c r="E47" i="136"/>
  <c r="F47" i="136"/>
  <c r="G47" i="136"/>
  <c r="H47" i="136"/>
  <c r="I47" i="136"/>
  <c r="J47" i="136"/>
  <c r="K47" i="136"/>
  <c r="L47" i="136"/>
  <c r="M47" i="136"/>
  <c r="N47" i="136"/>
  <c r="O47" i="136"/>
  <c r="P47" i="136"/>
  <c r="Q47" i="136"/>
  <c r="R47" i="136"/>
  <c r="S47" i="136"/>
  <c r="T47" i="136"/>
  <c r="U47" i="136"/>
  <c r="W47" i="136"/>
  <c r="E48" i="136"/>
  <c r="F48" i="136"/>
  <c r="G48" i="136"/>
  <c r="H48" i="136"/>
  <c r="I48" i="136"/>
  <c r="J48" i="136"/>
  <c r="K48" i="136"/>
  <c r="L48" i="136"/>
  <c r="M48" i="136"/>
  <c r="N48" i="136"/>
  <c r="O48" i="136"/>
  <c r="P48" i="136"/>
  <c r="Q48" i="136"/>
  <c r="R48" i="136"/>
  <c r="S48" i="136"/>
  <c r="T48" i="136"/>
  <c r="U48" i="136"/>
  <c r="W48" i="136"/>
  <c r="E49" i="136"/>
  <c r="F49" i="136"/>
  <c r="G49" i="136"/>
  <c r="H49" i="136"/>
  <c r="I49" i="136"/>
  <c r="J49" i="136"/>
  <c r="K49" i="136"/>
  <c r="L49" i="136"/>
  <c r="M49" i="136"/>
  <c r="N49" i="136"/>
  <c r="O49" i="136"/>
  <c r="P49" i="136"/>
  <c r="Q49" i="136"/>
  <c r="R49" i="136"/>
  <c r="S49" i="136"/>
  <c r="T49" i="136"/>
  <c r="U49" i="136"/>
  <c r="W49" i="136"/>
  <c r="E50" i="136"/>
  <c r="F50" i="136"/>
  <c r="G50" i="136"/>
  <c r="H50" i="136"/>
  <c r="I50" i="136"/>
  <c r="J50" i="136"/>
  <c r="K50" i="136"/>
  <c r="L50" i="136"/>
  <c r="M50" i="136"/>
  <c r="N50" i="136"/>
  <c r="O50" i="136"/>
  <c r="P50" i="136"/>
  <c r="Q50" i="136"/>
  <c r="R50" i="136"/>
  <c r="S50" i="136"/>
  <c r="T50" i="136"/>
  <c r="U50" i="136"/>
  <c r="W50" i="136"/>
  <c r="E51" i="136"/>
  <c r="F51" i="136"/>
  <c r="G51" i="136"/>
  <c r="H51" i="136"/>
  <c r="I51" i="136"/>
  <c r="J51" i="136"/>
  <c r="K51" i="136"/>
  <c r="L51" i="136"/>
  <c r="M51" i="136"/>
  <c r="N51" i="136"/>
  <c r="O51" i="136"/>
  <c r="P51" i="136"/>
  <c r="Q51" i="136"/>
  <c r="R51" i="136"/>
  <c r="S51" i="136"/>
  <c r="T51" i="136"/>
  <c r="U51" i="136"/>
  <c r="W51" i="136"/>
  <c r="E52" i="136"/>
  <c r="F52" i="136"/>
  <c r="G52" i="136"/>
  <c r="H52" i="136"/>
  <c r="I52" i="136"/>
  <c r="J52" i="136"/>
  <c r="K52" i="136"/>
  <c r="L52" i="136"/>
  <c r="M52" i="136"/>
  <c r="N52" i="136"/>
  <c r="O52" i="136"/>
  <c r="P52" i="136"/>
  <c r="Q52" i="136"/>
  <c r="R52" i="136"/>
  <c r="S52" i="136"/>
  <c r="T52" i="136"/>
  <c r="U52" i="136"/>
  <c r="W52" i="136"/>
  <c r="E53" i="136"/>
  <c r="F53" i="136"/>
  <c r="G53" i="136"/>
  <c r="H53" i="136"/>
  <c r="I53" i="136"/>
  <c r="J53" i="136"/>
  <c r="K53" i="136"/>
  <c r="L53" i="136"/>
  <c r="M53" i="136"/>
  <c r="N53" i="136"/>
  <c r="O53" i="136"/>
  <c r="P53" i="136"/>
  <c r="Q53" i="136"/>
  <c r="R53" i="136"/>
  <c r="S53" i="136"/>
  <c r="T53" i="136"/>
  <c r="U53" i="136"/>
  <c r="W53" i="136"/>
  <c r="E54" i="136"/>
  <c r="F54" i="136"/>
  <c r="G54" i="136"/>
  <c r="H54" i="136"/>
  <c r="I54" i="136"/>
  <c r="J54" i="136"/>
  <c r="K54" i="136"/>
  <c r="L54" i="136"/>
  <c r="M54" i="136"/>
  <c r="N54" i="136"/>
  <c r="O54" i="136"/>
  <c r="P54" i="136"/>
  <c r="Q54" i="136"/>
  <c r="R54" i="136"/>
  <c r="S54" i="136"/>
  <c r="T54" i="136"/>
  <c r="U54" i="136"/>
  <c r="W54" i="136"/>
  <c r="E55" i="136"/>
  <c r="F55" i="136"/>
  <c r="G55" i="136"/>
  <c r="H55" i="136"/>
  <c r="I55" i="136"/>
  <c r="J55" i="136"/>
  <c r="K55" i="136"/>
  <c r="L55" i="136"/>
  <c r="M55" i="136"/>
  <c r="N55" i="136"/>
  <c r="O55" i="136"/>
  <c r="P55" i="136"/>
  <c r="Q55" i="136"/>
  <c r="R55" i="136"/>
  <c r="S55" i="136"/>
  <c r="T55" i="136"/>
  <c r="U55" i="136"/>
  <c r="W55" i="136"/>
  <c r="E56" i="136"/>
  <c r="F56" i="136"/>
  <c r="G56" i="136"/>
  <c r="H56" i="136"/>
  <c r="I56" i="136"/>
  <c r="J56" i="136"/>
  <c r="K56" i="136"/>
  <c r="L56" i="136"/>
  <c r="M56" i="136"/>
  <c r="N56" i="136"/>
  <c r="O56" i="136"/>
  <c r="P56" i="136"/>
  <c r="Q56" i="136"/>
  <c r="R56" i="136"/>
  <c r="S56" i="136"/>
  <c r="T56" i="136"/>
  <c r="U56" i="136"/>
  <c r="W56" i="136"/>
  <c r="E57" i="136"/>
  <c r="F57" i="136"/>
  <c r="G57" i="136"/>
  <c r="H57" i="136"/>
  <c r="I57" i="136"/>
  <c r="J57" i="136"/>
  <c r="K57" i="136"/>
  <c r="L57" i="136"/>
  <c r="M57" i="136"/>
  <c r="N57" i="136"/>
  <c r="O57" i="136"/>
  <c r="P57" i="136"/>
  <c r="Q57" i="136"/>
  <c r="R57" i="136"/>
  <c r="S57" i="136"/>
  <c r="T57" i="136"/>
  <c r="U57" i="136"/>
  <c r="W57" i="136"/>
  <c r="E58" i="136"/>
  <c r="F58" i="136"/>
  <c r="G58" i="136"/>
  <c r="H58" i="136"/>
  <c r="I58" i="136"/>
  <c r="J58" i="136"/>
  <c r="K58" i="136"/>
  <c r="L58" i="136"/>
  <c r="M58" i="136"/>
  <c r="N58" i="136"/>
  <c r="O58" i="136"/>
  <c r="P58" i="136"/>
  <c r="Q58" i="136"/>
  <c r="R58" i="136"/>
  <c r="S58" i="136"/>
  <c r="T58" i="136"/>
  <c r="U58" i="136"/>
  <c r="W58" i="136"/>
  <c r="E59" i="136"/>
  <c r="F59" i="136"/>
  <c r="G59" i="136"/>
  <c r="H59" i="136"/>
  <c r="I59" i="136"/>
  <c r="J59" i="136"/>
  <c r="K59" i="136"/>
  <c r="L59" i="136"/>
  <c r="M59" i="136"/>
  <c r="N59" i="136"/>
  <c r="O59" i="136"/>
  <c r="P59" i="136"/>
  <c r="Q59" i="136"/>
  <c r="R59" i="136"/>
  <c r="S59" i="136"/>
  <c r="T59" i="136"/>
  <c r="U59" i="136"/>
  <c r="W59" i="136"/>
  <c r="E60" i="136"/>
  <c r="F60" i="136"/>
  <c r="G60" i="136"/>
  <c r="H60" i="136"/>
  <c r="I60" i="136"/>
  <c r="J60" i="136"/>
  <c r="K60" i="136"/>
  <c r="L60" i="136"/>
  <c r="M60" i="136"/>
  <c r="N60" i="136"/>
  <c r="O60" i="136"/>
  <c r="P60" i="136"/>
  <c r="Q60" i="136"/>
  <c r="R60" i="136"/>
  <c r="S60" i="136"/>
  <c r="T60" i="136"/>
  <c r="U60" i="136"/>
  <c r="W60" i="136"/>
  <c r="E61" i="136"/>
  <c r="F61" i="136"/>
  <c r="G61" i="136"/>
  <c r="H61" i="136"/>
  <c r="I61" i="136"/>
  <c r="J61" i="136"/>
  <c r="K61" i="136"/>
  <c r="L61" i="136"/>
  <c r="M61" i="136"/>
  <c r="N61" i="136"/>
  <c r="O61" i="136"/>
  <c r="P61" i="136"/>
  <c r="Q61" i="136"/>
  <c r="R61" i="136"/>
  <c r="S61" i="136"/>
  <c r="T61" i="136"/>
  <c r="U61" i="136"/>
  <c r="W61" i="136"/>
  <c r="E62" i="136"/>
  <c r="F62" i="136"/>
  <c r="G62" i="136"/>
  <c r="H62" i="136"/>
  <c r="I62" i="136"/>
  <c r="J62" i="136"/>
  <c r="K62" i="136"/>
  <c r="L62" i="136"/>
  <c r="M62" i="136"/>
  <c r="N62" i="136"/>
  <c r="O62" i="136"/>
  <c r="P62" i="136"/>
  <c r="Q62" i="136"/>
  <c r="R62" i="136"/>
  <c r="S62" i="136"/>
  <c r="T62" i="136"/>
  <c r="U62" i="136"/>
  <c r="W62" i="136"/>
  <c r="E63" i="136"/>
  <c r="F63" i="136"/>
  <c r="G63" i="136"/>
  <c r="H63" i="136"/>
  <c r="I63" i="136"/>
  <c r="J63" i="136"/>
  <c r="K63" i="136"/>
  <c r="L63" i="136"/>
  <c r="M63" i="136"/>
  <c r="N63" i="136"/>
  <c r="O63" i="136"/>
  <c r="P63" i="136"/>
  <c r="Q63" i="136"/>
  <c r="R63" i="136"/>
  <c r="S63" i="136"/>
  <c r="T63" i="136"/>
  <c r="U63" i="136"/>
  <c r="W63" i="136"/>
  <c r="E64" i="136"/>
  <c r="F64" i="136"/>
  <c r="G64" i="136"/>
  <c r="H64" i="136"/>
  <c r="I64" i="136"/>
  <c r="J64" i="136"/>
  <c r="K64" i="136"/>
  <c r="L64" i="136"/>
  <c r="M64" i="136"/>
  <c r="N64" i="136"/>
  <c r="O64" i="136"/>
  <c r="P64" i="136"/>
  <c r="Q64" i="136"/>
  <c r="R64" i="136"/>
  <c r="S64" i="136"/>
  <c r="T64" i="136"/>
  <c r="U64" i="136"/>
  <c r="W64" i="136"/>
  <c r="E65" i="136"/>
  <c r="F65" i="136"/>
  <c r="G65" i="136"/>
  <c r="H65" i="136"/>
  <c r="I65" i="136"/>
  <c r="J65" i="136"/>
  <c r="K65" i="136"/>
  <c r="L65" i="136"/>
  <c r="M65" i="136"/>
  <c r="N65" i="136"/>
  <c r="O65" i="136"/>
  <c r="P65" i="136"/>
  <c r="Q65" i="136"/>
  <c r="R65" i="136"/>
  <c r="S65" i="136"/>
  <c r="T65" i="136"/>
  <c r="U65" i="136"/>
  <c r="W65" i="136"/>
  <c r="E66" i="136"/>
  <c r="F66" i="136"/>
  <c r="G66" i="136"/>
  <c r="H66" i="136"/>
  <c r="I66" i="136"/>
  <c r="J66" i="136"/>
  <c r="K66" i="136"/>
  <c r="L66" i="136"/>
  <c r="M66" i="136"/>
  <c r="N66" i="136"/>
  <c r="O66" i="136"/>
  <c r="P66" i="136"/>
  <c r="Q66" i="136"/>
  <c r="R66" i="136"/>
  <c r="S66" i="136"/>
  <c r="T66" i="136"/>
  <c r="U66" i="136"/>
  <c r="W66" i="136"/>
  <c r="E67" i="136"/>
  <c r="F67" i="136"/>
  <c r="G67" i="136"/>
  <c r="H67" i="136"/>
  <c r="I67" i="136"/>
  <c r="J67" i="136"/>
  <c r="K67" i="136"/>
  <c r="L67" i="136"/>
  <c r="M67" i="136"/>
  <c r="N67" i="136"/>
  <c r="O67" i="136"/>
  <c r="P67" i="136"/>
  <c r="Q67" i="136"/>
  <c r="R67" i="136"/>
  <c r="S67" i="136"/>
  <c r="T67" i="136"/>
  <c r="U67" i="136"/>
  <c r="W67" i="136"/>
  <c r="E68" i="136"/>
  <c r="F68" i="136"/>
  <c r="G68" i="136"/>
  <c r="H68" i="136"/>
  <c r="I68" i="136"/>
  <c r="J68" i="136"/>
  <c r="K68" i="136"/>
  <c r="L68" i="136"/>
  <c r="M68" i="136"/>
  <c r="N68" i="136"/>
  <c r="O68" i="136"/>
  <c r="P68" i="136"/>
  <c r="Q68" i="136"/>
  <c r="R68" i="136"/>
  <c r="S68" i="136"/>
  <c r="T68" i="136"/>
  <c r="U68" i="136"/>
  <c r="W68" i="136"/>
  <c r="E69" i="136"/>
  <c r="F69" i="136"/>
  <c r="G69" i="136"/>
  <c r="H69" i="136"/>
  <c r="I69" i="136"/>
  <c r="J69" i="136"/>
  <c r="K69" i="136"/>
  <c r="L69" i="136"/>
  <c r="M69" i="136"/>
  <c r="N69" i="136"/>
  <c r="O69" i="136"/>
  <c r="P69" i="136"/>
  <c r="Q69" i="136"/>
  <c r="R69" i="136"/>
  <c r="S69" i="136"/>
  <c r="T69" i="136"/>
  <c r="U69" i="136"/>
  <c r="W69" i="136"/>
  <c r="E70" i="136"/>
  <c r="F70" i="136"/>
  <c r="G70" i="136"/>
  <c r="H70" i="136"/>
  <c r="I70" i="136"/>
  <c r="J70" i="136"/>
  <c r="K70" i="136"/>
  <c r="L70" i="136"/>
  <c r="M70" i="136"/>
  <c r="N70" i="136"/>
  <c r="O70" i="136"/>
  <c r="P70" i="136"/>
  <c r="Q70" i="136"/>
  <c r="R70" i="136"/>
  <c r="S70" i="136"/>
  <c r="T70" i="136"/>
  <c r="U70" i="136"/>
  <c r="W70" i="136"/>
  <c r="E71" i="136"/>
  <c r="F71" i="136"/>
  <c r="G71" i="136"/>
  <c r="H71" i="136"/>
  <c r="I71" i="136"/>
  <c r="J71" i="136"/>
  <c r="K71" i="136"/>
  <c r="L71" i="136"/>
  <c r="M71" i="136"/>
  <c r="N71" i="136"/>
  <c r="O71" i="136"/>
  <c r="P71" i="136"/>
  <c r="Q71" i="136"/>
  <c r="R71" i="136"/>
  <c r="S71" i="136"/>
  <c r="T71" i="136"/>
  <c r="U71" i="136"/>
  <c r="W71" i="136"/>
  <c r="E72" i="136"/>
  <c r="F72" i="136"/>
  <c r="G72" i="136"/>
  <c r="H72" i="136"/>
  <c r="I72" i="136"/>
  <c r="J72" i="136"/>
  <c r="K72" i="136"/>
  <c r="L72" i="136"/>
  <c r="M72" i="136"/>
  <c r="N72" i="136"/>
  <c r="O72" i="136"/>
  <c r="P72" i="136"/>
  <c r="Q72" i="136"/>
  <c r="R72" i="136"/>
  <c r="S72" i="136"/>
  <c r="T72" i="136"/>
  <c r="U72" i="136"/>
  <c r="W72" i="136"/>
  <c r="E73" i="136"/>
  <c r="F73" i="136"/>
  <c r="G73" i="136"/>
  <c r="H73" i="136"/>
  <c r="I73" i="136"/>
  <c r="J73" i="136"/>
  <c r="K73" i="136"/>
  <c r="L73" i="136"/>
  <c r="M73" i="136"/>
  <c r="N73" i="136"/>
  <c r="O73" i="136"/>
  <c r="P73" i="136"/>
  <c r="Q73" i="136"/>
  <c r="R73" i="136"/>
  <c r="S73" i="136"/>
  <c r="T73" i="136"/>
  <c r="U73" i="136"/>
  <c r="W73" i="136"/>
  <c r="E74" i="136"/>
  <c r="F74" i="136"/>
  <c r="G74" i="136"/>
  <c r="H74" i="136"/>
  <c r="I74" i="136"/>
  <c r="J74" i="136"/>
  <c r="K74" i="136"/>
  <c r="L74" i="136"/>
  <c r="M74" i="136"/>
  <c r="N74" i="136"/>
  <c r="O74" i="136"/>
  <c r="P74" i="136"/>
  <c r="Q74" i="136"/>
  <c r="R74" i="136"/>
  <c r="S74" i="136"/>
  <c r="T74" i="136"/>
  <c r="U74" i="136"/>
  <c r="W74" i="136"/>
  <c r="E75" i="136"/>
  <c r="F75" i="136"/>
  <c r="G75" i="136"/>
  <c r="H75" i="136"/>
  <c r="I75" i="136"/>
  <c r="J75" i="136"/>
  <c r="K75" i="136"/>
  <c r="L75" i="136"/>
  <c r="M75" i="136"/>
  <c r="N75" i="136"/>
  <c r="O75" i="136"/>
  <c r="P75" i="136"/>
  <c r="Q75" i="136"/>
  <c r="R75" i="136"/>
  <c r="S75" i="136"/>
  <c r="T75" i="136"/>
  <c r="U75" i="136"/>
  <c r="W75" i="136"/>
  <c r="E76" i="136"/>
  <c r="F76" i="136"/>
  <c r="G76" i="136"/>
  <c r="H76" i="136"/>
  <c r="I76" i="136"/>
  <c r="J76" i="136"/>
  <c r="K76" i="136"/>
  <c r="L76" i="136"/>
  <c r="M76" i="136"/>
  <c r="N76" i="136"/>
  <c r="O76" i="136"/>
  <c r="P76" i="136"/>
  <c r="Q76" i="136"/>
  <c r="R76" i="136"/>
  <c r="S76" i="136"/>
  <c r="T76" i="136"/>
  <c r="U76" i="136"/>
  <c r="W76" i="136"/>
  <c r="E77" i="136"/>
  <c r="F77" i="136"/>
  <c r="G77" i="136"/>
  <c r="H77" i="136"/>
  <c r="I77" i="136"/>
  <c r="J77" i="136"/>
  <c r="K77" i="136"/>
  <c r="L77" i="136"/>
  <c r="M77" i="136"/>
  <c r="N77" i="136"/>
  <c r="O77" i="136"/>
  <c r="P77" i="136"/>
  <c r="Q77" i="136"/>
  <c r="R77" i="136"/>
  <c r="S77" i="136"/>
  <c r="T77" i="136"/>
  <c r="U77" i="136"/>
  <c r="W77" i="136"/>
  <c r="E78" i="136"/>
  <c r="F78" i="136"/>
  <c r="G78" i="136"/>
  <c r="H78" i="136"/>
  <c r="I78" i="136"/>
  <c r="J78" i="136"/>
  <c r="K78" i="136"/>
  <c r="L78" i="136"/>
  <c r="M78" i="136"/>
  <c r="N78" i="136"/>
  <c r="O78" i="136"/>
  <c r="P78" i="136"/>
  <c r="Q78" i="136"/>
  <c r="R78" i="136"/>
  <c r="S78" i="136"/>
  <c r="T78" i="136"/>
  <c r="U78" i="136"/>
  <c r="W78" i="136"/>
  <c r="E79" i="136"/>
  <c r="F79" i="136"/>
  <c r="G79" i="136"/>
  <c r="H79" i="136"/>
  <c r="I79" i="136"/>
  <c r="J79" i="136"/>
  <c r="K79" i="136"/>
  <c r="L79" i="136"/>
  <c r="M79" i="136"/>
  <c r="N79" i="136"/>
  <c r="O79" i="136"/>
  <c r="P79" i="136"/>
  <c r="Q79" i="136"/>
  <c r="R79" i="136"/>
  <c r="S79" i="136"/>
  <c r="T79" i="136"/>
  <c r="U79" i="136"/>
  <c r="W79" i="136"/>
  <c r="E80" i="136"/>
  <c r="F80" i="136"/>
  <c r="G80" i="136"/>
  <c r="H80" i="136"/>
  <c r="I80" i="136"/>
  <c r="J80" i="136"/>
  <c r="K80" i="136"/>
  <c r="L80" i="136"/>
  <c r="M80" i="136"/>
  <c r="N80" i="136"/>
  <c r="O80" i="136"/>
  <c r="P80" i="136"/>
  <c r="Q80" i="136"/>
  <c r="R80" i="136"/>
  <c r="S80" i="136"/>
  <c r="T80" i="136"/>
  <c r="U80" i="136"/>
  <c r="W80" i="136"/>
  <c r="E81" i="136"/>
  <c r="F81" i="136"/>
  <c r="G81" i="136"/>
  <c r="H81" i="136"/>
  <c r="I81" i="136"/>
  <c r="J81" i="136"/>
  <c r="K81" i="136"/>
  <c r="L81" i="136"/>
  <c r="M81" i="136"/>
  <c r="N81" i="136"/>
  <c r="O81" i="136"/>
  <c r="P81" i="136"/>
  <c r="Q81" i="136"/>
  <c r="R81" i="136"/>
  <c r="S81" i="136"/>
  <c r="T81" i="136"/>
  <c r="U81" i="136"/>
  <c r="W81" i="136"/>
  <c r="E82" i="136"/>
  <c r="F82" i="136"/>
  <c r="G82" i="136"/>
  <c r="H82" i="136"/>
  <c r="I82" i="136"/>
  <c r="J82" i="136"/>
  <c r="K82" i="136"/>
  <c r="L82" i="136"/>
  <c r="M82" i="136"/>
  <c r="N82" i="136"/>
  <c r="O82" i="136"/>
  <c r="P82" i="136"/>
  <c r="Q82" i="136"/>
  <c r="R82" i="136"/>
  <c r="S82" i="136"/>
  <c r="T82" i="136"/>
  <c r="U82" i="136"/>
  <c r="W82" i="136"/>
  <c r="E83" i="136"/>
  <c r="F83" i="136"/>
  <c r="G83" i="136"/>
  <c r="H83" i="136"/>
  <c r="I83" i="136"/>
  <c r="J83" i="136"/>
  <c r="K83" i="136"/>
  <c r="L83" i="136"/>
  <c r="M83" i="136"/>
  <c r="N83" i="136"/>
  <c r="O83" i="136"/>
  <c r="P83" i="136"/>
  <c r="Q83" i="136"/>
  <c r="R83" i="136"/>
  <c r="S83" i="136"/>
  <c r="T83" i="136"/>
  <c r="U83" i="136"/>
  <c r="W83" i="136"/>
  <c r="E84" i="136"/>
  <c r="F84" i="136"/>
  <c r="G84" i="136"/>
  <c r="H84" i="136"/>
  <c r="I84" i="136"/>
  <c r="J84" i="136"/>
  <c r="K84" i="136"/>
  <c r="L84" i="136"/>
  <c r="M84" i="136"/>
  <c r="N84" i="136"/>
  <c r="O84" i="136"/>
  <c r="P84" i="136"/>
  <c r="Q84" i="136"/>
  <c r="R84" i="136"/>
  <c r="S84" i="136"/>
  <c r="T84" i="136"/>
  <c r="U84" i="136"/>
  <c r="W84" i="136"/>
  <c r="E85" i="136"/>
  <c r="F85" i="136"/>
  <c r="G85" i="136"/>
  <c r="H85" i="136"/>
  <c r="I85" i="136"/>
  <c r="J85" i="136"/>
  <c r="K85" i="136"/>
  <c r="L85" i="136"/>
  <c r="M85" i="136"/>
  <c r="N85" i="136"/>
  <c r="O85" i="136"/>
  <c r="P85" i="136"/>
  <c r="Q85" i="136"/>
  <c r="R85" i="136"/>
  <c r="S85" i="136"/>
  <c r="T85" i="136"/>
  <c r="U85" i="136"/>
  <c r="W85" i="136"/>
  <c r="E86" i="136"/>
  <c r="F86" i="136"/>
  <c r="G86" i="136"/>
  <c r="H86" i="136"/>
  <c r="I86" i="136"/>
  <c r="J86" i="136"/>
  <c r="K86" i="136"/>
  <c r="L86" i="136"/>
  <c r="M86" i="136"/>
  <c r="N86" i="136"/>
  <c r="O86" i="136"/>
  <c r="P86" i="136"/>
  <c r="Q86" i="136"/>
  <c r="R86" i="136"/>
  <c r="S86" i="136"/>
  <c r="T86" i="136"/>
  <c r="U86" i="136"/>
  <c r="W86" i="136"/>
  <c r="E87" i="136"/>
  <c r="F87" i="136"/>
  <c r="G87" i="136"/>
  <c r="H87" i="136"/>
  <c r="I87" i="136"/>
  <c r="J87" i="136"/>
  <c r="K87" i="136"/>
  <c r="L87" i="136"/>
  <c r="M87" i="136"/>
  <c r="N87" i="136"/>
  <c r="O87" i="136"/>
  <c r="P87" i="136"/>
  <c r="Q87" i="136"/>
  <c r="R87" i="136"/>
  <c r="S87" i="136"/>
  <c r="T87" i="136"/>
  <c r="U87" i="136"/>
  <c r="W87" i="136"/>
  <c r="E88" i="136"/>
  <c r="F88" i="136"/>
  <c r="G88" i="136"/>
  <c r="H88" i="136"/>
  <c r="I88" i="136"/>
  <c r="J88" i="136"/>
  <c r="K88" i="136"/>
  <c r="L88" i="136"/>
  <c r="M88" i="136"/>
  <c r="N88" i="136"/>
  <c r="O88" i="136"/>
  <c r="P88" i="136"/>
  <c r="Q88" i="136"/>
  <c r="R88" i="136"/>
  <c r="S88" i="136"/>
  <c r="T88" i="136"/>
  <c r="U88" i="136"/>
  <c r="W88" i="136"/>
  <c r="E89" i="136"/>
  <c r="F89" i="136"/>
  <c r="G89" i="136"/>
  <c r="H89" i="136"/>
  <c r="I89" i="136"/>
  <c r="J89" i="136"/>
  <c r="K89" i="136"/>
  <c r="L89" i="136"/>
  <c r="M89" i="136"/>
  <c r="N89" i="136"/>
  <c r="O89" i="136"/>
  <c r="P89" i="136"/>
  <c r="Q89" i="136"/>
  <c r="R89" i="136"/>
  <c r="S89" i="136"/>
  <c r="T89" i="136"/>
  <c r="U89" i="136"/>
  <c r="W89" i="136"/>
  <c r="E90" i="136"/>
  <c r="F90" i="136"/>
  <c r="G90" i="136"/>
  <c r="H90" i="136"/>
  <c r="I90" i="136"/>
  <c r="J90" i="136"/>
  <c r="K90" i="136"/>
  <c r="L90" i="136"/>
  <c r="M90" i="136"/>
  <c r="N90" i="136"/>
  <c r="O90" i="136"/>
  <c r="P90" i="136"/>
  <c r="Q90" i="136"/>
  <c r="R90" i="136"/>
  <c r="S90" i="136"/>
  <c r="T90" i="136"/>
  <c r="U90" i="136"/>
  <c r="W90" i="136"/>
  <c r="E91" i="136"/>
  <c r="F91" i="136"/>
  <c r="G91" i="136"/>
  <c r="H91" i="136"/>
  <c r="I91" i="136"/>
  <c r="J91" i="136"/>
  <c r="K91" i="136"/>
  <c r="L91" i="136"/>
  <c r="M91" i="136"/>
  <c r="N91" i="136"/>
  <c r="O91" i="136"/>
  <c r="P91" i="136"/>
  <c r="Q91" i="136"/>
  <c r="R91" i="136"/>
  <c r="S91" i="136"/>
  <c r="T91" i="136"/>
  <c r="U91" i="136"/>
  <c r="W91" i="136"/>
  <c r="E92" i="136"/>
  <c r="F92" i="136"/>
  <c r="G92" i="136"/>
  <c r="H92" i="136"/>
  <c r="I92" i="136"/>
  <c r="J92" i="136"/>
  <c r="K92" i="136"/>
  <c r="L92" i="136"/>
  <c r="M92" i="136"/>
  <c r="N92" i="136"/>
  <c r="O92" i="136"/>
  <c r="P92" i="136"/>
  <c r="Q92" i="136"/>
  <c r="R92" i="136"/>
  <c r="S92" i="136"/>
  <c r="T92" i="136"/>
  <c r="U92" i="136"/>
  <c r="W92" i="136"/>
  <c r="E93" i="136"/>
  <c r="F93" i="136"/>
  <c r="G93" i="136"/>
  <c r="H93" i="136"/>
  <c r="I93" i="136"/>
  <c r="J93" i="136"/>
  <c r="K93" i="136"/>
  <c r="L93" i="136"/>
  <c r="M93" i="136"/>
  <c r="N93" i="136"/>
  <c r="O93" i="136"/>
  <c r="P93" i="136"/>
  <c r="Q93" i="136"/>
  <c r="R93" i="136"/>
  <c r="S93" i="136"/>
  <c r="T93" i="136"/>
  <c r="U93" i="136"/>
  <c r="W93" i="136"/>
  <c r="E94" i="136"/>
  <c r="F94" i="136"/>
  <c r="G94" i="136"/>
  <c r="H94" i="136"/>
  <c r="I94" i="136"/>
  <c r="J94" i="136"/>
  <c r="K94" i="136"/>
  <c r="L94" i="136"/>
  <c r="M94" i="136"/>
  <c r="N94" i="136"/>
  <c r="O94" i="136"/>
  <c r="P94" i="136"/>
  <c r="Q94" i="136"/>
  <c r="R94" i="136"/>
  <c r="S94" i="136"/>
  <c r="T94" i="136"/>
  <c r="U94" i="136"/>
  <c r="W94" i="136"/>
  <c r="E95" i="136"/>
  <c r="F95" i="136"/>
  <c r="G95" i="136"/>
  <c r="H95" i="136"/>
  <c r="I95" i="136"/>
  <c r="J95" i="136"/>
  <c r="K95" i="136"/>
  <c r="L95" i="136"/>
  <c r="M95" i="136"/>
  <c r="N95" i="136"/>
  <c r="O95" i="136"/>
  <c r="P95" i="136"/>
  <c r="Q95" i="136"/>
  <c r="R95" i="136"/>
  <c r="S95" i="136"/>
  <c r="T95" i="136"/>
  <c r="U95" i="136"/>
  <c r="W95" i="136"/>
  <c r="E96" i="136"/>
  <c r="F96" i="136"/>
  <c r="G96" i="136"/>
  <c r="H96" i="136"/>
  <c r="I96" i="136"/>
  <c r="J96" i="136"/>
  <c r="K96" i="136"/>
  <c r="L96" i="136"/>
  <c r="M96" i="136"/>
  <c r="N96" i="136"/>
  <c r="O96" i="136"/>
  <c r="P96" i="136"/>
  <c r="Q96" i="136"/>
  <c r="R96" i="136"/>
  <c r="S96" i="136"/>
  <c r="T96" i="136"/>
  <c r="U96" i="136"/>
  <c r="W96" i="136"/>
  <c r="E97" i="136"/>
  <c r="F97" i="136"/>
  <c r="G97" i="136"/>
  <c r="H97" i="136"/>
  <c r="I97" i="136"/>
  <c r="J97" i="136"/>
  <c r="K97" i="136"/>
  <c r="L97" i="136"/>
  <c r="M97" i="136"/>
  <c r="N97" i="136"/>
  <c r="O97" i="136"/>
  <c r="P97" i="136"/>
  <c r="Q97" i="136"/>
  <c r="R97" i="136"/>
  <c r="S97" i="136"/>
  <c r="T97" i="136"/>
  <c r="U97" i="136"/>
  <c r="W97" i="136"/>
  <c r="E98" i="136"/>
  <c r="F98" i="136"/>
  <c r="G98" i="136"/>
  <c r="H98" i="136"/>
  <c r="I98" i="136"/>
  <c r="J98" i="136"/>
  <c r="K98" i="136"/>
  <c r="L98" i="136"/>
  <c r="M98" i="136"/>
  <c r="N98" i="136"/>
  <c r="O98" i="136"/>
  <c r="P98" i="136"/>
  <c r="Q98" i="136"/>
  <c r="R98" i="136"/>
  <c r="S98" i="136"/>
  <c r="T98" i="136"/>
  <c r="U98" i="136"/>
  <c r="W98" i="136"/>
  <c r="E99" i="136"/>
  <c r="F99" i="136"/>
  <c r="G99" i="136"/>
  <c r="H99" i="136"/>
  <c r="I99" i="136"/>
  <c r="J99" i="136"/>
  <c r="K99" i="136"/>
  <c r="L99" i="136"/>
  <c r="M99" i="136"/>
  <c r="N99" i="136"/>
  <c r="O99" i="136"/>
  <c r="P99" i="136"/>
  <c r="Q99" i="136"/>
  <c r="R99" i="136"/>
  <c r="S99" i="136"/>
  <c r="T99" i="136"/>
  <c r="U99" i="136"/>
  <c r="W99" i="136"/>
  <c r="E100" i="136"/>
  <c r="F100" i="136"/>
  <c r="G100" i="136"/>
  <c r="H100" i="136"/>
  <c r="I100" i="136"/>
  <c r="J100" i="136"/>
  <c r="K100" i="136"/>
  <c r="L100" i="136"/>
  <c r="M100" i="136"/>
  <c r="N100" i="136"/>
  <c r="O100" i="136"/>
  <c r="P100" i="136"/>
  <c r="Q100" i="136"/>
  <c r="R100" i="136"/>
  <c r="S100" i="136"/>
  <c r="T100" i="136"/>
  <c r="U100" i="136"/>
  <c r="W100" i="136"/>
  <c r="E101" i="136"/>
  <c r="F101" i="136"/>
  <c r="G101" i="136"/>
  <c r="H101" i="136"/>
  <c r="I101" i="136"/>
  <c r="J101" i="136"/>
  <c r="K101" i="136"/>
  <c r="L101" i="136"/>
  <c r="M101" i="136"/>
  <c r="N101" i="136"/>
  <c r="O101" i="136"/>
  <c r="P101" i="136"/>
  <c r="Q101" i="136"/>
  <c r="R101" i="136"/>
  <c r="S101" i="136"/>
  <c r="T101" i="136"/>
  <c r="U101" i="136"/>
  <c r="W101" i="136"/>
  <c r="E102" i="136"/>
  <c r="F102" i="136"/>
  <c r="G102" i="136"/>
  <c r="H102" i="136"/>
  <c r="I102" i="136"/>
  <c r="J102" i="136"/>
  <c r="K102" i="136"/>
  <c r="L102" i="136"/>
  <c r="M102" i="136"/>
  <c r="N102" i="136"/>
  <c r="O102" i="136"/>
  <c r="P102" i="136"/>
  <c r="Q102" i="136"/>
  <c r="R102" i="136"/>
  <c r="S102" i="136"/>
  <c r="T102" i="136"/>
  <c r="U102" i="136"/>
  <c r="W102" i="136"/>
  <c r="E103" i="136"/>
  <c r="F103" i="136"/>
  <c r="G103" i="136"/>
  <c r="H103" i="136"/>
  <c r="I103" i="136"/>
  <c r="J103" i="136"/>
  <c r="K103" i="136"/>
  <c r="L103" i="136"/>
  <c r="M103" i="136"/>
  <c r="N103" i="136"/>
  <c r="O103" i="136"/>
  <c r="P103" i="136"/>
  <c r="Q103" i="136"/>
  <c r="R103" i="136"/>
  <c r="S103" i="136"/>
  <c r="T103" i="136"/>
  <c r="U103" i="136"/>
  <c r="W103" i="136"/>
  <c r="E104" i="136"/>
  <c r="F104" i="136"/>
  <c r="G104" i="136"/>
  <c r="H104" i="136"/>
  <c r="I104" i="136"/>
  <c r="J104" i="136"/>
  <c r="K104" i="136"/>
  <c r="L104" i="136"/>
  <c r="M104" i="136"/>
  <c r="N104" i="136"/>
  <c r="O104" i="136"/>
  <c r="P104" i="136"/>
  <c r="Q104" i="136"/>
  <c r="R104" i="136"/>
  <c r="S104" i="136"/>
  <c r="T104" i="136"/>
  <c r="U104" i="136"/>
  <c r="W104" i="136"/>
  <c r="E105" i="136"/>
  <c r="F105" i="136"/>
  <c r="G105" i="136"/>
  <c r="H105" i="136"/>
  <c r="I105" i="136"/>
  <c r="J105" i="136"/>
  <c r="K105" i="136"/>
  <c r="L105" i="136"/>
  <c r="M105" i="136"/>
  <c r="N105" i="136"/>
  <c r="O105" i="136"/>
  <c r="P105" i="136"/>
  <c r="Q105" i="136"/>
  <c r="R105" i="136"/>
  <c r="S105" i="136"/>
  <c r="T105" i="136"/>
  <c r="U105" i="136"/>
  <c r="W105" i="136"/>
  <c r="E106" i="136"/>
  <c r="F106" i="136"/>
  <c r="G106" i="136"/>
  <c r="H106" i="136"/>
  <c r="I106" i="136"/>
  <c r="J106" i="136"/>
  <c r="K106" i="136"/>
  <c r="L106" i="136"/>
  <c r="M106" i="136"/>
  <c r="N106" i="136"/>
  <c r="O106" i="136"/>
  <c r="P106" i="136"/>
  <c r="Q106" i="136"/>
  <c r="R106" i="136"/>
  <c r="S106" i="136"/>
  <c r="T106" i="136"/>
  <c r="U106" i="136"/>
  <c r="W106" i="136"/>
  <c r="E107" i="136"/>
  <c r="F107" i="136"/>
  <c r="G107" i="136"/>
  <c r="H107" i="136"/>
  <c r="I107" i="136"/>
  <c r="J107" i="136"/>
  <c r="K107" i="136"/>
  <c r="L107" i="136"/>
  <c r="M107" i="136"/>
  <c r="N107" i="136"/>
  <c r="O107" i="136"/>
  <c r="P107" i="136"/>
  <c r="Q107" i="136"/>
  <c r="R107" i="136"/>
  <c r="S107" i="136"/>
  <c r="T107" i="136"/>
  <c r="U107" i="136"/>
  <c r="W107" i="136"/>
  <c r="W12" i="136"/>
  <c r="F12" i="136"/>
  <c r="G12" i="136"/>
  <c r="H12" i="136"/>
  <c r="I12" i="136"/>
  <c r="J12" i="136"/>
  <c r="K12" i="136"/>
  <c r="L12" i="136"/>
  <c r="M12" i="136"/>
  <c r="N12" i="136"/>
  <c r="O12" i="136"/>
  <c r="P12" i="136"/>
  <c r="Q12" i="136"/>
  <c r="R12" i="136"/>
  <c r="S12" i="136"/>
  <c r="T12" i="136"/>
  <c r="U12" i="136"/>
  <c r="E12" i="136"/>
  <c r="C92" i="136"/>
  <c r="C84" i="136"/>
  <c r="C76" i="136"/>
  <c r="C68" i="136"/>
  <c r="C60" i="136"/>
  <c r="C52" i="136"/>
  <c r="C44" i="136"/>
  <c r="C36" i="136"/>
  <c r="C28" i="136"/>
  <c r="C20" i="136"/>
  <c r="C12" i="136"/>
  <c r="B8" i="136"/>
  <c r="D3" i="136"/>
  <c r="D2" i="136"/>
  <c r="E13" i="166"/>
  <c r="F13" i="166"/>
  <c r="G13" i="166"/>
  <c r="H13" i="166"/>
  <c r="I13" i="166"/>
  <c r="J13" i="166"/>
  <c r="K13" i="166"/>
  <c r="L13" i="166"/>
  <c r="M13" i="166"/>
  <c r="N13" i="166"/>
  <c r="O13" i="166"/>
  <c r="P13" i="166"/>
  <c r="Q13" i="166"/>
  <c r="R13" i="166"/>
  <c r="S13" i="166"/>
  <c r="T13" i="166"/>
  <c r="U13" i="166"/>
  <c r="V13" i="166"/>
  <c r="W13" i="166"/>
  <c r="E14" i="166"/>
  <c r="F14" i="166"/>
  <c r="G14" i="166"/>
  <c r="H14" i="166"/>
  <c r="I14" i="166"/>
  <c r="J14" i="166"/>
  <c r="K14" i="166"/>
  <c r="L14" i="166"/>
  <c r="M14" i="166"/>
  <c r="N14" i="166"/>
  <c r="O14" i="166"/>
  <c r="P14" i="166"/>
  <c r="Q14" i="166"/>
  <c r="R14" i="166"/>
  <c r="S14" i="166"/>
  <c r="T14" i="166"/>
  <c r="U14" i="166"/>
  <c r="V14" i="166"/>
  <c r="W14" i="166"/>
  <c r="E15" i="166"/>
  <c r="F15" i="166"/>
  <c r="G15" i="166"/>
  <c r="H15" i="166"/>
  <c r="I15" i="166"/>
  <c r="J15" i="166"/>
  <c r="K15" i="166"/>
  <c r="L15" i="166"/>
  <c r="M15" i="166"/>
  <c r="N15" i="166"/>
  <c r="O15" i="166"/>
  <c r="P15" i="166"/>
  <c r="Q15" i="166"/>
  <c r="R15" i="166"/>
  <c r="S15" i="166"/>
  <c r="T15" i="166"/>
  <c r="U15" i="166"/>
  <c r="V15" i="166"/>
  <c r="W15" i="166"/>
  <c r="E16" i="166"/>
  <c r="F16" i="166"/>
  <c r="G16" i="166"/>
  <c r="H16" i="166"/>
  <c r="I16" i="166"/>
  <c r="J16" i="166"/>
  <c r="K16" i="166"/>
  <c r="L16" i="166"/>
  <c r="M16" i="166"/>
  <c r="N16" i="166"/>
  <c r="O16" i="166"/>
  <c r="P16" i="166"/>
  <c r="Q16" i="166"/>
  <c r="R16" i="166"/>
  <c r="S16" i="166"/>
  <c r="T16" i="166"/>
  <c r="U16" i="166"/>
  <c r="V16" i="166"/>
  <c r="W16" i="166"/>
  <c r="E17" i="166"/>
  <c r="F17" i="166"/>
  <c r="G17" i="166"/>
  <c r="H17" i="166"/>
  <c r="I17" i="166"/>
  <c r="J17" i="166"/>
  <c r="K17" i="166"/>
  <c r="L17" i="166"/>
  <c r="M17" i="166"/>
  <c r="N17" i="166"/>
  <c r="O17" i="166"/>
  <c r="P17" i="166"/>
  <c r="Q17" i="166"/>
  <c r="R17" i="166"/>
  <c r="S17" i="166"/>
  <c r="T17" i="166"/>
  <c r="U17" i="166"/>
  <c r="V17" i="166"/>
  <c r="W17" i="166"/>
  <c r="E18" i="166"/>
  <c r="F18" i="166"/>
  <c r="G18" i="166"/>
  <c r="H18" i="166"/>
  <c r="I18" i="166"/>
  <c r="J18" i="166"/>
  <c r="K18" i="166"/>
  <c r="L18" i="166"/>
  <c r="M18" i="166"/>
  <c r="N18" i="166"/>
  <c r="O18" i="166"/>
  <c r="P18" i="166"/>
  <c r="Q18" i="166"/>
  <c r="R18" i="166"/>
  <c r="S18" i="166"/>
  <c r="T18" i="166"/>
  <c r="U18" i="166"/>
  <c r="V18" i="166"/>
  <c r="W18" i="166"/>
  <c r="E19" i="166"/>
  <c r="F19" i="166"/>
  <c r="G19" i="166"/>
  <c r="H19" i="166"/>
  <c r="I19" i="166"/>
  <c r="J19" i="166"/>
  <c r="K19" i="166"/>
  <c r="L19" i="166"/>
  <c r="M19" i="166"/>
  <c r="N19" i="166"/>
  <c r="O19" i="166"/>
  <c r="P19" i="166"/>
  <c r="Q19" i="166"/>
  <c r="R19" i="166"/>
  <c r="S19" i="166"/>
  <c r="T19" i="166"/>
  <c r="U19" i="166"/>
  <c r="V19" i="166"/>
  <c r="W19" i="166"/>
  <c r="E20" i="166"/>
  <c r="F20" i="166"/>
  <c r="G20" i="166"/>
  <c r="H20" i="166"/>
  <c r="I20" i="166"/>
  <c r="J20" i="166"/>
  <c r="K20" i="166"/>
  <c r="L20" i="166"/>
  <c r="M20" i="166"/>
  <c r="N20" i="166"/>
  <c r="O20" i="166"/>
  <c r="P20" i="166"/>
  <c r="Q20" i="166"/>
  <c r="R20" i="166"/>
  <c r="S20" i="166"/>
  <c r="T20" i="166"/>
  <c r="U20" i="166"/>
  <c r="V20" i="166"/>
  <c r="W20" i="166"/>
  <c r="E21" i="166"/>
  <c r="F21" i="166"/>
  <c r="G21" i="166"/>
  <c r="H21" i="166"/>
  <c r="I21" i="166"/>
  <c r="J21" i="166"/>
  <c r="K21" i="166"/>
  <c r="L21" i="166"/>
  <c r="M21" i="166"/>
  <c r="N21" i="166"/>
  <c r="O21" i="166"/>
  <c r="P21" i="166"/>
  <c r="Q21" i="166"/>
  <c r="R21" i="166"/>
  <c r="S21" i="166"/>
  <c r="T21" i="166"/>
  <c r="U21" i="166"/>
  <c r="V21" i="166"/>
  <c r="W21" i="166"/>
  <c r="E22" i="166"/>
  <c r="F22" i="166"/>
  <c r="G22" i="166"/>
  <c r="H22" i="166"/>
  <c r="I22" i="166"/>
  <c r="J22" i="166"/>
  <c r="K22" i="166"/>
  <c r="L22" i="166"/>
  <c r="M22" i="166"/>
  <c r="N22" i="166"/>
  <c r="O22" i="166"/>
  <c r="P22" i="166"/>
  <c r="Q22" i="166"/>
  <c r="R22" i="166"/>
  <c r="S22" i="166"/>
  <c r="T22" i="166"/>
  <c r="U22" i="166"/>
  <c r="V22" i="166"/>
  <c r="W22" i="166"/>
  <c r="E23" i="166"/>
  <c r="F23" i="166"/>
  <c r="G23" i="166"/>
  <c r="H23" i="166"/>
  <c r="I23" i="166"/>
  <c r="J23" i="166"/>
  <c r="K23" i="166"/>
  <c r="L23" i="166"/>
  <c r="M23" i="166"/>
  <c r="N23" i="166"/>
  <c r="O23" i="166"/>
  <c r="P23" i="166"/>
  <c r="Q23" i="166"/>
  <c r="R23" i="166"/>
  <c r="S23" i="166"/>
  <c r="T23" i="166"/>
  <c r="U23" i="166"/>
  <c r="V23" i="166"/>
  <c r="W23" i="166"/>
  <c r="E24" i="166"/>
  <c r="F24" i="166"/>
  <c r="G24" i="166"/>
  <c r="H24" i="166"/>
  <c r="I24" i="166"/>
  <c r="J24" i="166"/>
  <c r="K24" i="166"/>
  <c r="L24" i="166"/>
  <c r="M24" i="166"/>
  <c r="N24" i="166"/>
  <c r="O24" i="166"/>
  <c r="P24" i="166"/>
  <c r="Q24" i="166"/>
  <c r="R24" i="166"/>
  <c r="S24" i="166"/>
  <c r="T24" i="166"/>
  <c r="U24" i="166"/>
  <c r="V24" i="166"/>
  <c r="W24" i="166"/>
  <c r="E25" i="166"/>
  <c r="F25" i="166"/>
  <c r="G25" i="166"/>
  <c r="H25" i="166"/>
  <c r="I25" i="166"/>
  <c r="J25" i="166"/>
  <c r="K25" i="166"/>
  <c r="L25" i="166"/>
  <c r="M25" i="166"/>
  <c r="N25" i="166"/>
  <c r="O25" i="166"/>
  <c r="P25" i="166"/>
  <c r="Q25" i="166"/>
  <c r="R25" i="166"/>
  <c r="S25" i="166"/>
  <c r="T25" i="166"/>
  <c r="U25" i="166"/>
  <c r="V25" i="166"/>
  <c r="W25" i="166"/>
  <c r="E26" i="166"/>
  <c r="F26" i="166"/>
  <c r="G26" i="166"/>
  <c r="H26" i="166"/>
  <c r="I26" i="166"/>
  <c r="J26" i="166"/>
  <c r="K26" i="166"/>
  <c r="L26" i="166"/>
  <c r="M26" i="166"/>
  <c r="N26" i="166"/>
  <c r="O26" i="166"/>
  <c r="P26" i="166"/>
  <c r="Q26" i="166"/>
  <c r="R26" i="166"/>
  <c r="S26" i="166"/>
  <c r="T26" i="166"/>
  <c r="U26" i="166"/>
  <c r="V26" i="166"/>
  <c r="W26" i="166"/>
  <c r="E27" i="166"/>
  <c r="F27" i="166"/>
  <c r="G27" i="166"/>
  <c r="H27" i="166"/>
  <c r="I27" i="166"/>
  <c r="J27" i="166"/>
  <c r="K27" i="166"/>
  <c r="L27" i="166"/>
  <c r="M27" i="166"/>
  <c r="N27" i="166"/>
  <c r="O27" i="166"/>
  <c r="P27" i="166"/>
  <c r="Q27" i="166"/>
  <c r="R27" i="166"/>
  <c r="S27" i="166"/>
  <c r="T27" i="166"/>
  <c r="U27" i="166"/>
  <c r="V27" i="166"/>
  <c r="W27" i="166"/>
  <c r="E28" i="166"/>
  <c r="F28" i="166"/>
  <c r="G28" i="166"/>
  <c r="H28" i="166"/>
  <c r="I28" i="166"/>
  <c r="J28" i="166"/>
  <c r="K28" i="166"/>
  <c r="L28" i="166"/>
  <c r="M28" i="166"/>
  <c r="N28" i="166"/>
  <c r="O28" i="166"/>
  <c r="P28" i="166"/>
  <c r="Q28" i="166"/>
  <c r="R28" i="166"/>
  <c r="S28" i="166"/>
  <c r="T28" i="166"/>
  <c r="U28" i="166"/>
  <c r="V28" i="166"/>
  <c r="W28" i="166"/>
  <c r="E29" i="166"/>
  <c r="F29" i="166"/>
  <c r="G29" i="166"/>
  <c r="H29" i="166"/>
  <c r="I29" i="166"/>
  <c r="J29" i="166"/>
  <c r="K29" i="166"/>
  <c r="L29" i="166"/>
  <c r="M29" i="166"/>
  <c r="N29" i="166"/>
  <c r="O29" i="166"/>
  <c r="P29" i="166"/>
  <c r="Q29" i="166"/>
  <c r="R29" i="166"/>
  <c r="S29" i="166"/>
  <c r="T29" i="166"/>
  <c r="U29" i="166"/>
  <c r="V29" i="166"/>
  <c r="W29" i="166"/>
  <c r="E30" i="166"/>
  <c r="F30" i="166"/>
  <c r="G30" i="166"/>
  <c r="H30" i="166"/>
  <c r="I30" i="166"/>
  <c r="J30" i="166"/>
  <c r="K30" i="166"/>
  <c r="L30" i="166"/>
  <c r="M30" i="166"/>
  <c r="N30" i="166"/>
  <c r="O30" i="166"/>
  <c r="P30" i="166"/>
  <c r="Q30" i="166"/>
  <c r="R30" i="166"/>
  <c r="S30" i="166"/>
  <c r="T30" i="166"/>
  <c r="U30" i="166"/>
  <c r="V30" i="166"/>
  <c r="W30" i="166"/>
  <c r="E31" i="166"/>
  <c r="F31" i="166"/>
  <c r="G31" i="166"/>
  <c r="H31" i="166"/>
  <c r="I31" i="166"/>
  <c r="J31" i="166"/>
  <c r="K31" i="166"/>
  <c r="L31" i="166"/>
  <c r="M31" i="166"/>
  <c r="N31" i="166"/>
  <c r="O31" i="166"/>
  <c r="P31" i="166"/>
  <c r="Q31" i="166"/>
  <c r="R31" i="166"/>
  <c r="S31" i="166"/>
  <c r="T31" i="166"/>
  <c r="U31" i="166"/>
  <c r="V31" i="166"/>
  <c r="W31" i="166"/>
  <c r="E32" i="166"/>
  <c r="F32" i="166"/>
  <c r="G32" i="166"/>
  <c r="H32" i="166"/>
  <c r="I32" i="166"/>
  <c r="J32" i="166"/>
  <c r="K32" i="166"/>
  <c r="L32" i="166"/>
  <c r="M32" i="166"/>
  <c r="N32" i="166"/>
  <c r="O32" i="166"/>
  <c r="P32" i="166"/>
  <c r="Q32" i="166"/>
  <c r="R32" i="166"/>
  <c r="S32" i="166"/>
  <c r="T32" i="166"/>
  <c r="U32" i="166"/>
  <c r="V32" i="166"/>
  <c r="W32" i="166"/>
  <c r="E33" i="166"/>
  <c r="F33" i="166"/>
  <c r="G33" i="166"/>
  <c r="H33" i="166"/>
  <c r="I33" i="166"/>
  <c r="J33" i="166"/>
  <c r="K33" i="166"/>
  <c r="L33" i="166"/>
  <c r="M33" i="166"/>
  <c r="N33" i="166"/>
  <c r="O33" i="166"/>
  <c r="P33" i="166"/>
  <c r="Q33" i="166"/>
  <c r="R33" i="166"/>
  <c r="S33" i="166"/>
  <c r="T33" i="166"/>
  <c r="U33" i="166"/>
  <c r="V33" i="166"/>
  <c r="W33" i="166"/>
  <c r="E34" i="166"/>
  <c r="F34" i="166"/>
  <c r="G34" i="166"/>
  <c r="H34" i="166"/>
  <c r="I34" i="166"/>
  <c r="J34" i="166"/>
  <c r="K34" i="166"/>
  <c r="L34" i="166"/>
  <c r="M34" i="166"/>
  <c r="N34" i="166"/>
  <c r="O34" i="166"/>
  <c r="P34" i="166"/>
  <c r="Q34" i="166"/>
  <c r="R34" i="166"/>
  <c r="S34" i="166"/>
  <c r="T34" i="166"/>
  <c r="U34" i="166"/>
  <c r="V34" i="166"/>
  <c r="W34" i="166"/>
  <c r="E35" i="166"/>
  <c r="F35" i="166"/>
  <c r="G35" i="166"/>
  <c r="H35" i="166"/>
  <c r="I35" i="166"/>
  <c r="J35" i="166"/>
  <c r="K35" i="166"/>
  <c r="L35" i="166"/>
  <c r="M35" i="166"/>
  <c r="N35" i="166"/>
  <c r="O35" i="166"/>
  <c r="P35" i="166"/>
  <c r="Q35" i="166"/>
  <c r="R35" i="166"/>
  <c r="S35" i="166"/>
  <c r="T35" i="166"/>
  <c r="U35" i="166"/>
  <c r="V35" i="166"/>
  <c r="W35" i="166"/>
  <c r="E36" i="166"/>
  <c r="F36" i="166"/>
  <c r="G36" i="166"/>
  <c r="H36" i="166"/>
  <c r="I36" i="166"/>
  <c r="J36" i="166"/>
  <c r="K36" i="166"/>
  <c r="L36" i="166"/>
  <c r="M36" i="166"/>
  <c r="N36" i="166"/>
  <c r="O36" i="166"/>
  <c r="P36" i="166"/>
  <c r="Q36" i="166"/>
  <c r="R36" i="166"/>
  <c r="S36" i="166"/>
  <c r="T36" i="166"/>
  <c r="U36" i="166"/>
  <c r="V36" i="166"/>
  <c r="W36" i="166"/>
  <c r="E37" i="166"/>
  <c r="F37" i="166"/>
  <c r="G37" i="166"/>
  <c r="H37" i="166"/>
  <c r="I37" i="166"/>
  <c r="J37" i="166"/>
  <c r="K37" i="166"/>
  <c r="L37" i="166"/>
  <c r="M37" i="166"/>
  <c r="N37" i="166"/>
  <c r="O37" i="166"/>
  <c r="P37" i="166"/>
  <c r="Q37" i="166"/>
  <c r="R37" i="166"/>
  <c r="S37" i="166"/>
  <c r="T37" i="166"/>
  <c r="U37" i="166"/>
  <c r="V37" i="166"/>
  <c r="W37" i="166"/>
  <c r="E38" i="166"/>
  <c r="F38" i="166"/>
  <c r="G38" i="166"/>
  <c r="H38" i="166"/>
  <c r="I38" i="166"/>
  <c r="J38" i="166"/>
  <c r="K38" i="166"/>
  <c r="L38" i="166"/>
  <c r="M38" i="166"/>
  <c r="N38" i="166"/>
  <c r="O38" i="166"/>
  <c r="P38" i="166"/>
  <c r="Q38" i="166"/>
  <c r="R38" i="166"/>
  <c r="S38" i="166"/>
  <c r="T38" i="166"/>
  <c r="U38" i="166"/>
  <c r="V38" i="166"/>
  <c r="W38" i="166"/>
  <c r="E39" i="166"/>
  <c r="F39" i="166"/>
  <c r="G39" i="166"/>
  <c r="H39" i="166"/>
  <c r="I39" i="166"/>
  <c r="J39" i="166"/>
  <c r="K39" i="166"/>
  <c r="L39" i="166"/>
  <c r="M39" i="166"/>
  <c r="N39" i="166"/>
  <c r="O39" i="166"/>
  <c r="P39" i="166"/>
  <c r="Q39" i="166"/>
  <c r="R39" i="166"/>
  <c r="S39" i="166"/>
  <c r="T39" i="166"/>
  <c r="U39" i="166"/>
  <c r="V39" i="166"/>
  <c r="W39" i="166"/>
  <c r="E40" i="166"/>
  <c r="F40" i="166"/>
  <c r="G40" i="166"/>
  <c r="H40" i="166"/>
  <c r="I40" i="166"/>
  <c r="J40" i="166"/>
  <c r="K40" i="166"/>
  <c r="L40" i="166"/>
  <c r="M40" i="166"/>
  <c r="N40" i="166"/>
  <c r="O40" i="166"/>
  <c r="P40" i="166"/>
  <c r="Q40" i="166"/>
  <c r="R40" i="166"/>
  <c r="S40" i="166"/>
  <c r="T40" i="166"/>
  <c r="U40" i="166"/>
  <c r="V40" i="166"/>
  <c r="W40" i="166"/>
  <c r="E41" i="166"/>
  <c r="F41" i="166"/>
  <c r="G41" i="166"/>
  <c r="H41" i="166"/>
  <c r="I41" i="166"/>
  <c r="J41" i="166"/>
  <c r="K41" i="166"/>
  <c r="L41" i="166"/>
  <c r="M41" i="166"/>
  <c r="N41" i="166"/>
  <c r="O41" i="166"/>
  <c r="P41" i="166"/>
  <c r="Q41" i="166"/>
  <c r="R41" i="166"/>
  <c r="S41" i="166"/>
  <c r="T41" i="166"/>
  <c r="U41" i="166"/>
  <c r="V41" i="166"/>
  <c r="W41" i="166"/>
  <c r="E42" i="166"/>
  <c r="F42" i="166"/>
  <c r="G42" i="166"/>
  <c r="H42" i="166"/>
  <c r="I42" i="166"/>
  <c r="J42" i="166"/>
  <c r="K42" i="166"/>
  <c r="L42" i="166"/>
  <c r="M42" i="166"/>
  <c r="N42" i="166"/>
  <c r="O42" i="166"/>
  <c r="P42" i="166"/>
  <c r="Q42" i="166"/>
  <c r="R42" i="166"/>
  <c r="S42" i="166"/>
  <c r="T42" i="166"/>
  <c r="U42" i="166"/>
  <c r="V42" i="166"/>
  <c r="W42" i="166"/>
  <c r="E43" i="166"/>
  <c r="F43" i="166"/>
  <c r="G43" i="166"/>
  <c r="H43" i="166"/>
  <c r="I43" i="166"/>
  <c r="J43" i="166"/>
  <c r="K43" i="166"/>
  <c r="L43" i="166"/>
  <c r="M43" i="166"/>
  <c r="N43" i="166"/>
  <c r="O43" i="166"/>
  <c r="P43" i="166"/>
  <c r="Q43" i="166"/>
  <c r="R43" i="166"/>
  <c r="S43" i="166"/>
  <c r="T43" i="166"/>
  <c r="U43" i="166"/>
  <c r="V43" i="166"/>
  <c r="W43" i="166"/>
  <c r="E44" i="166"/>
  <c r="F44" i="166"/>
  <c r="G44" i="166"/>
  <c r="H44" i="166"/>
  <c r="I44" i="166"/>
  <c r="J44" i="166"/>
  <c r="K44" i="166"/>
  <c r="L44" i="166"/>
  <c r="M44" i="166"/>
  <c r="N44" i="166"/>
  <c r="O44" i="166"/>
  <c r="P44" i="166"/>
  <c r="Q44" i="166"/>
  <c r="R44" i="166"/>
  <c r="S44" i="166"/>
  <c r="T44" i="166"/>
  <c r="U44" i="166"/>
  <c r="V44" i="166"/>
  <c r="W44" i="166"/>
  <c r="E45" i="166"/>
  <c r="F45" i="166"/>
  <c r="G45" i="166"/>
  <c r="H45" i="166"/>
  <c r="I45" i="166"/>
  <c r="J45" i="166"/>
  <c r="K45" i="166"/>
  <c r="L45" i="166"/>
  <c r="M45" i="166"/>
  <c r="N45" i="166"/>
  <c r="O45" i="166"/>
  <c r="P45" i="166"/>
  <c r="Q45" i="166"/>
  <c r="R45" i="166"/>
  <c r="S45" i="166"/>
  <c r="T45" i="166"/>
  <c r="U45" i="166"/>
  <c r="V45" i="166"/>
  <c r="W45" i="166"/>
  <c r="E46" i="166"/>
  <c r="F46" i="166"/>
  <c r="G46" i="166"/>
  <c r="H46" i="166"/>
  <c r="I46" i="166"/>
  <c r="J46" i="166"/>
  <c r="K46" i="166"/>
  <c r="L46" i="166"/>
  <c r="M46" i="166"/>
  <c r="N46" i="166"/>
  <c r="O46" i="166"/>
  <c r="P46" i="166"/>
  <c r="Q46" i="166"/>
  <c r="R46" i="166"/>
  <c r="S46" i="166"/>
  <c r="T46" i="166"/>
  <c r="U46" i="166"/>
  <c r="V46" i="166"/>
  <c r="W46" i="166"/>
  <c r="E47" i="166"/>
  <c r="F47" i="166"/>
  <c r="G47" i="166"/>
  <c r="H47" i="166"/>
  <c r="I47" i="166"/>
  <c r="J47" i="166"/>
  <c r="K47" i="166"/>
  <c r="L47" i="166"/>
  <c r="M47" i="166"/>
  <c r="N47" i="166"/>
  <c r="O47" i="166"/>
  <c r="P47" i="166"/>
  <c r="Q47" i="166"/>
  <c r="R47" i="166"/>
  <c r="S47" i="166"/>
  <c r="T47" i="166"/>
  <c r="U47" i="166"/>
  <c r="V47" i="166"/>
  <c r="W47" i="166"/>
  <c r="E48" i="166"/>
  <c r="F48" i="166"/>
  <c r="G48" i="166"/>
  <c r="H48" i="166"/>
  <c r="I48" i="166"/>
  <c r="J48" i="166"/>
  <c r="K48" i="166"/>
  <c r="L48" i="166"/>
  <c r="M48" i="166"/>
  <c r="N48" i="166"/>
  <c r="O48" i="166"/>
  <c r="P48" i="166"/>
  <c r="Q48" i="166"/>
  <c r="R48" i="166"/>
  <c r="S48" i="166"/>
  <c r="T48" i="166"/>
  <c r="U48" i="166"/>
  <c r="V48" i="166"/>
  <c r="W48" i="166"/>
  <c r="E49" i="166"/>
  <c r="F49" i="166"/>
  <c r="G49" i="166"/>
  <c r="H49" i="166"/>
  <c r="I49" i="166"/>
  <c r="J49" i="166"/>
  <c r="K49" i="166"/>
  <c r="L49" i="166"/>
  <c r="M49" i="166"/>
  <c r="N49" i="166"/>
  <c r="O49" i="166"/>
  <c r="P49" i="166"/>
  <c r="Q49" i="166"/>
  <c r="R49" i="166"/>
  <c r="S49" i="166"/>
  <c r="T49" i="166"/>
  <c r="U49" i="166"/>
  <c r="V49" i="166"/>
  <c r="W49" i="166"/>
  <c r="E50" i="166"/>
  <c r="F50" i="166"/>
  <c r="G50" i="166"/>
  <c r="H50" i="166"/>
  <c r="I50" i="166"/>
  <c r="J50" i="166"/>
  <c r="K50" i="166"/>
  <c r="L50" i="166"/>
  <c r="M50" i="166"/>
  <c r="N50" i="166"/>
  <c r="O50" i="166"/>
  <c r="P50" i="166"/>
  <c r="Q50" i="166"/>
  <c r="R50" i="166"/>
  <c r="S50" i="166"/>
  <c r="T50" i="166"/>
  <c r="U50" i="166"/>
  <c r="V50" i="166"/>
  <c r="W50" i="166"/>
  <c r="E51" i="166"/>
  <c r="F51" i="166"/>
  <c r="G51" i="166"/>
  <c r="H51" i="166"/>
  <c r="I51" i="166"/>
  <c r="J51" i="166"/>
  <c r="K51" i="166"/>
  <c r="L51" i="166"/>
  <c r="M51" i="166"/>
  <c r="N51" i="166"/>
  <c r="O51" i="166"/>
  <c r="P51" i="166"/>
  <c r="Q51" i="166"/>
  <c r="R51" i="166"/>
  <c r="S51" i="166"/>
  <c r="T51" i="166"/>
  <c r="U51" i="166"/>
  <c r="V51" i="166"/>
  <c r="W51" i="166"/>
  <c r="W12" i="166"/>
  <c r="F12" i="166"/>
  <c r="G12" i="166"/>
  <c r="H12" i="166"/>
  <c r="I12" i="166"/>
  <c r="J12" i="166"/>
  <c r="K12" i="166"/>
  <c r="L12" i="166"/>
  <c r="M12" i="166"/>
  <c r="N12" i="166"/>
  <c r="O12" i="166"/>
  <c r="P12" i="166"/>
  <c r="Q12" i="166"/>
  <c r="R12" i="166"/>
  <c r="S12" i="166"/>
  <c r="T12" i="166"/>
  <c r="U12" i="166"/>
  <c r="E12" i="166"/>
  <c r="C36" i="166"/>
  <c r="C28" i="166"/>
  <c r="C20" i="166"/>
  <c r="C12" i="166"/>
  <c r="B8" i="166"/>
  <c r="V12" i="166"/>
  <c r="D2" i="166"/>
  <c r="E13" i="138"/>
  <c r="F13" i="138"/>
  <c r="G13" i="138"/>
  <c r="H13" i="138"/>
  <c r="I13" i="138"/>
  <c r="J13" i="138"/>
  <c r="K13" i="138"/>
  <c r="L13" i="138"/>
  <c r="M13" i="138"/>
  <c r="N13" i="138"/>
  <c r="O13" i="138"/>
  <c r="P13" i="138"/>
  <c r="Q13" i="138"/>
  <c r="R13" i="138"/>
  <c r="S13" i="138"/>
  <c r="T13" i="138"/>
  <c r="U13" i="138"/>
  <c r="V13" i="138"/>
  <c r="W13" i="138"/>
  <c r="E14" i="138"/>
  <c r="F14" i="138"/>
  <c r="G14" i="138"/>
  <c r="H14" i="138"/>
  <c r="I14" i="138"/>
  <c r="J14" i="138"/>
  <c r="K14" i="138"/>
  <c r="L14" i="138"/>
  <c r="M14" i="138"/>
  <c r="N14" i="138"/>
  <c r="O14" i="138"/>
  <c r="P14" i="138"/>
  <c r="Q14" i="138"/>
  <c r="R14" i="138"/>
  <c r="S14" i="138"/>
  <c r="T14" i="138"/>
  <c r="U14" i="138"/>
  <c r="V14" i="138"/>
  <c r="W14" i="138"/>
  <c r="E15" i="138"/>
  <c r="F15" i="138"/>
  <c r="G15" i="138"/>
  <c r="H15" i="138"/>
  <c r="I15" i="138"/>
  <c r="J15" i="138"/>
  <c r="K15" i="138"/>
  <c r="L15" i="138"/>
  <c r="M15" i="138"/>
  <c r="N15" i="138"/>
  <c r="O15" i="138"/>
  <c r="P15" i="138"/>
  <c r="Q15" i="138"/>
  <c r="R15" i="138"/>
  <c r="S15" i="138"/>
  <c r="T15" i="138"/>
  <c r="U15" i="138"/>
  <c r="V15" i="138"/>
  <c r="W15" i="138"/>
  <c r="E16" i="138"/>
  <c r="F16" i="138"/>
  <c r="G16" i="138"/>
  <c r="H16" i="138"/>
  <c r="I16" i="138"/>
  <c r="J16" i="138"/>
  <c r="K16" i="138"/>
  <c r="L16" i="138"/>
  <c r="M16" i="138"/>
  <c r="N16" i="138"/>
  <c r="O16" i="138"/>
  <c r="P16" i="138"/>
  <c r="Q16" i="138"/>
  <c r="R16" i="138"/>
  <c r="S16" i="138"/>
  <c r="T16" i="138"/>
  <c r="U16" i="138"/>
  <c r="V16" i="138"/>
  <c r="W16" i="138"/>
  <c r="E17" i="138"/>
  <c r="F17" i="138"/>
  <c r="G17" i="138"/>
  <c r="H17" i="138"/>
  <c r="I17" i="138"/>
  <c r="J17" i="138"/>
  <c r="K17" i="138"/>
  <c r="L17" i="138"/>
  <c r="M17" i="138"/>
  <c r="N17" i="138"/>
  <c r="O17" i="138"/>
  <c r="P17" i="138"/>
  <c r="Q17" i="138"/>
  <c r="R17" i="138"/>
  <c r="S17" i="138"/>
  <c r="T17" i="138"/>
  <c r="U17" i="138"/>
  <c r="V17" i="138"/>
  <c r="W17" i="138"/>
  <c r="E18" i="138"/>
  <c r="F18" i="138"/>
  <c r="G18" i="138"/>
  <c r="H18" i="138"/>
  <c r="I18" i="138"/>
  <c r="J18" i="138"/>
  <c r="K18" i="138"/>
  <c r="L18" i="138"/>
  <c r="M18" i="138"/>
  <c r="N18" i="138"/>
  <c r="O18" i="138"/>
  <c r="P18" i="138"/>
  <c r="Q18" i="138"/>
  <c r="R18" i="138"/>
  <c r="S18" i="138"/>
  <c r="T18" i="138"/>
  <c r="U18" i="138"/>
  <c r="V18" i="138"/>
  <c r="W18" i="138"/>
  <c r="E19" i="138"/>
  <c r="F19" i="138"/>
  <c r="G19" i="138"/>
  <c r="H19" i="138"/>
  <c r="I19" i="138"/>
  <c r="J19" i="138"/>
  <c r="K19" i="138"/>
  <c r="L19" i="138"/>
  <c r="M19" i="138"/>
  <c r="N19" i="138"/>
  <c r="O19" i="138"/>
  <c r="P19" i="138"/>
  <c r="Q19" i="138"/>
  <c r="R19" i="138"/>
  <c r="S19" i="138"/>
  <c r="T19" i="138"/>
  <c r="U19" i="138"/>
  <c r="V19" i="138"/>
  <c r="W19" i="138"/>
  <c r="E20" i="138"/>
  <c r="F20" i="138"/>
  <c r="G20" i="138"/>
  <c r="H20" i="138"/>
  <c r="I20" i="138"/>
  <c r="J20" i="138"/>
  <c r="K20" i="138"/>
  <c r="L20" i="138"/>
  <c r="M20" i="138"/>
  <c r="N20" i="138"/>
  <c r="O20" i="138"/>
  <c r="P20" i="138"/>
  <c r="Q20" i="138"/>
  <c r="R20" i="138"/>
  <c r="S20" i="138"/>
  <c r="T20" i="138"/>
  <c r="U20" i="138"/>
  <c r="V20" i="138"/>
  <c r="W20" i="138"/>
  <c r="E21" i="138"/>
  <c r="F21" i="138"/>
  <c r="G21" i="138"/>
  <c r="H21" i="138"/>
  <c r="I21" i="138"/>
  <c r="J21" i="138"/>
  <c r="K21" i="138"/>
  <c r="L21" i="138"/>
  <c r="M21" i="138"/>
  <c r="N21" i="138"/>
  <c r="O21" i="138"/>
  <c r="P21" i="138"/>
  <c r="Q21" i="138"/>
  <c r="R21" i="138"/>
  <c r="S21" i="138"/>
  <c r="T21" i="138"/>
  <c r="U21" i="138"/>
  <c r="V21" i="138"/>
  <c r="W21" i="138"/>
  <c r="E22" i="138"/>
  <c r="F22" i="138"/>
  <c r="G22" i="138"/>
  <c r="H22" i="138"/>
  <c r="I22" i="138"/>
  <c r="J22" i="138"/>
  <c r="K22" i="138"/>
  <c r="L22" i="138"/>
  <c r="M22" i="138"/>
  <c r="N22" i="138"/>
  <c r="O22" i="138"/>
  <c r="P22" i="138"/>
  <c r="Q22" i="138"/>
  <c r="R22" i="138"/>
  <c r="S22" i="138"/>
  <c r="T22" i="138"/>
  <c r="U22" i="138"/>
  <c r="V22" i="138"/>
  <c r="W22" i="138"/>
  <c r="E23" i="138"/>
  <c r="F23" i="138"/>
  <c r="G23" i="138"/>
  <c r="H23" i="138"/>
  <c r="I23" i="138"/>
  <c r="J23" i="138"/>
  <c r="K23" i="138"/>
  <c r="L23" i="138"/>
  <c r="M23" i="138"/>
  <c r="N23" i="138"/>
  <c r="O23" i="138"/>
  <c r="P23" i="138"/>
  <c r="Q23" i="138"/>
  <c r="R23" i="138"/>
  <c r="S23" i="138"/>
  <c r="T23" i="138"/>
  <c r="U23" i="138"/>
  <c r="V23" i="138"/>
  <c r="W23" i="138"/>
  <c r="E24" i="138"/>
  <c r="F24" i="138"/>
  <c r="G24" i="138"/>
  <c r="H24" i="138"/>
  <c r="I24" i="138"/>
  <c r="J24" i="138"/>
  <c r="K24" i="138"/>
  <c r="L24" i="138"/>
  <c r="M24" i="138"/>
  <c r="N24" i="138"/>
  <c r="O24" i="138"/>
  <c r="P24" i="138"/>
  <c r="Q24" i="138"/>
  <c r="R24" i="138"/>
  <c r="S24" i="138"/>
  <c r="T24" i="138"/>
  <c r="U24" i="138"/>
  <c r="V24" i="138"/>
  <c r="W24" i="138"/>
  <c r="E25" i="138"/>
  <c r="F25" i="138"/>
  <c r="G25" i="138"/>
  <c r="H25" i="138"/>
  <c r="I25" i="138"/>
  <c r="J25" i="138"/>
  <c r="K25" i="138"/>
  <c r="L25" i="138"/>
  <c r="M25" i="138"/>
  <c r="N25" i="138"/>
  <c r="O25" i="138"/>
  <c r="P25" i="138"/>
  <c r="Q25" i="138"/>
  <c r="R25" i="138"/>
  <c r="S25" i="138"/>
  <c r="T25" i="138"/>
  <c r="U25" i="138"/>
  <c r="V25" i="138"/>
  <c r="W25" i="138"/>
  <c r="E26" i="138"/>
  <c r="F26" i="138"/>
  <c r="G26" i="138"/>
  <c r="H26" i="138"/>
  <c r="I26" i="138"/>
  <c r="J26" i="138"/>
  <c r="K26" i="138"/>
  <c r="L26" i="138"/>
  <c r="M26" i="138"/>
  <c r="N26" i="138"/>
  <c r="O26" i="138"/>
  <c r="P26" i="138"/>
  <c r="Q26" i="138"/>
  <c r="R26" i="138"/>
  <c r="S26" i="138"/>
  <c r="T26" i="138"/>
  <c r="U26" i="138"/>
  <c r="V26" i="138"/>
  <c r="W26" i="138"/>
  <c r="E27" i="138"/>
  <c r="F27" i="138"/>
  <c r="G27" i="138"/>
  <c r="H27" i="138"/>
  <c r="I27" i="138"/>
  <c r="J27" i="138"/>
  <c r="K27" i="138"/>
  <c r="L27" i="138"/>
  <c r="M27" i="138"/>
  <c r="N27" i="138"/>
  <c r="O27" i="138"/>
  <c r="P27" i="138"/>
  <c r="Q27" i="138"/>
  <c r="R27" i="138"/>
  <c r="S27" i="138"/>
  <c r="T27" i="138"/>
  <c r="U27" i="138"/>
  <c r="V27" i="138"/>
  <c r="W27" i="138"/>
  <c r="E28" i="138"/>
  <c r="F28" i="138"/>
  <c r="G28" i="138"/>
  <c r="H28" i="138"/>
  <c r="I28" i="138"/>
  <c r="J28" i="138"/>
  <c r="K28" i="138"/>
  <c r="L28" i="138"/>
  <c r="M28" i="138"/>
  <c r="N28" i="138"/>
  <c r="O28" i="138"/>
  <c r="P28" i="138"/>
  <c r="Q28" i="138"/>
  <c r="R28" i="138"/>
  <c r="S28" i="138"/>
  <c r="T28" i="138"/>
  <c r="U28" i="138"/>
  <c r="V28" i="138"/>
  <c r="W28" i="138"/>
  <c r="E29" i="138"/>
  <c r="F29" i="138"/>
  <c r="G29" i="138"/>
  <c r="H29" i="138"/>
  <c r="I29" i="138"/>
  <c r="J29" i="138"/>
  <c r="K29" i="138"/>
  <c r="L29" i="138"/>
  <c r="M29" i="138"/>
  <c r="N29" i="138"/>
  <c r="O29" i="138"/>
  <c r="P29" i="138"/>
  <c r="Q29" i="138"/>
  <c r="R29" i="138"/>
  <c r="S29" i="138"/>
  <c r="T29" i="138"/>
  <c r="U29" i="138"/>
  <c r="V29" i="138"/>
  <c r="W29" i="138"/>
  <c r="E30" i="138"/>
  <c r="F30" i="138"/>
  <c r="G30" i="138"/>
  <c r="H30" i="138"/>
  <c r="I30" i="138"/>
  <c r="J30" i="138"/>
  <c r="K30" i="138"/>
  <c r="L30" i="138"/>
  <c r="M30" i="138"/>
  <c r="N30" i="138"/>
  <c r="O30" i="138"/>
  <c r="P30" i="138"/>
  <c r="Q30" i="138"/>
  <c r="R30" i="138"/>
  <c r="S30" i="138"/>
  <c r="T30" i="138"/>
  <c r="U30" i="138"/>
  <c r="V30" i="138"/>
  <c r="W30" i="138"/>
  <c r="E31" i="138"/>
  <c r="F31" i="138"/>
  <c r="G31" i="138"/>
  <c r="H31" i="138"/>
  <c r="I31" i="138"/>
  <c r="J31" i="138"/>
  <c r="K31" i="138"/>
  <c r="L31" i="138"/>
  <c r="M31" i="138"/>
  <c r="N31" i="138"/>
  <c r="O31" i="138"/>
  <c r="P31" i="138"/>
  <c r="Q31" i="138"/>
  <c r="R31" i="138"/>
  <c r="S31" i="138"/>
  <c r="T31" i="138"/>
  <c r="U31" i="138"/>
  <c r="V31" i="138"/>
  <c r="W31" i="138"/>
  <c r="E32" i="138"/>
  <c r="F32" i="138"/>
  <c r="G32" i="138"/>
  <c r="H32" i="138"/>
  <c r="I32" i="138"/>
  <c r="J32" i="138"/>
  <c r="K32" i="138"/>
  <c r="L32" i="138"/>
  <c r="M32" i="138"/>
  <c r="N32" i="138"/>
  <c r="O32" i="138"/>
  <c r="P32" i="138"/>
  <c r="Q32" i="138"/>
  <c r="R32" i="138"/>
  <c r="S32" i="138"/>
  <c r="T32" i="138"/>
  <c r="U32" i="138"/>
  <c r="V32" i="138"/>
  <c r="W32" i="138"/>
  <c r="E33" i="138"/>
  <c r="F33" i="138"/>
  <c r="G33" i="138"/>
  <c r="H33" i="138"/>
  <c r="I33" i="138"/>
  <c r="J33" i="138"/>
  <c r="K33" i="138"/>
  <c r="L33" i="138"/>
  <c r="M33" i="138"/>
  <c r="N33" i="138"/>
  <c r="O33" i="138"/>
  <c r="P33" i="138"/>
  <c r="Q33" i="138"/>
  <c r="R33" i="138"/>
  <c r="S33" i="138"/>
  <c r="T33" i="138"/>
  <c r="U33" i="138"/>
  <c r="V33" i="138"/>
  <c r="W33" i="138"/>
  <c r="E34" i="138"/>
  <c r="F34" i="138"/>
  <c r="G34" i="138"/>
  <c r="H34" i="138"/>
  <c r="I34" i="138"/>
  <c r="J34" i="138"/>
  <c r="K34" i="138"/>
  <c r="L34" i="138"/>
  <c r="M34" i="138"/>
  <c r="N34" i="138"/>
  <c r="O34" i="138"/>
  <c r="P34" i="138"/>
  <c r="Q34" i="138"/>
  <c r="R34" i="138"/>
  <c r="S34" i="138"/>
  <c r="T34" i="138"/>
  <c r="U34" i="138"/>
  <c r="V34" i="138"/>
  <c r="W34" i="138"/>
  <c r="E35" i="138"/>
  <c r="F35" i="138"/>
  <c r="G35" i="138"/>
  <c r="H35" i="138"/>
  <c r="I35" i="138"/>
  <c r="J35" i="138"/>
  <c r="K35" i="138"/>
  <c r="L35" i="138"/>
  <c r="M35" i="138"/>
  <c r="N35" i="138"/>
  <c r="O35" i="138"/>
  <c r="P35" i="138"/>
  <c r="Q35" i="138"/>
  <c r="R35" i="138"/>
  <c r="S35" i="138"/>
  <c r="T35" i="138"/>
  <c r="U35" i="138"/>
  <c r="V35" i="138"/>
  <c r="W35" i="138"/>
  <c r="E36" i="138"/>
  <c r="F36" i="138"/>
  <c r="G36" i="138"/>
  <c r="H36" i="138"/>
  <c r="I36" i="138"/>
  <c r="J36" i="138"/>
  <c r="K36" i="138"/>
  <c r="L36" i="138"/>
  <c r="M36" i="138"/>
  <c r="N36" i="138"/>
  <c r="O36" i="138"/>
  <c r="P36" i="138"/>
  <c r="Q36" i="138"/>
  <c r="R36" i="138"/>
  <c r="S36" i="138"/>
  <c r="T36" i="138"/>
  <c r="U36" i="138"/>
  <c r="V36" i="138"/>
  <c r="W36" i="138"/>
  <c r="E37" i="138"/>
  <c r="F37" i="138"/>
  <c r="G37" i="138"/>
  <c r="H37" i="138"/>
  <c r="I37" i="138"/>
  <c r="J37" i="138"/>
  <c r="K37" i="138"/>
  <c r="L37" i="138"/>
  <c r="M37" i="138"/>
  <c r="N37" i="138"/>
  <c r="O37" i="138"/>
  <c r="P37" i="138"/>
  <c r="Q37" i="138"/>
  <c r="R37" i="138"/>
  <c r="S37" i="138"/>
  <c r="T37" i="138"/>
  <c r="U37" i="138"/>
  <c r="V37" i="138"/>
  <c r="W37" i="138"/>
  <c r="E38" i="138"/>
  <c r="F38" i="138"/>
  <c r="G38" i="138"/>
  <c r="H38" i="138"/>
  <c r="I38" i="138"/>
  <c r="J38" i="138"/>
  <c r="K38" i="138"/>
  <c r="L38" i="138"/>
  <c r="M38" i="138"/>
  <c r="N38" i="138"/>
  <c r="O38" i="138"/>
  <c r="P38" i="138"/>
  <c r="Q38" i="138"/>
  <c r="R38" i="138"/>
  <c r="S38" i="138"/>
  <c r="T38" i="138"/>
  <c r="U38" i="138"/>
  <c r="V38" i="138"/>
  <c r="W38" i="138"/>
  <c r="E39" i="138"/>
  <c r="F39" i="138"/>
  <c r="G39" i="138"/>
  <c r="H39" i="138"/>
  <c r="I39" i="138"/>
  <c r="J39" i="138"/>
  <c r="K39" i="138"/>
  <c r="L39" i="138"/>
  <c r="M39" i="138"/>
  <c r="N39" i="138"/>
  <c r="O39" i="138"/>
  <c r="P39" i="138"/>
  <c r="Q39" i="138"/>
  <c r="R39" i="138"/>
  <c r="S39" i="138"/>
  <c r="T39" i="138"/>
  <c r="U39" i="138"/>
  <c r="V39" i="138"/>
  <c r="W39" i="138"/>
  <c r="E40" i="138"/>
  <c r="F40" i="138"/>
  <c r="G40" i="138"/>
  <c r="H40" i="138"/>
  <c r="I40" i="138"/>
  <c r="J40" i="138"/>
  <c r="K40" i="138"/>
  <c r="L40" i="138"/>
  <c r="M40" i="138"/>
  <c r="N40" i="138"/>
  <c r="O40" i="138"/>
  <c r="P40" i="138"/>
  <c r="Q40" i="138"/>
  <c r="R40" i="138"/>
  <c r="S40" i="138"/>
  <c r="T40" i="138"/>
  <c r="U40" i="138"/>
  <c r="V40" i="138"/>
  <c r="W40" i="138"/>
  <c r="E41" i="138"/>
  <c r="F41" i="138"/>
  <c r="G41" i="138"/>
  <c r="H41" i="138"/>
  <c r="I41" i="138"/>
  <c r="J41" i="138"/>
  <c r="K41" i="138"/>
  <c r="L41" i="138"/>
  <c r="M41" i="138"/>
  <c r="N41" i="138"/>
  <c r="O41" i="138"/>
  <c r="P41" i="138"/>
  <c r="Q41" i="138"/>
  <c r="R41" i="138"/>
  <c r="S41" i="138"/>
  <c r="T41" i="138"/>
  <c r="U41" i="138"/>
  <c r="V41" i="138"/>
  <c r="W41" i="138"/>
  <c r="E42" i="138"/>
  <c r="F42" i="138"/>
  <c r="G42" i="138"/>
  <c r="H42" i="138"/>
  <c r="I42" i="138"/>
  <c r="J42" i="138"/>
  <c r="K42" i="138"/>
  <c r="L42" i="138"/>
  <c r="M42" i="138"/>
  <c r="N42" i="138"/>
  <c r="O42" i="138"/>
  <c r="P42" i="138"/>
  <c r="Q42" i="138"/>
  <c r="R42" i="138"/>
  <c r="S42" i="138"/>
  <c r="T42" i="138"/>
  <c r="U42" i="138"/>
  <c r="V42" i="138"/>
  <c r="W42" i="138"/>
  <c r="E43" i="138"/>
  <c r="F43" i="138"/>
  <c r="G43" i="138"/>
  <c r="H43" i="138"/>
  <c r="I43" i="138"/>
  <c r="J43" i="138"/>
  <c r="K43" i="138"/>
  <c r="L43" i="138"/>
  <c r="M43" i="138"/>
  <c r="N43" i="138"/>
  <c r="O43" i="138"/>
  <c r="P43" i="138"/>
  <c r="Q43" i="138"/>
  <c r="R43" i="138"/>
  <c r="S43" i="138"/>
  <c r="T43" i="138"/>
  <c r="U43" i="138"/>
  <c r="V43" i="138"/>
  <c r="W43" i="138"/>
  <c r="E44" i="138"/>
  <c r="F44" i="138"/>
  <c r="G44" i="138"/>
  <c r="H44" i="138"/>
  <c r="I44" i="138"/>
  <c r="J44" i="138"/>
  <c r="K44" i="138"/>
  <c r="L44" i="138"/>
  <c r="M44" i="138"/>
  <c r="N44" i="138"/>
  <c r="O44" i="138"/>
  <c r="P44" i="138"/>
  <c r="Q44" i="138"/>
  <c r="R44" i="138"/>
  <c r="S44" i="138"/>
  <c r="T44" i="138"/>
  <c r="U44" i="138"/>
  <c r="V44" i="138"/>
  <c r="W44" i="138"/>
  <c r="E45" i="138"/>
  <c r="F45" i="138"/>
  <c r="G45" i="138"/>
  <c r="H45" i="138"/>
  <c r="I45" i="138"/>
  <c r="J45" i="138"/>
  <c r="K45" i="138"/>
  <c r="L45" i="138"/>
  <c r="M45" i="138"/>
  <c r="N45" i="138"/>
  <c r="O45" i="138"/>
  <c r="P45" i="138"/>
  <c r="Q45" i="138"/>
  <c r="R45" i="138"/>
  <c r="S45" i="138"/>
  <c r="T45" i="138"/>
  <c r="U45" i="138"/>
  <c r="V45" i="138"/>
  <c r="W45" i="138"/>
  <c r="E46" i="138"/>
  <c r="F46" i="138"/>
  <c r="G46" i="138"/>
  <c r="H46" i="138"/>
  <c r="I46" i="138"/>
  <c r="J46" i="138"/>
  <c r="K46" i="138"/>
  <c r="L46" i="138"/>
  <c r="M46" i="138"/>
  <c r="N46" i="138"/>
  <c r="O46" i="138"/>
  <c r="P46" i="138"/>
  <c r="Q46" i="138"/>
  <c r="R46" i="138"/>
  <c r="S46" i="138"/>
  <c r="T46" i="138"/>
  <c r="U46" i="138"/>
  <c r="V46" i="138"/>
  <c r="W46" i="138"/>
  <c r="E47" i="138"/>
  <c r="F47" i="138"/>
  <c r="G47" i="138"/>
  <c r="H47" i="138"/>
  <c r="I47" i="138"/>
  <c r="J47" i="138"/>
  <c r="K47" i="138"/>
  <c r="L47" i="138"/>
  <c r="M47" i="138"/>
  <c r="N47" i="138"/>
  <c r="O47" i="138"/>
  <c r="P47" i="138"/>
  <c r="Q47" i="138"/>
  <c r="R47" i="138"/>
  <c r="S47" i="138"/>
  <c r="T47" i="138"/>
  <c r="U47" i="138"/>
  <c r="V47" i="138"/>
  <c r="W47" i="138"/>
  <c r="E48" i="138"/>
  <c r="F48" i="138"/>
  <c r="G48" i="138"/>
  <c r="H48" i="138"/>
  <c r="I48" i="138"/>
  <c r="J48" i="138"/>
  <c r="K48" i="138"/>
  <c r="L48" i="138"/>
  <c r="M48" i="138"/>
  <c r="N48" i="138"/>
  <c r="O48" i="138"/>
  <c r="P48" i="138"/>
  <c r="Q48" i="138"/>
  <c r="R48" i="138"/>
  <c r="S48" i="138"/>
  <c r="T48" i="138"/>
  <c r="U48" i="138"/>
  <c r="V48" i="138"/>
  <c r="W48" i="138"/>
  <c r="E49" i="138"/>
  <c r="F49" i="138"/>
  <c r="G49" i="138"/>
  <c r="H49" i="138"/>
  <c r="I49" i="138"/>
  <c r="J49" i="138"/>
  <c r="K49" i="138"/>
  <c r="L49" i="138"/>
  <c r="M49" i="138"/>
  <c r="N49" i="138"/>
  <c r="O49" i="138"/>
  <c r="P49" i="138"/>
  <c r="Q49" i="138"/>
  <c r="R49" i="138"/>
  <c r="S49" i="138"/>
  <c r="T49" i="138"/>
  <c r="U49" i="138"/>
  <c r="V49" i="138"/>
  <c r="W49" i="138"/>
  <c r="E50" i="138"/>
  <c r="F50" i="138"/>
  <c r="G50" i="138"/>
  <c r="H50" i="138"/>
  <c r="I50" i="138"/>
  <c r="J50" i="138"/>
  <c r="K50" i="138"/>
  <c r="L50" i="138"/>
  <c r="M50" i="138"/>
  <c r="N50" i="138"/>
  <c r="O50" i="138"/>
  <c r="P50" i="138"/>
  <c r="Q50" i="138"/>
  <c r="R50" i="138"/>
  <c r="S50" i="138"/>
  <c r="T50" i="138"/>
  <c r="U50" i="138"/>
  <c r="V50" i="138"/>
  <c r="W50" i="138"/>
  <c r="E51" i="138"/>
  <c r="F51" i="138"/>
  <c r="G51" i="138"/>
  <c r="H51" i="138"/>
  <c r="I51" i="138"/>
  <c r="J51" i="138"/>
  <c r="K51" i="138"/>
  <c r="L51" i="138"/>
  <c r="M51" i="138"/>
  <c r="N51" i="138"/>
  <c r="O51" i="138"/>
  <c r="P51" i="138"/>
  <c r="Q51" i="138"/>
  <c r="R51" i="138"/>
  <c r="S51" i="138"/>
  <c r="T51" i="138"/>
  <c r="U51" i="138"/>
  <c r="V51" i="138"/>
  <c r="W51" i="138"/>
  <c r="W12" i="138"/>
  <c r="F12" i="138"/>
  <c r="G12" i="138"/>
  <c r="H12" i="138"/>
  <c r="I12" i="138"/>
  <c r="J12" i="138"/>
  <c r="K12" i="138"/>
  <c r="L12" i="138"/>
  <c r="M12" i="138"/>
  <c r="N12" i="138"/>
  <c r="O12" i="138"/>
  <c r="P12" i="138"/>
  <c r="Q12" i="138"/>
  <c r="R12" i="138"/>
  <c r="S12" i="138"/>
  <c r="T12" i="138"/>
  <c r="U12" i="138"/>
  <c r="V12" i="138"/>
  <c r="E12" i="138"/>
  <c r="C36" i="138"/>
  <c r="C28" i="138"/>
  <c r="C20" i="138"/>
  <c r="C12" i="138"/>
  <c r="B8" i="138"/>
  <c r="D3" i="138"/>
  <c r="D2" i="138"/>
  <c r="E13" i="165"/>
  <c r="F13" i="165"/>
  <c r="G13" i="165"/>
  <c r="H13" i="165"/>
  <c r="I13" i="165"/>
  <c r="J13" i="165"/>
  <c r="K13" i="165"/>
  <c r="L13" i="165"/>
  <c r="M13" i="165"/>
  <c r="N13" i="165"/>
  <c r="O13" i="165"/>
  <c r="P13" i="165"/>
  <c r="Q13" i="165"/>
  <c r="R13" i="165"/>
  <c r="S13" i="165"/>
  <c r="T13" i="165"/>
  <c r="U13" i="165"/>
  <c r="W13" i="165"/>
  <c r="E14" i="165"/>
  <c r="F14" i="165"/>
  <c r="G14" i="165"/>
  <c r="H14" i="165"/>
  <c r="I14" i="165"/>
  <c r="J14" i="165"/>
  <c r="K14" i="165"/>
  <c r="L14" i="165"/>
  <c r="M14" i="165"/>
  <c r="N14" i="165"/>
  <c r="O14" i="165"/>
  <c r="P14" i="165"/>
  <c r="Q14" i="165"/>
  <c r="R14" i="165"/>
  <c r="S14" i="165"/>
  <c r="T14" i="165"/>
  <c r="U14" i="165"/>
  <c r="W14" i="165"/>
  <c r="E15" i="165"/>
  <c r="F15" i="165"/>
  <c r="G15" i="165"/>
  <c r="H15" i="165"/>
  <c r="I15" i="165"/>
  <c r="J15" i="165"/>
  <c r="K15" i="165"/>
  <c r="L15" i="165"/>
  <c r="M15" i="165"/>
  <c r="N15" i="165"/>
  <c r="O15" i="165"/>
  <c r="P15" i="165"/>
  <c r="Q15" i="165"/>
  <c r="R15" i="165"/>
  <c r="S15" i="165"/>
  <c r="T15" i="165"/>
  <c r="U15" i="165"/>
  <c r="W15" i="165"/>
  <c r="E16" i="165"/>
  <c r="F16" i="165"/>
  <c r="G16" i="165"/>
  <c r="H16" i="165"/>
  <c r="I16" i="165"/>
  <c r="J16" i="165"/>
  <c r="K16" i="165"/>
  <c r="L16" i="165"/>
  <c r="M16" i="165"/>
  <c r="N16" i="165"/>
  <c r="O16" i="165"/>
  <c r="P16" i="165"/>
  <c r="Q16" i="165"/>
  <c r="R16" i="165"/>
  <c r="S16" i="165"/>
  <c r="T16" i="165"/>
  <c r="U16" i="165"/>
  <c r="W16" i="165"/>
  <c r="E17" i="165"/>
  <c r="F17" i="165"/>
  <c r="G17" i="165"/>
  <c r="H17" i="165"/>
  <c r="I17" i="165"/>
  <c r="J17" i="165"/>
  <c r="K17" i="165"/>
  <c r="L17" i="165"/>
  <c r="M17" i="165"/>
  <c r="N17" i="165"/>
  <c r="O17" i="165"/>
  <c r="P17" i="165"/>
  <c r="Q17" i="165"/>
  <c r="R17" i="165"/>
  <c r="S17" i="165"/>
  <c r="T17" i="165"/>
  <c r="U17" i="165"/>
  <c r="W17" i="165"/>
  <c r="E18" i="165"/>
  <c r="F18" i="165"/>
  <c r="G18" i="165"/>
  <c r="H18" i="165"/>
  <c r="I18" i="165"/>
  <c r="J18" i="165"/>
  <c r="K18" i="165"/>
  <c r="L18" i="165"/>
  <c r="M18" i="165"/>
  <c r="N18" i="165"/>
  <c r="O18" i="165"/>
  <c r="P18" i="165"/>
  <c r="Q18" i="165"/>
  <c r="R18" i="165"/>
  <c r="S18" i="165"/>
  <c r="T18" i="165"/>
  <c r="U18" i="165"/>
  <c r="W18" i="165"/>
  <c r="E19" i="165"/>
  <c r="F19" i="165"/>
  <c r="G19" i="165"/>
  <c r="H19" i="165"/>
  <c r="I19" i="165"/>
  <c r="J19" i="165"/>
  <c r="K19" i="165"/>
  <c r="L19" i="165"/>
  <c r="M19" i="165"/>
  <c r="N19" i="165"/>
  <c r="O19" i="165"/>
  <c r="P19" i="165"/>
  <c r="Q19" i="165"/>
  <c r="R19" i="165"/>
  <c r="S19" i="165"/>
  <c r="T19" i="165"/>
  <c r="U19" i="165"/>
  <c r="W19" i="165"/>
  <c r="E20" i="165"/>
  <c r="F20" i="165"/>
  <c r="G20" i="165"/>
  <c r="H20" i="165"/>
  <c r="I20" i="165"/>
  <c r="J20" i="165"/>
  <c r="K20" i="165"/>
  <c r="L20" i="165"/>
  <c r="M20" i="165"/>
  <c r="N20" i="165"/>
  <c r="O20" i="165"/>
  <c r="P20" i="165"/>
  <c r="Q20" i="165"/>
  <c r="R20" i="165"/>
  <c r="S20" i="165"/>
  <c r="T20" i="165"/>
  <c r="U20" i="165"/>
  <c r="W20" i="165"/>
  <c r="E21" i="165"/>
  <c r="F21" i="165"/>
  <c r="G21" i="165"/>
  <c r="H21" i="165"/>
  <c r="I21" i="165"/>
  <c r="J21" i="165"/>
  <c r="K21" i="165"/>
  <c r="L21" i="165"/>
  <c r="M21" i="165"/>
  <c r="N21" i="165"/>
  <c r="O21" i="165"/>
  <c r="P21" i="165"/>
  <c r="Q21" i="165"/>
  <c r="R21" i="165"/>
  <c r="S21" i="165"/>
  <c r="T21" i="165"/>
  <c r="U21" i="165"/>
  <c r="W21" i="165"/>
  <c r="E22" i="165"/>
  <c r="F22" i="165"/>
  <c r="G22" i="165"/>
  <c r="H22" i="165"/>
  <c r="I22" i="165"/>
  <c r="J22" i="165"/>
  <c r="K22" i="165"/>
  <c r="L22" i="165"/>
  <c r="M22" i="165"/>
  <c r="N22" i="165"/>
  <c r="O22" i="165"/>
  <c r="P22" i="165"/>
  <c r="Q22" i="165"/>
  <c r="R22" i="165"/>
  <c r="S22" i="165"/>
  <c r="T22" i="165"/>
  <c r="U22" i="165"/>
  <c r="W22" i="165"/>
  <c r="E23" i="165"/>
  <c r="F23" i="165"/>
  <c r="G23" i="165"/>
  <c r="H23" i="165"/>
  <c r="I23" i="165"/>
  <c r="J23" i="165"/>
  <c r="K23" i="165"/>
  <c r="L23" i="165"/>
  <c r="M23" i="165"/>
  <c r="N23" i="165"/>
  <c r="O23" i="165"/>
  <c r="P23" i="165"/>
  <c r="Q23" i="165"/>
  <c r="R23" i="165"/>
  <c r="S23" i="165"/>
  <c r="T23" i="165"/>
  <c r="U23" i="165"/>
  <c r="W23" i="165"/>
  <c r="E24" i="165"/>
  <c r="F24" i="165"/>
  <c r="G24" i="165"/>
  <c r="H24" i="165"/>
  <c r="I24" i="165"/>
  <c r="J24" i="165"/>
  <c r="K24" i="165"/>
  <c r="L24" i="165"/>
  <c r="M24" i="165"/>
  <c r="N24" i="165"/>
  <c r="O24" i="165"/>
  <c r="P24" i="165"/>
  <c r="Q24" i="165"/>
  <c r="R24" i="165"/>
  <c r="S24" i="165"/>
  <c r="T24" i="165"/>
  <c r="U24" i="165"/>
  <c r="W24" i="165"/>
  <c r="E25" i="165"/>
  <c r="F25" i="165"/>
  <c r="G25" i="165"/>
  <c r="H25" i="165"/>
  <c r="I25" i="165"/>
  <c r="J25" i="165"/>
  <c r="K25" i="165"/>
  <c r="L25" i="165"/>
  <c r="M25" i="165"/>
  <c r="N25" i="165"/>
  <c r="O25" i="165"/>
  <c r="P25" i="165"/>
  <c r="Q25" i="165"/>
  <c r="R25" i="165"/>
  <c r="S25" i="165"/>
  <c r="T25" i="165"/>
  <c r="U25" i="165"/>
  <c r="W25" i="165"/>
  <c r="E26" i="165"/>
  <c r="F26" i="165"/>
  <c r="G26" i="165"/>
  <c r="H26" i="165"/>
  <c r="I26" i="165"/>
  <c r="J26" i="165"/>
  <c r="K26" i="165"/>
  <c r="L26" i="165"/>
  <c r="M26" i="165"/>
  <c r="N26" i="165"/>
  <c r="O26" i="165"/>
  <c r="P26" i="165"/>
  <c r="Q26" i="165"/>
  <c r="R26" i="165"/>
  <c r="S26" i="165"/>
  <c r="T26" i="165"/>
  <c r="U26" i="165"/>
  <c r="W26" i="165"/>
  <c r="E27" i="165"/>
  <c r="F27" i="165"/>
  <c r="G27" i="165"/>
  <c r="H27" i="165"/>
  <c r="I27" i="165"/>
  <c r="J27" i="165"/>
  <c r="K27" i="165"/>
  <c r="L27" i="165"/>
  <c r="M27" i="165"/>
  <c r="N27" i="165"/>
  <c r="O27" i="165"/>
  <c r="P27" i="165"/>
  <c r="Q27" i="165"/>
  <c r="R27" i="165"/>
  <c r="S27" i="165"/>
  <c r="T27" i="165"/>
  <c r="U27" i="165"/>
  <c r="W27" i="165"/>
  <c r="E28" i="165"/>
  <c r="F28" i="165"/>
  <c r="G28" i="165"/>
  <c r="H28" i="165"/>
  <c r="I28" i="165"/>
  <c r="J28" i="165"/>
  <c r="K28" i="165"/>
  <c r="L28" i="165"/>
  <c r="M28" i="165"/>
  <c r="N28" i="165"/>
  <c r="O28" i="165"/>
  <c r="P28" i="165"/>
  <c r="Q28" i="165"/>
  <c r="R28" i="165"/>
  <c r="S28" i="165"/>
  <c r="T28" i="165"/>
  <c r="U28" i="165"/>
  <c r="W28" i="165"/>
  <c r="E29" i="165"/>
  <c r="F29" i="165"/>
  <c r="G29" i="165"/>
  <c r="H29" i="165"/>
  <c r="I29" i="165"/>
  <c r="J29" i="165"/>
  <c r="K29" i="165"/>
  <c r="L29" i="165"/>
  <c r="M29" i="165"/>
  <c r="N29" i="165"/>
  <c r="O29" i="165"/>
  <c r="P29" i="165"/>
  <c r="Q29" i="165"/>
  <c r="R29" i="165"/>
  <c r="S29" i="165"/>
  <c r="T29" i="165"/>
  <c r="U29" i="165"/>
  <c r="W29" i="165"/>
  <c r="E30" i="165"/>
  <c r="F30" i="165"/>
  <c r="G30" i="165"/>
  <c r="H30" i="165"/>
  <c r="I30" i="165"/>
  <c r="J30" i="165"/>
  <c r="K30" i="165"/>
  <c r="L30" i="165"/>
  <c r="M30" i="165"/>
  <c r="N30" i="165"/>
  <c r="O30" i="165"/>
  <c r="P30" i="165"/>
  <c r="Q30" i="165"/>
  <c r="R30" i="165"/>
  <c r="S30" i="165"/>
  <c r="T30" i="165"/>
  <c r="U30" i="165"/>
  <c r="W30" i="165"/>
  <c r="E31" i="165"/>
  <c r="F31" i="165"/>
  <c r="G31" i="165"/>
  <c r="H31" i="165"/>
  <c r="I31" i="165"/>
  <c r="J31" i="165"/>
  <c r="K31" i="165"/>
  <c r="L31" i="165"/>
  <c r="M31" i="165"/>
  <c r="N31" i="165"/>
  <c r="O31" i="165"/>
  <c r="P31" i="165"/>
  <c r="Q31" i="165"/>
  <c r="R31" i="165"/>
  <c r="S31" i="165"/>
  <c r="T31" i="165"/>
  <c r="U31" i="165"/>
  <c r="W31" i="165"/>
  <c r="E32" i="165"/>
  <c r="F32" i="165"/>
  <c r="G32" i="165"/>
  <c r="H32" i="165"/>
  <c r="I32" i="165"/>
  <c r="J32" i="165"/>
  <c r="K32" i="165"/>
  <c r="L32" i="165"/>
  <c r="M32" i="165"/>
  <c r="N32" i="165"/>
  <c r="O32" i="165"/>
  <c r="P32" i="165"/>
  <c r="Q32" i="165"/>
  <c r="R32" i="165"/>
  <c r="S32" i="165"/>
  <c r="T32" i="165"/>
  <c r="U32" i="165"/>
  <c r="W32" i="165"/>
  <c r="E33" i="165"/>
  <c r="F33" i="165"/>
  <c r="G33" i="165"/>
  <c r="H33" i="165"/>
  <c r="I33" i="165"/>
  <c r="J33" i="165"/>
  <c r="K33" i="165"/>
  <c r="L33" i="165"/>
  <c r="M33" i="165"/>
  <c r="N33" i="165"/>
  <c r="O33" i="165"/>
  <c r="P33" i="165"/>
  <c r="Q33" i="165"/>
  <c r="R33" i="165"/>
  <c r="S33" i="165"/>
  <c r="T33" i="165"/>
  <c r="U33" i="165"/>
  <c r="W33" i="165"/>
  <c r="E34" i="165"/>
  <c r="F34" i="165"/>
  <c r="G34" i="165"/>
  <c r="H34" i="165"/>
  <c r="I34" i="165"/>
  <c r="J34" i="165"/>
  <c r="K34" i="165"/>
  <c r="L34" i="165"/>
  <c r="M34" i="165"/>
  <c r="N34" i="165"/>
  <c r="O34" i="165"/>
  <c r="P34" i="165"/>
  <c r="Q34" i="165"/>
  <c r="R34" i="165"/>
  <c r="S34" i="165"/>
  <c r="T34" i="165"/>
  <c r="U34" i="165"/>
  <c r="W34" i="165"/>
  <c r="E35" i="165"/>
  <c r="F35" i="165"/>
  <c r="G35" i="165"/>
  <c r="H35" i="165"/>
  <c r="I35" i="165"/>
  <c r="J35" i="165"/>
  <c r="K35" i="165"/>
  <c r="L35" i="165"/>
  <c r="M35" i="165"/>
  <c r="N35" i="165"/>
  <c r="O35" i="165"/>
  <c r="P35" i="165"/>
  <c r="Q35" i="165"/>
  <c r="R35" i="165"/>
  <c r="S35" i="165"/>
  <c r="T35" i="165"/>
  <c r="U35" i="165"/>
  <c r="W35" i="165"/>
  <c r="E36" i="165"/>
  <c r="F36" i="165"/>
  <c r="G36" i="165"/>
  <c r="H36" i="165"/>
  <c r="I36" i="165"/>
  <c r="J36" i="165"/>
  <c r="K36" i="165"/>
  <c r="L36" i="165"/>
  <c r="M36" i="165"/>
  <c r="N36" i="165"/>
  <c r="O36" i="165"/>
  <c r="P36" i="165"/>
  <c r="Q36" i="165"/>
  <c r="R36" i="165"/>
  <c r="S36" i="165"/>
  <c r="T36" i="165"/>
  <c r="U36" i="165"/>
  <c r="W36" i="165"/>
  <c r="E37" i="165"/>
  <c r="F37" i="165"/>
  <c r="G37" i="165"/>
  <c r="H37" i="165"/>
  <c r="I37" i="165"/>
  <c r="J37" i="165"/>
  <c r="K37" i="165"/>
  <c r="L37" i="165"/>
  <c r="M37" i="165"/>
  <c r="N37" i="165"/>
  <c r="O37" i="165"/>
  <c r="P37" i="165"/>
  <c r="Q37" i="165"/>
  <c r="R37" i="165"/>
  <c r="S37" i="165"/>
  <c r="T37" i="165"/>
  <c r="U37" i="165"/>
  <c r="W37" i="165"/>
  <c r="E38" i="165"/>
  <c r="F38" i="165"/>
  <c r="G38" i="165"/>
  <c r="H38" i="165"/>
  <c r="I38" i="165"/>
  <c r="J38" i="165"/>
  <c r="K38" i="165"/>
  <c r="L38" i="165"/>
  <c r="M38" i="165"/>
  <c r="N38" i="165"/>
  <c r="O38" i="165"/>
  <c r="P38" i="165"/>
  <c r="Q38" i="165"/>
  <c r="R38" i="165"/>
  <c r="S38" i="165"/>
  <c r="T38" i="165"/>
  <c r="U38" i="165"/>
  <c r="W38" i="165"/>
  <c r="E39" i="165"/>
  <c r="F39" i="165"/>
  <c r="G39" i="165"/>
  <c r="H39" i="165"/>
  <c r="I39" i="165"/>
  <c r="J39" i="165"/>
  <c r="K39" i="165"/>
  <c r="L39" i="165"/>
  <c r="M39" i="165"/>
  <c r="N39" i="165"/>
  <c r="O39" i="165"/>
  <c r="P39" i="165"/>
  <c r="Q39" i="165"/>
  <c r="R39" i="165"/>
  <c r="S39" i="165"/>
  <c r="T39" i="165"/>
  <c r="U39" i="165"/>
  <c r="W39" i="165"/>
  <c r="E40" i="165"/>
  <c r="F40" i="165"/>
  <c r="G40" i="165"/>
  <c r="H40" i="165"/>
  <c r="I40" i="165"/>
  <c r="J40" i="165"/>
  <c r="K40" i="165"/>
  <c r="L40" i="165"/>
  <c r="M40" i="165"/>
  <c r="N40" i="165"/>
  <c r="O40" i="165"/>
  <c r="P40" i="165"/>
  <c r="Q40" i="165"/>
  <c r="R40" i="165"/>
  <c r="S40" i="165"/>
  <c r="T40" i="165"/>
  <c r="U40" i="165"/>
  <c r="W40" i="165"/>
  <c r="E41" i="165"/>
  <c r="F41" i="165"/>
  <c r="G41" i="165"/>
  <c r="H41" i="165"/>
  <c r="I41" i="165"/>
  <c r="J41" i="165"/>
  <c r="K41" i="165"/>
  <c r="L41" i="165"/>
  <c r="M41" i="165"/>
  <c r="N41" i="165"/>
  <c r="O41" i="165"/>
  <c r="P41" i="165"/>
  <c r="Q41" i="165"/>
  <c r="R41" i="165"/>
  <c r="S41" i="165"/>
  <c r="T41" i="165"/>
  <c r="U41" i="165"/>
  <c r="W41" i="165"/>
  <c r="E42" i="165"/>
  <c r="F42" i="165"/>
  <c r="G42" i="165"/>
  <c r="H42" i="165"/>
  <c r="I42" i="165"/>
  <c r="J42" i="165"/>
  <c r="K42" i="165"/>
  <c r="L42" i="165"/>
  <c r="M42" i="165"/>
  <c r="N42" i="165"/>
  <c r="O42" i="165"/>
  <c r="P42" i="165"/>
  <c r="Q42" i="165"/>
  <c r="R42" i="165"/>
  <c r="S42" i="165"/>
  <c r="T42" i="165"/>
  <c r="U42" i="165"/>
  <c r="W42" i="165"/>
  <c r="E43" i="165"/>
  <c r="F43" i="165"/>
  <c r="G43" i="165"/>
  <c r="H43" i="165"/>
  <c r="I43" i="165"/>
  <c r="J43" i="165"/>
  <c r="K43" i="165"/>
  <c r="L43" i="165"/>
  <c r="M43" i="165"/>
  <c r="N43" i="165"/>
  <c r="O43" i="165"/>
  <c r="P43" i="165"/>
  <c r="Q43" i="165"/>
  <c r="R43" i="165"/>
  <c r="S43" i="165"/>
  <c r="T43" i="165"/>
  <c r="U43" i="165"/>
  <c r="W43" i="165"/>
  <c r="E44" i="165"/>
  <c r="F44" i="165"/>
  <c r="G44" i="165"/>
  <c r="H44" i="165"/>
  <c r="I44" i="165"/>
  <c r="J44" i="165"/>
  <c r="K44" i="165"/>
  <c r="L44" i="165"/>
  <c r="M44" i="165"/>
  <c r="N44" i="165"/>
  <c r="O44" i="165"/>
  <c r="P44" i="165"/>
  <c r="Q44" i="165"/>
  <c r="R44" i="165"/>
  <c r="S44" i="165"/>
  <c r="T44" i="165"/>
  <c r="U44" i="165"/>
  <c r="W44" i="165"/>
  <c r="E45" i="165"/>
  <c r="F45" i="165"/>
  <c r="G45" i="165"/>
  <c r="H45" i="165"/>
  <c r="I45" i="165"/>
  <c r="J45" i="165"/>
  <c r="K45" i="165"/>
  <c r="L45" i="165"/>
  <c r="M45" i="165"/>
  <c r="N45" i="165"/>
  <c r="O45" i="165"/>
  <c r="P45" i="165"/>
  <c r="Q45" i="165"/>
  <c r="R45" i="165"/>
  <c r="S45" i="165"/>
  <c r="T45" i="165"/>
  <c r="U45" i="165"/>
  <c r="W45" i="165"/>
  <c r="E46" i="165"/>
  <c r="F46" i="165"/>
  <c r="G46" i="165"/>
  <c r="H46" i="165"/>
  <c r="I46" i="165"/>
  <c r="J46" i="165"/>
  <c r="K46" i="165"/>
  <c r="L46" i="165"/>
  <c r="M46" i="165"/>
  <c r="N46" i="165"/>
  <c r="O46" i="165"/>
  <c r="P46" i="165"/>
  <c r="Q46" i="165"/>
  <c r="R46" i="165"/>
  <c r="S46" i="165"/>
  <c r="T46" i="165"/>
  <c r="U46" i="165"/>
  <c r="W46" i="165"/>
  <c r="E47" i="165"/>
  <c r="F47" i="165"/>
  <c r="G47" i="165"/>
  <c r="H47" i="165"/>
  <c r="I47" i="165"/>
  <c r="J47" i="165"/>
  <c r="K47" i="165"/>
  <c r="L47" i="165"/>
  <c r="M47" i="165"/>
  <c r="N47" i="165"/>
  <c r="O47" i="165"/>
  <c r="P47" i="165"/>
  <c r="Q47" i="165"/>
  <c r="R47" i="165"/>
  <c r="S47" i="165"/>
  <c r="T47" i="165"/>
  <c r="U47" i="165"/>
  <c r="W47" i="165"/>
  <c r="E48" i="165"/>
  <c r="F48" i="165"/>
  <c r="G48" i="165"/>
  <c r="H48" i="165"/>
  <c r="I48" i="165"/>
  <c r="J48" i="165"/>
  <c r="K48" i="165"/>
  <c r="L48" i="165"/>
  <c r="M48" i="165"/>
  <c r="N48" i="165"/>
  <c r="O48" i="165"/>
  <c r="P48" i="165"/>
  <c r="Q48" i="165"/>
  <c r="R48" i="165"/>
  <c r="S48" i="165"/>
  <c r="T48" i="165"/>
  <c r="U48" i="165"/>
  <c r="W48" i="165"/>
  <c r="E49" i="165"/>
  <c r="F49" i="165"/>
  <c r="G49" i="165"/>
  <c r="H49" i="165"/>
  <c r="I49" i="165"/>
  <c r="J49" i="165"/>
  <c r="K49" i="165"/>
  <c r="L49" i="165"/>
  <c r="M49" i="165"/>
  <c r="N49" i="165"/>
  <c r="O49" i="165"/>
  <c r="P49" i="165"/>
  <c r="Q49" i="165"/>
  <c r="R49" i="165"/>
  <c r="S49" i="165"/>
  <c r="T49" i="165"/>
  <c r="U49" i="165"/>
  <c r="W49" i="165"/>
  <c r="E50" i="165"/>
  <c r="F50" i="165"/>
  <c r="G50" i="165"/>
  <c r="H50" i="165"/>
  <c r="I50" i="165"/>
  <c r="J50" i="165"/>
  <c r="K50" i="165"/>
  <c r="L50" i="165"/>
  <c r="M50" i="165"/>
  <c r="N50" i="165"/>
  <c r="O50" i="165"/>
  <c r="P50" i="165"/>
  <c r="Q50" i="165"/>
  <c r="R50" i="165"/>
  <c r="S50" i="165"/>
  <c r="T50" i="165"/>
  <c r="U50" i="165"/>
  <c r="W50" i="165"/>
  <c r="E51" i="165"/>
  <c r="F51" i="165"/>
  <c r="G51" i="165"/>
  <c r="H51" i="165"/>
  <c r="I51" i="165"/>
  <c r="J51" i="165"/>
  <c r="K51" i="165"/>
  <c r="L51" i="165"/>
  <c r="M51" i="165"/>
  <c r="N51" i="165"/>
  <c r="O51" i="165"/>
  <c r="P51" i="165"/>
  <c r="Q51" i="165"/>
  <c r="R51" i="165"/>
  <c r="S51" i="165"/>
  <c r="T51" i="165"/>
  <c r="U51" i="165"/>
  <c r="W51" i="165"/>
  <c r="E52" i="165"/>
  <c r="F52" i="165"/>
  <c r="G52" i="165"/>
  <c r="H52" i="165"/>
  <c r="I52" i="165"/>
  <c r="J52" i="165"/>
  <c r="K52" i="165"/>
  <c r="L52" i="165"/>
  <c r="M52" i="165"/>
  <c r="N52" i="165"/>
  <c r="O52" i="165"/>
  <c r="P52" i="165"/>
  <c r="Q52" i="165"/>
  <c r="R52" i="165"/>
  <c r="S52" i="165"/>
  <c r="T52" i="165"/>
  <c r="U52" i="165"/>
  <c r="W52" i="165"/>
  <c r="E53" i="165"/>
  <c r="F53" i="165"/>
  <c r="G53" i="165"/>
  <c r="H53" i="165"/>
  <c r="I53" i="165"/>
  <c r="J53" i="165"/>
  <c r="K53" i="165"/>
  <c r="L53" i="165"/>
  <c r="M53" i="165"/>
  <c r="N53" i="165"/>
  <c r="O53" i="165"/>
  <c r="P53" i="165"/>
  <c r="Q53" i="165"/>
  <c r="R53" i="165"/>
  <c r="S53" i="165"/>
  <c r="T53" i="165"/>
  <c r="U53" i="165"/>
  <c r="W53" i="165"/>
  <c r="E54" i="165"/>
  <c r="F54" i="165"/>
  <c r="G54" i="165"/>
  <c r="H54" i="165"/>
  <c r="I54" i="165"/>
  <c r="J54" i="165"/>
  <c r="K54" i="165"/>
  <c r="L54" i="165"/>
  <c r="M54" i="165"/>
  <c r="N54" i="165"/>
  <c r="O54" i="165"/>
  <c r="P54" i="165"/>
  <c r="Q54" i="165"/>
  <c r="R54" i="165"/>
  <c r="S54" i="165"/>
  <c r="T54" i="165"/>
  <c r="U54" i="165"/>
  <c r="W54" i="165"/>
  <c r="E55" i="165"/>
  <c r="F55" i="165"/>
  <c r="G55" i="165"/>
  <c r="H55" i="165"/>
  <c r="I55" i="165"/>
  <c r="J55" i="165"/>
  <c r="K55" i="165"/>
  <c r="L55" i="165"/>
  <c r="M55" i="165"/>
  <c r="N55" i="165"/>
  <c r="O55" i="165"/>
  <c r="P55" i="165"/>
  <c r="Q55" i="165"/>
  <c r="R55" i="165"/>
  <c r="S55" i="165"/>
  <c r="T55" i="165"/>
  <c r="U55" i="165"/>
  <c r="W55" i="165"/>
  <c r="E56" i="165"/>
  <c r="F56" i="165"/>
  <c r="G56" i="165"/>
  <c r="H56" i="165"/>
  <c r="I56" i="165"/>
  <c r="J56" i="165"/>
  <c r="K56" i="165"/>
  <c r="L56" i="165"/>
  <c r="M56" i="165"/>
  <c r="N56" i="165"/>
  <c r="O56" i="165"/>
  <c r="P56" i="165"/>
  <c r="Q56" i="165"/>
  <c r="R56" i="165"/>
  <c r="S56" i="165"/>
  <c r="T56" i="165"/>
  <c r="U56" i="165"/>
  <c r="W56" i="165"/>
  <c r="E57" i="165"/>
  <c r="F57" i="165"/>
  <c r="G57" i="165"/>
  <c r="H57" i="165"/>
  <c r="I57" i="165"/>
  <c r="J57" i="165"/>
  <c r="K57" i="165"/>
  <c r="L57" i="165"/>
  <c r="M57" i="165"/>
  <c r="N57" i="165"/>
  <c r="O57" i="165"/>
  <c r="P57" i="165"/>
  <c r="Q57" i="165"/>
  <c r="R57" i="165"/>
  <c r="S57" i="165"/>
  <c r="T57" i="165"/>
  <c r="U57" i="165"/>
  <c r="W57" i="165"/>
  <c r="E58" i="165"/>
  <c r="F58" i="165"/>
  <c r="G58" i="165"/>
  <c r="H58" i="165"/>
  <c r="I58" i="165"/>
  <c r="J58" i="165"/>
  <c r="K58" i="165"/>
  <c r="L58" i="165"/>
  <c r="M58" i="165"/>
  <c r="N58" i="165"/>
  <c r="O58" i="165"/>
  <c r="P58" i="165"/>
  <c r="Q58" i="165"/>
  <c r="R58" i="165"/>
  <c r="S58" i="165"/>
  <c r="T58" i="165"/>
  <c r="U58" i="165"/>
  <c r="W58" i="165"/>
  <c r="E59" i="165"/>
  <c r="F59" i="165"/>
  <c r="G59" i="165"/>
  <c r="H59" i="165"/>
  <c r="I59" i="165"/>
  <c r="J59" i="165"/>
  <c r="K59" i="165"/>
  <c r="L59" i="165"/>
  <c r="M59" i="165"/>
  <c r="N59" i="165"/>
  <c r="O59" i="165"/>
  <c r="P59" i="165"/>
  <c r="Q59" i="165"/>
  <c r="R59" i="165"/>
  <c r="S59" i="165"/>
  <c r="T59" i="165"/>
  <c r="U59" i="165"/>
  <c r="W59" i="165"/>
  <c r="E60" i="165"/>
  <c r="F60" i="165"/>
  <c r="G60" i="165"/>
  <c r="H60" i="165"/>
  <c r="I60" i="165"/>
  <c r="J60" i="165"/>
  <c r="K60" i="165"/>
  <c r="L60" i="165"/>
  <c r="M60" i="165"/>
  <c r="N60" i="165"/>
  <c r="O60" i="165"/>
  <c r="P60" i="165"/>
  <c r="Q60" i="165"/>
  <c r="R60" i="165"/>
  <c r="S60" i="165"/>
  <c r="T60" i="165"/>
  <c r="U60" i="165"/>
  <c r="W60" i="165"/>
  <c r="E61" i="165"/>
  <c r="F61" i="165"/>
  <c r="G61" i="165"/>
  <c r="H61" i="165"/>
  <c r="I61" i="165"/>
  <c r="J61" i="165"/>
  <c r="K61" i="165"/>
  <c r="L61" i="165"/>
  <c r="M61" i="165"/>
  <c r="N61" i="165"/>
  <c r="O61" i="165"/>
  <c r="P61" i="165"/>
  <c r="Q61" i="165"/>
  <c r="R61" i="165"/>
  <c r="S61" i="165"/>
  <c r="T61" i="165"/>
  <c r="U61" i="165"/>
  <c r="W61" i="165"/>
  <c r="E62" i="165"/>
  <c r="F62" i="165"/>
  <c r="G62" i="165"/>
  <c r="H62" i="165"/>
  <c r="I62" i="165"/>
  <c r="J62" i="165"/>
  <c r="K62" i="165"/>
  <c r="L62" i="165"/>
  <c r="M62" i="165"/>
  <c r="N62" i="165"/>
  <c r="O62" i="165"/>
  <c r="P62" i="165"/>
  <c r="Q62" i="165"/>
  <c r="R62" i="165"/>
  <c r="S62" i="165"/>
  <c r="T62" i="165"/>
  <c r="U62" i="165"/>
  <c r="W62" i="165"/>
  <c r="E63" i="165"/>
  <c r="F63" i="165"/>
  <c r="G63" i="165"/>
  <c r="H63" i="165"/>
  <c r="I63" i="165"/>
  <c r="J63" i="165"/>
  <c r="K63" i="165"/>
  <c r="L63" i="165"/>
  <c r="M63" i="165"/>
  <c r="N63" i="165"/>
  <c r="O63" i="165"/>
  <c r="P63" i="165"/>
  <c r="Q63" i="165"/>
  <c r="R63" i="165"/>
  <c r="S63" i="165"/>
  <c r="T63" i="165"/>
  <c r="U63" i="165"/>
  <c r="W63" i="165"/>
  <c r="E64" i="165"/>
  <c r="F64" i="165"/>
  <c r="G64" i="165"/>
  <c r="H64" i="165"/>
  <c r="I64" i="165"/>
  <c r="J64" i="165"/>
  <c r="K64" i="165"/>
  <c r="L64" i="165"/>
  <c r="M64" i="165"/>
  <c r="N64" i="165"/>
  <c r="O64" i="165"/>
  <c r="P64" i="165"/>
  <c r="Q64" i="165"/>
  <c r="R64" i="165"/>
  <c r="S64" i="165"/>
  <c r="T64" i="165"/>
  <c r="U64" i="165"/>
  <c r="W64" i="165"/>
  <c r="E65" i="165"/>
  <c r="F65" i="165"/>
  <c r="G65" i="165"/>
  <c r="H65" i="165"/>
  <c r="I65" i="165"/>
  <c r="J65" i="165"/>
  <c r="K65" i="165"/>
  <c r="L65" i="165"/>
  <c r="M65" i="165"/>
  <c r="N65" i="165"/>
  <c r="O65" i="165"/>
  <c r="P65" i="165"/>
  <c r="Q65" i="165"/>
  <c r="R65" i="165"/>
  <c r="S65" i="165"/>
  <c r="T65" i="165"/>
  <c r="U65" i="165"/>
  <c r="W65" i="165"/>
  <c r="E66" i="165"/>
  <c r="F66" i="165"/>
  <c r="G66" i="165"/>
  <c r="H66" i="165"/>
  <c r="I66" i="165"/>
  <c r="J66" i="165"/>
  <c r="K66" i="165"/>
  <c r="L66" i="165"/>
  <c r="M66" i="165"/>
  <c r="N66" i="165"/>
  <c r="O66" i="165"/>
  <c r="P66" i="165"/>
  <c r="Q66" i="165"/>
  <c r="R66" i="165"/>
  <c r="S66" i="165"/>
  <c r="T66" i="165"/>
  <c r="U66" i="165"/>
  <c r="W66" i="165"/>
  <c r="E67" i="165"/>
  <c r="F67" i="165"/>
  <c r="G67" i="165"/>
  <c r="H67" i="165"/>
  <c r="I67" i="165"/>
  <c r="J67" i="165"/>
  <c r="K67" i="165"/>
  <c r="L67" i="165"/>
  <c r="M67" i="165"/>
  <c r="N67" i="165"/>
  <c r="O67" i="165"/>
  <c r="P67" i="165"/>
  <c r="Q67" i="165"/>
  <c r="R67" i="165"/>
  <c r="S67" i="165"/>
  <c r="T67" i="165"/>
  <c r="U67" i="165"/>
  <c r="W67" i="165"/>
  <c r="E68" i="165"/>
  <c r="F68" i="165"/>
  <c r="G68" i="165"/>
  <c r="H68" i="165"/>
  <c r="I68" i="165"/>
  <c r="J68" i="165"/>
  <c r="K68" i="165"/>
  <c r="L68" i="165"/>
  <c r="M68" i="165"/>
  <c r="N68" i="165"/>
  <c r="O68" i="165"/>
  <c r="P68" i="165"/>
  <c r="Q68" i="165"/>
  <c r="R68" i="165"/>
  <c r="S68" i="165"/>
  <c r="T68" i="165"/>
  <c r="U68" i="165"/>
  <c r="W68" i="165"/>
  <c r="E69" i="165"/>
  <c r="F69" i="165"/>
  <c r="G69" i="165"/>
  <c r="H69" i="165"/>
  <c r="I69" i="165"/>
  <c r="J69" i="165"/>
  <c r="K69" i="165"/>
  <c r="L69" i="165"/>
  <c r="M69" i="165"/>
  <c r="N69" i="165"/>
  <c r="O69" i="165"/>
  <c r="P69" i="165"/>
  <c r="Q69" i="165"/>
  <c r="R69" i="165"/>
  <c r="S69" i="165"/>
  <c r="T69" i="165"/>
  <c r="U69" i="165"/>
  <c r="W69" i="165"/>
  <c r="E70" i="165"/>
  <c r="F70" i="165"/>
  <c r="G70" i="165"/>
  <c r="H70" i="165"/>
  <c r="I70" i="165"/>
  <c r="J70" i="165"/>
  <c r="K70" i="165"/>
  <c r="L70" i="165"/>
  <c r="M70" i="165"/>
  <c r="N70" i="165"/>
  <c r="O70" i="165"/>
  <c r="P70" i="165"/>
  <c r="Q70" i="165"/>
  <c r="R70" i="165"/>
  <c r="S70" i="165"/>
  <c r="T70" i="165"/>
  <c r="U70" i="165"/>
  <c r="W70" i="165"/>
  <c r="E71" i="165"/>
  <c r="F71" i="165"/>
  <c r="G71" i="165"/>
  <c r="H71" i="165"/>
  <c r="I71" i="165"/>
  <c r="J71" i="165"/>
  <c r="K71" i="165"/>
  <c r="L71" i="165"/>
  <c r="M71" i="165"/>
  <c r="N71" i="165"/>
  <c r="O71" i="165"/>
  <c r="P71" i="165"/>
  <c r="Q71" i="165"/>
  <c r="R71" i="165"/>
  <c r="S71" i="165"/>
  <c r="T71" i="165"/>
  <c r="U71" i="165"/>
  <c r="W71" i="165"/>
  <c r="E72" i="165"/>
  <c r="F72" i="165"/>
  <c r="G72" i="165"/>
  <c r="H72" i="165"/>
  <c r="I72" i="165"/>
  <c r="J72" i="165"/>
  <c r="K72" i="165"/>
  <c r="L72" i="165"/>
  <c r="M72" i="165"/>
  <c r="N72" i="165"/>
  <c r="O72" i="165"/>
  <c r="P72" i="165"/>
  <c r="Q72" i="165"/>
  <c r="R72" i="165"/>
  <c r="S72" i="165"/>
  <c r="T72" i="165"/>
  <c r="U72" i="165"/>
  <c r="W72" i="165"/>
  <c r="E73" i="165"/>
  <c r="F73" i="165"/>
  <c r="G73" i="165"/>
  <c r="H73" i="165"/>
  <c r="I73" i="165"/>
  <c r="J73" i="165"/>
  <c r="K73" i="165"/>
  <c r="L73" i="165"/>
  <c r="M73" i="165"/>
  <c r="N73" i="165"/>
  <c r="O73" i="165"/>
  <c r="P73" i="165"/>
  <c r="Q73" i="165"/>
  <c r="R73" i="165"/>
  <c r="S73" i="165"/>
  <c r="T73" i="165"/>
  <c r="U73" i="165"/>
  <c r="W73" i="165"/>
  <c r="E74" i="165"/>
  <c r="F74" i="165"/>
  <c r="G74" i="165"/>
  <c r="H74" i="165"/>
  <c r="I74" i="165"/>
  <c r="J74" i="165"/>
  <c r="K74" i="165"/>
  <c r="L74" i="165"/>
  <c r="M74" i="165"/>
  <c r="N74" i="165"/>
  <c r="O74" i="165"/>
  <c r="P74" i="165"/>
  <c r="Q74" i="165"/>
  <c r="R74" i="165"/>
  <c r="S74" i="165"/>
  <c r="T74" i="165"/>
  <c r="U74" i="165"/>
  <c r="W74" i="165"/>
  <c r="E75" i="165"/>
  <c r="F75" i="165"/>
  <c r="G75" i="165"/>
  <c r="H75" i="165"/>
  <c r="I75" i="165"/>
  <c r="J75" i="165"/>
  <c r="K75" i="165"/>
  <c r="L75" i="165"/>
  <c r="M75" i="165"/>
  <c r="N75" i="165"/>
  <c r="O75" i="165"/>
  <c r="P75" i="165"/>
  <c r="Q75" i="165"/>
  <c r="R75" i="165"/>
  <c r="S75" i="165"/>
  <c r="T75" i="165"/>
  <c r="U75" i="165"/>
  <c r="W75" i="165"/>
  <c r="E76" i="165"/>
  <c r="F76" i="165"/>
  <c r="G76" i="165"/>
  <c r="H76" i="165"/>
  <c r="I76" i="165"/>
  <c r="J76" i="165"/>
  <c r="K76" i="165"/>
  <c r="L76" i="165"/>
  <c r="M76" i="165"/>
  <c r="N76" i="165"/>
  <c r="O76" i="165"/>
  <c r="P76" i="165"/>
  <c r="Q76" i="165"/>
  <c r="R76" i="165"/>
  <c r="S76" i="165"/>
  <c r="T76" i="165"/>
  <c r="U76" i="165"/>
  <c r="W76" i="165"/>
  <c r="E77" i="165"/>
  <c r="F77" i="165"/>
  <c r="G77" i="165"/>
  <c r="H77" i="165"/>
  <c r="I77" i="165"/>
  <c r="J77" i="165"/>
  <c r="K77" i="165"/>
  <c r="L77" i="165"/>
  <c r="M77" i="165"/>
  <c r="N77" i="165"/>
  <c r="O77" i="165"/>
  <c r="P77" i="165"/>
  <c r="Q77" i="165"/>
  <c r="R77" i="165"/>
  <c r="S77" i="165"/>
  <c r="T77" i="165"/>
  <c r="U77" i="165"/>
  <c r="W77" i="165"/>
  <c r="E78" i="165"/>
  <c r="F78" i="165"/>
  <c r="G78" i="165"/>
  <c r="H78" i="165"/>
  <c r="I78" i="165"/>
  <c r="J78" i="165"/>
  <c r="K78" i="165"/>
  <c r="L78" i="165"/>
  <c r="M78" i="165"/>
  <c r="N78" i="165"/>
  <c r="O78" i="165"/>
  <c r="P78" i="165"/>
  <c r="Q78" i="165"/>
  <c r="R78" i="165"/>
  <c r="S78" i="165"/>
  <c r="T78" i="165"/>
  <c r="U78" i="165"/>
  <c r="W78" i="165"/>
  <c r="E79" i="165"/>
  <c r="F79" i="165"/>
  <c r="G79" i="165"/>
  <c r="H79" i="165"/>
  <c r="I79" i="165"/>
  <c r="J79" i="165"/>
  <c r="K79" i="165"/>
  <c r="L79" i="165"/>
  <c r="M79" i="165"/>
  <c r="N79" i="165"/>
  <c r="O79" i="165"/>
  <c r="P79" i="165"/>
  <c r="Q79" i="165"/>
  <c r="R79" i="165"/>
  <c r="S79" i="165"/>
  <c r="T79" i="165"/>
  <c r="U79" i="165"/>
  <c r="W79" i="165"/>
  <c r="E80" i="165"/>
  <c r="F80" i="165"/>
  <c r="G80" i="165"/>
  <c r="H80" i="165"/>
  <c r="I80" i="165"/>
  <c r="J80" i="165"/>
  <c r="K80" i="165"/>
  <c r="L80" i="165"/>
  <c r="M80" i="165"/>
  <c r="N80" i="165"/>
  <c r="O80" i="165"/>
  <c r="P80" i="165"/>
  <c r="Q80" i="165"/>
  <c r="R80" i="165"/>
  <c r="S80" i="165"/>
  <c r="T80" i="165"/>
  <c r="U80" i="165"/>
  <c r="W80" i="165"/>
  <c r="E81" i="165"/>
  <c r="F81" i="165"/>
  <c r="G81" i="165"/>
  <c r="H81" i="165"/>
  <c r="I81" i="165"/>
  <c r="J81" i="165"/>
  <c r="K81" i="165"/>
  <c r="L81" i="165"/>
  <c r="M81" i="165"/>
  <c r="N81" i="165"/>
  <c r="O81" i="165"/>
  <c r="P81" i="165"/>
  <c r="Q81" i="165"/>
  <c r="R81" i="165"/>
  <c r="S81" i="165"/>
  <c r="T81" i="165"/>
  <c r="U81" i="165"/>
  <c r="W81" i="165"/>
  <c r="E82" i="165"/>
  <c r="F82" i="165"/>
  <c r="G82" i="165"/>
  <c r="H82" i="165"/>
  <c r="I82" i="165"/>
  <c r="J82" i="165"/>
  <c r="K82" i="165"/>
  <c r="L82" i="165"/>
  <c r="M82" i="165"/>
  <c r="N82" i="165"/>
  <c r="O82" i="165"/>
  <c r="P82" i="165"/>
  <c r="Q82" i="165"/>
  <c r="R82" i="165"/>
  <c r="S82" i="165"/>
  <c r="T82" i="165"/>
  <c r="U82" i="165"/>
  <c r="W82" i="165"/>
  <c r="E83" i="165"/>
  <c r="F83" i="165"/>
  <c r="G83" i="165"/>
  <c r="H83" i="165"/>
  <c r="I83" i="165"/>
  <c r="J83" i="165"/>
  <c r="K83" i="165"/>
  <c r="L83" i="165"/>
  <c r="M83" i="165"/>
  <c r="N83" i="165"/>
  <c r="O83" i="165"/>
  <c r="P83" i="165"/>
  <c r="Q83" i="165"/>
  <c r="R83" i="165"/>
  <c r="S83" i="165"/>
  <c r="T83" i="165"/>
  <c r="U83" i="165"/>
  <c r="W83" i="165"/>
  <c r="E84" i="165"/>
  <c r="F84" i="165"/>
  <c r="G84" i="165"/>
  <c r="H84" i="165"/>
  <c r="I84" i="165"/>
  <c r="J84" i="165"/>
  <c r="K84" i="165"/>
  <c r="L84" i="165"/>
  <c r="M84" i="165"/>
  <c r="N84" i="165"/>
  <c r="O84" i="165"/>
  <c r="P84" i="165"/>
  <c r="Q84" i="165"/>
  <c r="R84" i="165"/>
  <c r="S84" i="165"/>
  <c r="T84" i="165"/>
  <c r="U84" i="165"/>
  <c r="W84" i="165"/>
  <c r="E85" i="165"/>
  <c r="F85" i="165"/>
  <c r="G85" i="165"/>
  <c r="H85" i="165"/>
  <c r="I85" i="165"/>
  <c r="J85" i="165"/>
  <c r="K85" i="165"/>
  <c r="L85" i="165"/>
  <c r="M85" i="165"/>
  <c r="N85" i="165"/>
  <c r="O85" i="165"/>
  <c r="P85" i="165"/>
  <c r="Q85" i="165"/>
  <c r="R85" i="165"/>
  <c r="S85" i="165"/>
  <c r="T85" i="165"/>
  <c r="U85" i="165"/>
  <c r="W85" i="165"/>
  <c r="E86" i="165"/>
  <c r="F86" i="165"/>
  <c r="G86" i="165"/>
  <c r="H86" i="165"/>
  <c r="I86" i="165"/>
  <c r="J86" i="165"/>
  <c r="K86" i="165"/>
  <c r="L86" i="165"/>
  <c r="M86" i="165"/>
  <c r="N86" i="165"/>
  <c r="O86" i="165"/>
  <c r="P86" i="165"/>
  <c r="Q86" i="165"/>
  <c r="R86" i="165"/>
  <c r="S86" i="165"/>
  <c r="T86" i="165"/>
  <c r="U86" i="165"/>
  <c r="W86" i="165"/>
  <c r="E87" i="165"/>
  <c r="F87" i="165"/>
  <c r="G87" i="165"/>
  <c r="H87" i="165"/>
  <c r="I87" i="165"/>
  <c r="J87" i="165"/>
  <c r="K87" i="165"/>
  <c r="L87" i="165"/>
  <c r="M87" i="165"/>
  <c r="N87" i="165"/>
  <c r="O87" i="165"/>
  <c r="P87" i="165"/>
  <c r="Q87" i="165"/>
  <c r="R87" i="165"/>
  <c r="S87" i="165"/>
  <c r="T87" i="165"/>
  <c r="U87" i="165"/>
  <c r="W87" i="165"/>
  <c r="E88" i="165"/>
  <c r="F88" i="165"/>
  <c r="G88" i="165"/>
  <c r="H88" i="165"/>
  <c r="I88" i="165"/>
  <c r="J88" i="165"/>
  <c r="K88" i="165"/>
  <c r="L88" i="165"/>
  <c r="M88" i="165"/>
  <c r="N88" i="165"/>
  <c r="O88" i="165"/>
  <c r="P88" i="165"/>
  <c r="Q88" i="165"/>
  <c r="R88" i="165"/>
  <c r="S88" i="165"/>
  <c r="T88" i="165"/>
  <c r="U88" i="165"/>
  <c r="W88" i="165"/>
  <c r="E89" i="165"/>
  <c r="F89" i="165"/>
  <c r="G89" i="165"/>
  <c r="H89" i="165"/>
  <c r="I89" i="165"/>
  <c r="J89" i="165"/>
  <c r="K89" i="165"/>
  <c r="L89" i="165"/>
  <c r="M89" i="165"/>
  <c r="N89" i="165"/>
  <c r="O89" i="165"/>
  <c r="P89" i="165"/>
  <c r="Q89" i="165"/>
  <c r="R89" i="165"/>
  <c r="S89" i="165"/>
  <c r="T89" i="165"/>
  <c r="U89" i="165"/>
  <c r="W89" i="165"/>
  <c r="E90" i="165"/>
  <c r="F90" i="165"/>
  <c r="G90" i="165"/>
  <c r="H90" i="165"/>
  <c r="I90" i="165"/>
  <c r="J90" i="165"/>
  <c r="K90" i="165"/>
  <c r="L90" i="165"/>
  <c r="M90" i="165"/>
  <c r="N90" i="165"/>
  <c r="O90" i="165"/>
  <c r="P90" i="165"/>
  <c r="Q90" i="165"/>
  <c r="R90" i="165"/>
  <c r="S90" i="165"/>
  <c r="T90" i="165"/>
  <c r="U90" i="165"/>
  <c r="W90" i="165"/>
  <c r="E91" i="165"/>
  <c r="F91" i="165"/>
  <c r="G91" i="165"/>
  <c r="H91" i="165"/>
  <c r="I91" i="165"/>
  <c r="J91" i="165"/>
  <c r="K91" i="165"/>
  <c r="L91" i="165"/>
  <c r="M91" i="165"/>
  <c r="N91" i="165"/>
  <c r="O91" i="165"/>
  <c r="P91" i="165"/>
  <c r="Q91" i="165"/>
  <c r="R91" i="165"/>
  <c r="S91" i="165"/>
  <c r="T91" i="165"/>
  <c r="U91" i="165"/>
  <c r="W91" i="165"/>
  <c r="E92" i="165"/>
  <c r="F92" i="165"/>
  <c r="G92" i="165"/>
  <c r="H92" i="165"/>
  <c r="I92" i="165"/>
  <c r="J92" i="165"/>
  <c r="K92" i="165"/>
  <c r="L92" i="165"/>
  <c r="M92" i="165"/>
  <c r="N92" i="165"/>
  <c r="O92" i="165"/>
  <c r="P92" i="165"/>
  <c r="Q92" i="165"/>
  <c r="R92" i="165"/>
  <c r="S92" i="165"/>
  <c r="T92" i="165"/>
  <c r="U92" i="165"/>
  <c r="W92" i="165"/>
  <c r="E93" i="165"/>
  <c r="F93" i="165"/>
  <c r="G93" i="165"/>
  <c r="H93" i="165"/>
  <c r="I93" i="165"/>
  <c r="J93" i="165"/>
  <c r="K93" i="165"/>
  <c r="L93" i="165"/>
  <c r="M93" i="165"/>
  <c r="N93" i="165"/>
  <c r="O93" i="165"/>
  <c r="P93" i="165"/>
  <c r="Q93" i="165"/>
  <c r="R93" i="165"/>
  <c r="S93" i="165"/>
  <c r="T93" i="165"/>
  <c r="U93" i="165"/>
  <c r="W93" i="165"/>
  <c r="E94" i="165"/>
  <c r="F94" i="165"/>
  <c r="G94" i="165"/>
  <c r="H94" i="165"/>
  <c r="I94" i="165"/>
  <c r="J94" i="165"/>
  <c r="K94" i="165"/>
  <c r="L94" i="165"/>
  <c r="M94" i="165"/>
  <c r="N94" i="165"/>
  <c r="O94" i="165"/>
  <c r="P94" i="165"/>
  <c r="Q94" i="165"/>
  <c r="R94" i="165"/>
  <c r="S94" i="165"/>
  <c r="T94" i="165"/>
  <c r="U94" i="165"/>
  <c r="W94" i="165"/>
  <c r="E95" i="165"/>
  <c r="F95" i="165"/>
  <c r="G95" i="165"/>
  <c r="H95" i="165"/>
  <c r="I95" i="165"/>
  <c r="J95" i="165"/>
  <c r="K95" i="165"/>
  <c r="L95" i="165"/>
  <c r="M95" i="165"/>
  <c r="N95" i="165"/>
  <c r="O95" i="165"/>
  <c r="P95" i="165"/>
  <c r="Q95" i="165"/>
  <c r="R95" i="165"/>
  <c r="S95" i="165"/>
  <c r="T95" i="165"/>
  <c r="U95" i="165"/>
  <c r="W95" i="165"/>
  <c r="E96" i="165"/>
  <c r="F96" i="165"/>
  <c r="G96" i="165"/>
  <c r="H96" i="165"/>
  <c r="I96" i="165"/>
  <c r="J96" i="165"/>
  <c r="K96" i="165"/>
  <c r="L96" i="165"/>
  <c r="M96" i="165"/>
  <c r="N96" i="165"/>
  <c r="O96" i="165"/>
  <c r="P96" i="165"/>
  <c r="Q96" i="165"/>
  <c r="R96" i="165"/>
  <c r="S96" i="165"/>
  <c r="T96" i="165"/>
  <c r="U96" i="165"/>
  <c r="W96" i="165"/>
  <c r="E97" i="165"/>
  <c r="F97" i="165"/>
  <c r="G97" i="165"/>
  <c r="H97" i="165"/>
  <c r="I97" i="165"/>
  <c r="J97" i="165"/>
  <c r="K97" i="165"/>
  <c r="L97" i="165"/>
  <c r="M97" i="165"/>
  <c r="N97" i="165"/>
  <c r="O97" i="165"/>
  <c r="P97" i="165"/>
  <c r="Q97" i="165"/>
  <c r="R97" i="165"/>
  <c r="S97" i="165"/>
  <c r="T97" i="165"/>
  <c r="U97" i="165"/>
  <c r="W97" i="165"/>
  <c r="E98" i="165"/>
  <c r="F98" i="165"/>
  <c r="G98" i="165"/>
  <c r="H98" i="165"/>
  <c r="I98" i="165"/>
  <c r="J98" i="165"/>
  <c r="K98" i="165"/>
  <c r="L98" i="165"/>
  <c r="M98" i="165"/>
  <c r="N98" i="165"/>
  <c r="O98" i="165"/>
  <c r="P98" i="165"/>
  <c r="Q98" i="165"/>
  <c r="R98" i="165"/>
  <c r="S98" i="165"/>
  <c r="T98" i="165"/>
  <c r="U98" i="165"/>
  <c r="W98" i="165"/>
  <c r="E99" i="165"/>
  <c r="F99" i="165"/>
  <c r="G99" i="165"/>
  <c r="H99" i="165"/>
  <c r="I99" i="165"/>
  <c r="J99" i="165"/>
  <c r="K99" i="165"/>
  <c r="L99" i="165"/>
  <c r="M99" i="165"/>
  <c r="N99" i="165"/>
  <c r="O99" i="165"/>
  <c r="P99" i="165"/>
  <c r="Q99" i="165"/>
  <c r="R99" i="165"/>
  <c r="S99" i="165"/>
  <c r="T99" i="165"/>
  <c r="U99" i="165"/>
  <c r="W99" i="165"/>
  <c r="E100" i="165"/>
  <c r="F100" i="165"/>
  <c r="G100" i="165"/>
  <c r="H100" i="165"/>
  <c r="I100" i="165"/>
  <c r="J100" i="165"/>
  <c r="K100" i="165"/>
  <c r="L100" i="165"/>
  <c r="M100" i="165"/>
  <c r="N100" i="165"/>
  <c r="O100" i="165"/>
  <c r="P100" i="165"/>
  <c r="Q100" i="165"/>
  <c r="R100" i="165"/>
  <c r="S100" i="165"/>
  <c r="T100" i="165"/>
  <c r="U100" i="165"/>
  <c r="W100" i="165"/>
  <c r="E101" i="165"/>
  <c r="F101" i="165"/>
  <c r="G101" i="165"/>
  <c r="H101" i="165"/>
  <c r="I101" i="165"/>
  <c r="J101" i="165"/>
  <c r="K101" i="165"/>
  <c r="L101" i="165"/>
  <c r="M101" i="165"/>
  <c r="N101" i="165"/>
  <c r="O101" i="165"/>
  <c r="P101" i="165"/>
  <c r="Q101" i="165"/>
  <c r="R101" i="165"/>
  <c r="S101" i="165"/>
  <c r="T101" i="165"/>
  <c r="U101" i="165"/>
  <c r="W101" i="165"/>
  <c r="E102" i="165"/>
  <c r="F102" i="165"/>
  <c r="G102" i="165"/>
  <c r="H102" i="165"/>
  <c r="I102" i="165"/>
  <c r="J102" i="165"/>
  <c r="K102" i="165"/>
  <c r="L102" i="165"/>
  <c r="M102" i="165"/>
  <c r="N102" i="165"/>
  <c r="O102" i="165"/>
  <c r="P102" i="165"/>
  <c r="Q102" i="165"/>
  <c r="R102" i="165"/>
  <c r="S102" i="165"/>
  <c r="T102" i="165"/>
  <c r="U102" i="165"/>
  <c r="W102" i="165"/>
  <c r="E103" i="165"/>
  <c r="F103" i="165"/>
  <c r="G103" i="165"/>
  <c r="H103" i="165"/>
  <c r="I103" i="165"/>
  <c r="J103" i="165"/>
  <c r="K103" i="165"/>
  <c r="L103" i="165"/>
  <c r="M103" i="165"/>
  <c r="N103" i="165"/>
  <c r="O103" i="165"/>
  <c r="P103" i="165"/>
  <c r="Q103" i="165"/>
  <c r="R103" i="165"/>
  <c r="S103" i="165"/>
  <c r="T103" i="165"/>
  <c r="U103" i="165"/>
  <c r="W103" i="165"/>
  <c r="E104" i="165"/>
  <c r="F104" i="165"/>
  <c r="G104" i="165"/>
  <c r="H104" i="165"/>
  <c r="I104" i="165"/>
  <c r="J104" i="165"/>
  <c r="K104" i="165"/>
  <c r="L104" i="165"/>
  <c r="M104" i="165"/>
  <c r="N104" i="165"/>
  <c r="O104" i="165"/>
  <c r="P104" i="165"/>
  <c r="Q104" i="165"/>
  <c r="R104" i="165"/>
  <c r="S104" i="165"/>
  <c r="T104" i="165"/>
  <c r="U104" i="165"/>
  <c r="W104" i="165"/>
  <c r="E105" i="165"/>
  <c r="F105" i="165"/>
  <c r="G105" i="165"/>
  <c r="H105" i="165"/>
  <c r="I105" i="165"/>
  <c r="J105" i="165"/>
  <c r="K105" i="165"/>
  <c r="L105" i="165"/>
  <c r="M105" i="165"/>
  <c r="N105" i="165"/>
  <c r="O105" i="165"/>
  <c r="P105" i="165"/>
  <c r="Q105" i="165"/>
  <c r="R105" i="165"/>
  <c r="S105" i="165"/>
  <c r="T105" i="165"/>
  <c r="U105" i="165"/>
  <c r="W105" i="165"/>
  <c r="E106" i="165"/>
  <c r="F106" i="165"/>
  <c r="G106" i="165"/>
  <c r="H106" i="165"/>
  <c r="I106" i="165"/>
  <c r="J106" i="165"/>
  <c r="K106" i="165"/>
  <c r="L106" i="165"/>
  <c r="M106" i="165"/>
  <c r="N106" i="165"/>
  <c r="O106" i="165"/>
  <c r="P106" i="165"/>
  <c r="Q106" i="165"/>
  <c r="R106" i="165"/>
  <c r="S106" i="165"/>
  <c r="T106" i="165"/>
  <c r="U106" i="165"/>
  <c r="W106" i="165"/>
  <c r="E107" i="165"/>
  <c r="F107" i="165"/>
  <c r="G107" i="165"/>
  <c r="H107" i="165"/>
  <c r="I107" i="165"/>
  <c r="J107" i="165"/>
  <c r="K107" i="165"/>
  <c r="L107" i="165"/>
  <c r="M107" i="165"/>
  <c r="N107" i="165"/>
  <c r="O107" i="165"/>
  <c r="P107" i="165"/>
  <c r="Q107" i="165"/>
  <c r="R107" i="165"/>
  <c r="S107" i="165"/>
  <c r="T107" i="165"/>
  <c r="U107" i="165"/>
  <c r="W107" i="165"/>
  <c r="W12" i="165"/>
  <c r="X12" i="165" s="1"/>
  <c r="F12" i="165"/>
  <c r="G12" i="165"/>
  <c r="H12" i="165"/>
  <c r="I12" i="165"/>
  <c r="J12" i="165"/>
  <c r="K12" i="165"/>
  <c r="L12" i="165"/>
  <c r="M12" i="165"/>
  <c r="N12" i="165"/>
  <c r="O12" i="165"/>
  <c r="P12" i="165"/>
  <c r="Q12" i="165"/>
  <c r="R12" i="165"/>
  <c r="S12" i="165"/>
  <c r="T12" i="165"/>
  <c r="U12" i="165"/>
  <c r="E12" i="165"/>
  <c r="C92" i="165"/>
  <c r="C84" i="165"/>
  <c r="C76" i="165"/>
  <c r="C68" i="165"/>
  <c r="C60" i="165"/>
  <c r="C52" i="165"/>
  <c r="C44" i="165"/>
  <c r="C36" i="165"/>
  <c r="C28" i="165"/>
  <c r="C20" i="165"/>
  <c r="C12" i="165"/>
  <c r="B8" i="165"/>
  <c r="D3" i="165"/>
  <c r="D2" i="165"/>
  <c r="E13" i="164"/>
  <c r="F13" i="164"/>
  <c r="G13" i="164"/>
  <c r="H13" i="164"/>
  <c r="I13" i="164"/>
  <c r="J13" i="164"/>
  <c r="K13" i="164"/>
  <c r="L13" i="164"/>
  <c r="M13" i="164"/>
  <c r="N13" i="164"/>
  <c r="O13" i="164"/>
  <c r="P13" i="164"/>
  <c r="Q13" i="164"/>
  <c r="R13" i="164"/>
  <c r="S13" i="164"/>
  <c r="T13" i="164"/>
  <c r="U13" i="164"/>
  <c r="W13" i="164"/>
  <c r="E14" i="164"/>
  <c r="F14" i="164"/>
  <c r="G14" i="164"/>
  <c r="H14" i="164"/>
  <c r="I14" i="164"/>
  <c r="J14" i="164"/>
  <c r="K14" i="164"/>
  <c r="L14" i="164"/>
  <c r="M14" i="164"/>
  <c r="N14" i="164"/>
  <c r="O14" i="164"/>
  <c r="P14" i="164"/>
  <c r="Q14" i="164"/>
  <c r="R14" i="164"/>
  <c r="S14" i="164"/>
  <c r="T14" i="164"/>
  <c r="U14" i="164"/>
  <c r="W14" i="164"/>
  <c r="E15" i="164"/>
  <c r="F15" i="164"/>
  <c r="G15" i="164"/>
  <c r="H15" i="164"/>
  <c r="I15" i="164"/>
  <c r="J15" i="164"/>
  <c r="K15" i="164"/>
  <c r="L15" i="164"/>
  <c r="M15" i="164"/>
  <c r="N15" i="164"/>
  <c r="O15" i="164"/>
  <c r="P15" i="164"/>
  <c r="Q15" i="164"/>
  <c r="R15" i="164"/>
  <c r="S15" i="164"/>
  <c r="T15" i="164"/>
  <c r="U15" i="164"/>
  <c r="W15" i="164"/>
  <c r="E16" i="164"/>
  <c r="F16" i="164"/>
  <c r="G16" i="164"/>
  <c r="H16" i="164"/>
  <c r="I16" i="164"/>
  <c r="J16" i="164"/>
  <c r="K16" i="164"/>
  <c r="L16" i="164"/>
  <c r="M16" i="164"/>
  <c r="N16" i="164"/>
  <c r="O16" i="164"/>
  <c r="P16" i="164"/>
  <c r="Q16" i="164"/>
  <c r="R16" i="164"/>
  <c r="S16" i="164"/>
  <c r="T16" i="164"/>
  <c r="U16" i="164"/>
  <c r="W16" i="164"/>
  <c r="E17" i="164"/>
  <c r="F17" i="164"/>
  <c r="G17" i="164"/>
  <c r="H17" i="164"/>
  <c r="I17" i="164"/>
  <c r="J17" i="164"/>
  <c r="K17" i="164"/>
  <c r="L17" i="164"/>
  <c r="M17" i="164"/>
  <c r="N17" i="164"/>
  <c r="O17" i="164"/>
  <c r="P17" i="164"/>
  <c r="Q17" i="164"/>
  <c r="R17" i="164"/>
  <c r="S17" i="164"/>
  <c r="T17" i="164"/>
  <c r="U17" i="164"/>
  <c r="W17" i="164"/>
  <c r="E18" i="164"/>
  <c r="F18" i="164"/>
  <c r="G18" i="164"/>
  <c r="H18" i="164"/>
  <c r="I18" i="164"/>
  <c r="J18" i="164"/>
  <c r="K18" i="164"/>
  <c r="L18" i="164"/>
  <c r="M18" i="164"/>
  <c r="N18" i="164"/>
  <c r="O18" i="164"/>
  <c r="P18" i="164"/>
  <c r="Q18" i="164"/>
  <c r="R18" i="164"/>
  <c r="S18" i="164"/>
  <c r="T18" i="164"/>
  <c r="U18" i="164"/>
  <c r="W18" i="164"/>
  <c r="E19" i="164"/>
  <c r="F19" i="164"/>
  <c r="G19" i="164"/>
  <c r="H19" i="164"/>
  <c r="I19" i="164"/>
  <c r="J19" i="164"/>
  <c r="K19" i="164"/>
  <c r="L19" i="164"/>
  <c r="M19" i="164"/>
  <c r="N19" i="164"/>
  <c r="O19" i="164"/>
  <c r="P19" i="164"/>
  <c r="Q19" i="164"/>
  <c r="R19" i="164"/>
  <c r="S19" i="164"/>
  <c r="T19" i="164"/>
  <c r="U19" i="164"/>
  <c r="W19" i="164"/>
  <c r="E20" i="164"/>
  <c r="F20" i="164"/>
  <c r="G20" i="164"/>
  <c r="H20" i="164"/>
  <c r="I20" i="164"/>
  <c r="J20" i="164"/>
  <c r="K20" i="164"/>
  <c r="L20" i="164"/>
  <c r="M20" i="164"/>
  <c r="N20" i="164"/>
  <c r="O20" i="164"/>
  <c r="P20" i="164"/>
  <c r="Q20" i="164"/>
  <c r="R20" i="164"/>
  <c r="S20" i="164"/>
  <c r="T20" i="164"/>
  <c r="U20" i="164"/>
  <c r="W20" i="164"/>
  <c r="E21" i="164"/>
  <c r="F21" i="164"/>
  <c r="G21" i="164"/>
  <c r="H21" i="164"/>
  <c r="I21" i="164"/>
  <c r="J21" i="164"/>
  <c r="K21" i="164"/>
  <c r="L21" i="164"/>
  <c r="M21" i="164"/>
  <c r="N21" i="164"/>
  <c r="O21" i="164"/>
  <c r="P21" i="164"/>
  <c r="Q21" i="164"/>
  <c r="R21" i="164"/>
  <c r="S21" i="164"/>
  <c r="T21" i="164"/>
  <c r="U21" i="164"/>
  <c r="W21" i="164"/>
  <c r="E22" i="164"/>
  <c r="F22" i="164"/>
  <c r="G22" i="164"/>
  <c r="H22" i="164"/>
  <c r="I22" i="164"/>
  <c r="J22" i="164"/>
  <c r="K22" i="164"/>
  <c r="L22" i="164"/>
  <c r="M22" i="164"/>
  <c r="N22" i="164"/>
  <c r="O22" i="164"/>
  <c r="P22" i="164"/>
  <c r="Q22" i="164"/>
  <c r="R22" i="164"/>
  <c r="S22" i="164"/>
  <c r="T22" i="164"/>
  <c r="U22" i="164"/>
  <c r="W22" i="164"/>
  <c r="E23" i="164"/>
  <c r="F23" i="164"/>
  <c r="G23" i="164"/>
  <c r="H23" i="164"/>
  <c r="I23" i="164"/>
  <c r="J23" i="164"/>
  <c r="K23" i="164"/>
  <c r="L23" i="164"/>
  <c r="M23" i="164"/>
  <c r="N23" i="164"/>
  <c r="O23" i="164"/>
  <c r="P23" i="164"/>
  <c r="Q23" i="164"/>
  <c r="R23" i="164"/>
  <c r="S23" i="164"/>
  <c r="T23" i="164"/>
  <c r="U23" i="164"/>
  <c r="W23" i="164"/>
  <c r="E24" i="164"/>
  <c r="F24" i="164"/>
  <c r="G24" i="164"/>
  <c r="H24" i="164"/>
  <c r="I24" i="164"/>
  <c r="J24" i="164"/>
  <c r="K24" i="164"/>
  <c r="L24" i="164"/>
  <c r="M24" i="164"/>
  <c r="N24" i="164"/>
  <c r="O24" i="164"/>
  <c r="P24" i="164"/>
  <c r="Q24" i="164"/>
  <c r="R24" i="164"/>
  <c r="S24" i="164"/>
  <c r="T24" i="164"/>
  <c r="U24" i="164"/>
  <c r="W24" i="164"/>
  <c r="E25" i="164"/>
  <c r="F25" i="164"/>
  <c r="G25" i="164"/>
  <c r="H25" i="164"/>
  <c r="I25" i="164"/>
  <c r="J25" i="164"/>
  <c r="K25" i="164"/>
  <c r="L25" i="164"/>
  <c r="M25" i="164"/>
  <c r="N25" i="164"/>
  <c r="O25" i="164"/>
  <c r="P25" i="164"/>
  <c r="Q25" i="164"/>
  <c r="R25" i="164"/>
  <c r="S25" i="164"/>
  <c r="T25" i="164"/>
  <c r="U25" i="164"/>
  <c r="W25" i="164"/>
  <c r="E26" i="164"/>
  <c r="F26" i="164"/>
  <c r="G26" i="164"/>
  <c r="H26" i="164"/>
  <c r="I26" i="164"/>
  <c r="J26" i="164"/>
  <c r="K26" i="164"/>
  <c r="L26" i="164"/>
  <c r="M26" i="164"/>
  <c r="N26" i="164"/>
  <c r="O26" i="164"/>
  <c r="P26" i="164"/>
  <c r="Q26" i="164"/>
  <c r="R26" i="164"/>
  <c r="S26" i="164"/>
  <c r="T26" i="164"/>
  <c r="U26" i="164"/>
  <c r="W26" i="164"/>
  <c r="E27" i="164"/>
  <c r="F27" i="164"/>
  <c r="G27" i="164"/>
  <c r="H27" i="164"/>
  <c r="I27" i="164"/>
  <c r="J27" i="164"/>
  <c r="K27" i="164"/>
  <c r="L27" i="164"/>
  <c r="M27" i="164"/>
  <c r="N27" i="164"/>
  <c r="O27" i="164"/>
  <c r="P27" i="164"/>
  <c r="Q27" i="164"/>
  <c r="R27" i="164"/>
  <c r="S27" i="164"/>
  <c r="T27" i="164"/>
  <c r="U27" i="164"/>
  <c r="W27" i="164"/>
  <c r="E28" i="164"/>
  <c r="F28" i="164"/>
  <c r="G28" i="164"/>
  <c r="H28" i="164"/>
  <c r="I28" i="164"/>
  <c r="J28" i="164"/>
  <c r="K28" i="164"/>
  <c r="L28" i="164"/>
  <c r="M28" i="164"/>
  <c r="N28" i="164"/>
  <c r="O28" i="164"/>
  <c r="P28" i="164"/>
  <c r="Q28" i="164"/>
  <c r="R28" i="164"/>
  <c r="S28" i="164"/>
  <c r="T28" i="164"/>
  <c r="U28" i="164"/>
  <c r="W28" i="164"/>
  <c r="E29" i="164"/>
  <c r="F29" i="164"/>
  <c r="G29" i="164"/>
  <c r="H29" i="164"/>
  <c r="I29" i="164"/>
  <c r="J29" i="164"/>
  <c r="K29" i="164"/>
  <c r="L29" i="164"/>
  <c r="M29" i="164"/>
  <c r="N29" i="164"/>
  <c r="O29" i="164"/>
  <c r="P29" i="164"/>
  <c r="Q29" i="164"/>
  <c r="R29" i="164"/>
  <c r="S29" i="164"/>
  <c r="T29" i="164"/>
  <c r="U29" i="164"/>
  <c r="W29" i="164"/>
  <c r="E30" i="164"/>
  <c r="F30" i="164"/>
  <c r="G30" i="164"/>
  <c r="H30" i="164"/>
  <c r="I30" i="164"/>
  <c r="J30" i="164"/>
  <c r="K30" i="164"/>
  <c r="L30" i="164"/>
  <c r="M30" i="164"/>
  <c r="N30" i="164"/>
  <c r="O30" i="164"/>
  <c r="P30" i="164"/>
  <c r="Q30" i="164"/>
  <c r="R30" i="164"/>
  <c r="S30" i="164"/>
  <c r="T30" i="164"/>
  <c r="U30" i="164"/>
  <c r="W30" i="164"/>
  <c r="E31" i="164"/>
  <c r="F31" i="164"/>
  <c r="G31" i="164"/>
  <c r="H31" i="164"/>
  <c r="I31" i="164"/>
  <c r="J31" i="164"/>
  <c r="K31" i="164"/>
  <c r="L31" i="164"/>
  <c r="M31" i="164"/>
  <c r="N31" i="164"/>
  <c r="O31" i="164"/>
  <c r="P31" i="164"/>
  <c r="Q31" i="164"/>
  <c r="R31" i="164"/>
  <c r="S31" i="164"/>
  <c r="T31" i="164"/>
  <c r="U31" i="164"/>
  <c r="W31" i="164"/>
  <c r="E32" i="164"/>
  <c r="F32" i="164"/>
  <c r="G32" i="164"/>
  <c r="H32" i="164"/>
  <c r="I32" i="164"/>
  <c r="J32" i="164"/>
  <c r="K32" i="164"/>
  <c r="L32" i="164"/>
  <c r="M32" i="164"/>
  <c r="N32" i="164"/>
  <c r="O32" i="164"/>
  <c r="P32" i="164"/>
  <c r="Q32" i="164"/>
  <c r="R32" i="164"/>
  <c r="S32" i="164"/>
  <c r="T32" i="164"/>
  <c r="U32" i="164"/>
  <c r="W32" i="164"/>
  <c r="E33" i="164"/>
  <c r="F33" i="164"/>
  <c r="G33" i="164"/>
  <c r="H33" i="164"/>
  <c r="I33" i="164"/>
  <c r="J33" i="164"/>
  <c r="K33" i="164"/>
  <c r="L33" i="164"/>
  <c r="M33" i="164"/>
  <c r="N33" i="164"/>
  <c r="O33" i="164"/>
  <c r="P33" i="164"/>
  <c r="Q33" i="164"/>
  <c r="R33" i="164"/>
  <c r="S33" i="164"/>
  <c r="T33" i="164"/>
  <c r="U33" i="164"/>
  <c r="W33" i="164"/>
  <c r="E34" i="164"/>
  <c r="F34" i="164"/>
  <c r="G34" i="164"/>
  <c r="H34" i="164"/>
  <c r="I34" i="164"/>
  <c r="J34" i="164"/>
  <c r="K34" i="164"/>
  <c r="L34" i="164"/>
  <c r="M34" i="164"/>
  <c r="N34" i="164"/>
  <c r="O34" i="164"/>
  <c r="P34" i="164"/>
  <c r="Q34" i="164"/>
  <c r="R34" i="164"/>
  <c r="S34" i="164"/>
  <c r="T34" i="164"/>
  <c r="U34" i="164"/>
  <c r="W34" i="164"/>
  <c r="E35" i="164"/>
  <c r="F35" i="164"/>
  <c r="G35" i="164"/>
  <c r="H35" i="164"/>
  <c r="I35" i="164"/>
  <c r="J35" i="164"/>
  <c r="K35" i="164"/>
  <c r="L35" i="164"/>
  <c r="M35" i="164"/>
  <c r="N35" i="164"/>
  <c r="O35" i="164"/>
  <c r="P35" i="164"/>
  <c r="Q35" i="164"/>
  <c r="R35" i="164"/>
  <c r="S35" i="164"/>
  <c r="T35" i="164"/>
  <c r="U35" i="164"/>
  <c r="W35" i="164"/>
  <c r="E36" i="164"/>
  <c r="F36" i="164"/>
  <c r="G36" i="164"/>
  <c r="H36" i="164"/>
  <c r="I36" i="164"/>
  <c r="J36" i="164"/>
  <c r="K36" i="164"/>
  <c r="L36" i="164"/>
  <c r="M36" i="164"/>
  <c r="N36" i="164"/>
  <c r="O36" i="164"/>
  <c r="P36" i="164"/>
  <c r="Q36" i="164"/>
  <c r="R36" i="164"/>
  <c r="S36" i="164"/>
  <c r="T36" i="164"/>
  <c r="U36" i="164"/>
  <c r="W36" i="164"/>
  <c r="E37" i="164"/>
  <c r="F37" i="164"/>
  <c r="G37" i="164"/>
  <c r="H37" i="164"/>
  <c r="I37" i="164"/>
  <c r="J37" i="164"/>
  <c r="K37" i="164"/>
  <c r="L37" i="164"/>
  <c r="M37" i="164"/>
  <c r="N37" i="164"/>
  <c r="O37" i="164"/>
  <c r="P37" i="164"/>
  <c r="Q37" i="164"/>
  <c r="R37" i="164"/>
  <c r="S37" i="164"/>
  <c r="T37" i="164"/>
  <c r="U37" i="164"/>
  <c r="W37" i="164"/>
  <c r="E38" i="164"/>
  <c r="F38" i="164"/>
  <c r="G38" i="164"/>
  <c r="H38" i="164"/>
  <c r="I38" i="164"/>
  <c r="J38" i="164"/>
  <c r="K38" i="164"/>
  <c r="L38" i="164"/>
  <c r="M38" i="164"/>
  <c r="N38" i="164"/>
  <c r="O38" i="164"/>
  <c r="P38" i="164"/>
  <c r="Q38" i="164"/>
  <c r="R38" i="164"/>
  <c r="S38" i="164"/>
  <c r="T38" i="164"/>
  <c r="U38" i="164"/>
  <c r="W38" i="164"/>
  <c r="E39" i="164"/>
  <c r="F39" i="164"/>
  <c r="G39" i="164"/>
  <c r="H39" i="164"/>
  <c r="I39" i="164"/>
  <c r="J39" i="164"/>
  <c r="K39" i="164"/>
  <c r="L39" i="164"/>
  <c r="M39" i="164"/>
  <c r="N39" i="164"/>
  <c r="O39" i="164"/>
  <c r="P39" i="164"/>
  <c r="Q39" i="164"/>
  <c r="R39" i="164"/>
  <c r="S39" i="164"/>
  <c r="T39" i="164"/>
  <c r="U39" i="164"/>
  <c r="W39" i="164"/>
  <c r="E40" i="164"/>
  <c r="F40" i="164"/>
  <c r="G40" i="164"/>
  <c r="H40" i="164"/>
  <c r="I40" i="164"/>
  <c r="J40" i="164"/>
  <c r="K40" i="164"/>
  <c r="L40" i="164"/>
  <c r="M40" i="164"/>
  <c r="N40" i="164"/>
  <c r="O40" i="164"/>
  <c r="P40" i="164"/>
  <c r="Q40" i="164"/>
  <c r="R40" i="164"/>
  <c r="S40" i="164"/>
  <c r="T40" i="164"/>
  <c r="U40" i="164"/>
  <c r="W40" i="164"/>
  <c r="E41" i="164"/>
  <c r="F41" i="164"/>
  <c r="G41" i="164"/>
  <c r="H41" i="164"/>
  <c r="I41" i="164"/>
  <c r="J41" i="164"/>
  <c r="K41" i="164"/>
  <c r="L41" i="164"/>
  <c r="M41" i="164"/>
  <c r="N41" i="164"/>
  <c r="O41" i="164"/>
  <c r="P41" i="164"/>
  <c r="Q41" i="164"/>
  <c r="R41" i="164"/>
  <c r="S41" i="164"/>
  <c r="T41" i="164"/>
  <c r="U41" i="164"/>
  <c r="W41" i="164"/>
  <c r="E42" i="164"/>
  <c r="F42" i="164"/>
  <c r="G42" i="164"/>
  <c r="H42" i="164"/>
  <c r="I42" i="164"/>
  <c r="J42" i="164"/>
  <c r="K42" i="164"/>
  <c r="L42" i="164"/>
  <c r="M42" i="164"/>
  <c r="N42" i="164"/>
  <c r="O42" i="164"/>
  <c r="P42" i="164"/>
  <c r="Q42" i="164"/>
  <c r="R42" i="164"/>
  <c r="S42" i="164"/>
  <c r="T42" i="164"/>
  <c r="U42" i="164"/>
  <c r="W42" i="164"/>
  <c r="E43" i="164"/>
  <c r="F43" i="164"/>
  <c r="G43" i="164"/>
  <c r="H43" i="164"/>
  <c r="I43" i="164"/>
  <c r="J43" i="164"/>
  <c r="K43" i="164"/>
  <c r="L43" i="164"/>
  <c r="M43" i="164"/>
  <c r="N43" i="164"/>
  <c r="O43" i="164"/>
  <c r="P43" i="164"/>
  <c r="Q43" i="164"/>
  <c r="R43" i="164"/>
  <c r="S43" i="164"/>
  <c r="T43" i="164"/>
  <c r="U43" i="164"/>
  <c r="W43" i="164"/>
  <c r="E44" i="164"/>
  <c r="F44" i="164"/>
  <c r="G44" i="164"/>
  <c r="H44" i="164"/>
  <c r="I44" i="164"/>
  <c r="J44" i="164"/>
  <c r="K44" i="164"/>
  <c r="L44" i="164"/>
  <c r="M44" i="164"/>
  <c r="N44" i="164"/>
  <c r="O44" i="164"/>
  <c r="P44" i="164"/>
  <c r="Q44" i="164"/>
  <c r="R44" i="164"/>
  <c r="S44" i="164"/>
  <c r="T44" i="164"/>
  <c r="U44" i="164"/>
  <c r="W44" i="164"/>
  <c r="E45" i="164"/>
  <c r="F45" i="164"/>
  <c r="G45" i="164"/>
  <c r="H45" i="164"/>
  <c r="I45" i="164"/>
  <c r="J45" i="164"/>
  <c r="K45" i="164"/>
  <c r="L45" i="164"/>
  <c r="M45" i="164"/>
  <c r="N45" i="164"/>
  <c r="O45" i="164"/>
  <c r="P45" i="164"/>
  <c r="Q45" i="164"/>
  <c r="R45" i="164"/>
  <c r="S45" i="164"/>
  <c r="T45" i="164"/>
  <c r="U45" i="164"/>
  <c r="W45" i="164"/>
  <c r="E46" i="164"/>
  <c r="F46" i="164"/>
  <c r="G46" i="164"/>
  <c r="H46" i="164"/>
  <c r="I46" i="164"/>
  <c r="J46" i="164"/>
  <c r="K46" i="164"/>
  <c r="L46" i="164"/>
  <c r="M46" i="164"/>
  <c r="N46" i="164"/>
  <c r="O46" i="164"/>
  <c r="P46" i="164"/>
  <c r="Q46" i="164"/>
  <c r="R46" i="164"/>
  <c r="S46" i="164"/>
  <c r="T46" i="164"/>
  <c r="U46" i="164"/>
  <c r="W46" i="164"/>
  <c r="E47" i="164"/>
  <c r="F47" i="164"/>
  <c r="G47" i="164"/>
  <c r="H47" i="164"/>
  <c r="I47" i="164"/>
  <c r="J47" i="164"/>
  <c r="K47" i="164"/>
  <c r="L47" i="164"/>
  <c r="M47" i="164"/>
  <c r="N47" i="164"/>
  <c r="O47" i="164"/>
  <c r="P47" i="164"/>
  <c r="Q47" i="164"/>
  <c r="R47" i="164"/>
  <c r="S47" i="164"/>
  <c r="T47" i="164"/>
  <c r="U47" i="164"/>
  <c r="W47" i="164"/>
  <c r="E48" i="164"/>
  <c r="F48" i="164"/>
  <c r="G48" i="164"/>
  <c r="H48" i="164"/>
  <c r="I48" i="164"/>
  <c r="J48" i="164"/>
  <c r="K48" i="164"/>
  <c r="L48" i="164"/>
  <c r="M48" i="164"/>
  <c r="N48" i="164"/>
  <c r="O48" i="164"/>
  <c r="P48" i="164"/>
  <c r="Q48" i="164"/>
  <c r="R48" i="164"/>
  <c r="S48" i="164"/>
  <c r="T48" i="164"/>
  <c r="U48" i="164"/>
  <c r="W48" i="164"/>
  <c r="E49" i="164"/>
  <c r="F49" i="164"/>
  <c r="G49" i="164"/>
  <c r="H49" i="164"/>
  <c r="I49" i="164"/>
  <c r="J49" i="164"/>
  <c r="K49" i="164"/>
  <c r="L49" i="164"/>
  <c r="M49" i="164"/>
  <c r="N49" i="164"/>
  <c r="O49" i="164"/>
  <c r="P49" i="164"/>
  <c r="Q49" i="164"/>
  <c r="R49" i="164"/>
  <c r="S49" i="164"/>
  <c r="T49" i="164"/>
  <c r="U49" i="164"/>
  <c r="W49" i="164"/>
  <c r="E50" i="164"/>
  <c r="F50" i="164"/>
  <c r="G50" i="164"/>
  <c r="H50" i="164"/>
  <c r="I50" i="164"/>
  <c r="J50" i="164"/>
  <c r="K50" i="164"/>
  <c r="L50" i="164"/>
  <c r="M50" i="164"/>
  <c r="N50" i="164"/>
  <c r="O50" i="164"/>
  <c r="P50" i="164"/>
  <c r="Q50" i="164"/>
  <c r="R50" i="164"/>
  <c r="S50" i="164"/>
  <c r="T50" i="164"/>
  <c r="U50" i="164"/>
  <c r="W50" i="164"/>
  <c r="E51" i="164"/>
  <c r="F51" i="164"/>
  <c r="G51" i="164"/>
  <c r="H51" i="164"/>
  <c r="I51" i="164"/>
  <c r="J51" i="164"/>
  <c r="K51" i="164"/>
  <c r="L51" i="164"/>
  <c r="M51" i="164"/>
  <c r="N51" i="164"/>
  <c r="O51" i="164"/>
  <c r="P51" i="164"/>
  <c r="Q51" i="164"/>
  <c r="R51" i="164"/>
  <c r="S51" i="164"/>
  <c r="T51" i="164"/>
  <c r="U51" i="164"/>
  <c r="W51" i="164"/>
  <c r="E52" i="164"/>
  <c r="F52" i="164"/>
  <c r="G52" i="164"/>
  <c r="H52" i="164"/>
  <c r="I52" i="164"/>
  <c r="J52" i="164"/>
  <c r="K52" i="164"/>
  <c r="L52" i="164"/>
  <c r="M52" i="164"/>
  <c r="N52" i="164"/>
  <c r="O52" i="164"/>
  <c r="P52" i="164"/>
  <c r="Q52" i="164"/>
  <c r="R52" i="164"/>
  <c r="S52" i="164"/>
  <c r="T52" i="164"/>
  <c r="U52" i="164"/>
  <c r="W52" i="164"/>
  <c r="E53" i="164"/>
  <c r="F53" i="164"/>
  <c r="G53" i="164"/>
  <c r="H53" i="164"/>
  <c r="I53" i="164"/>
  <c r="J53" i="164"/>
  <c r="K53" i="164"/>
  <c r="L53" i="164"/>
  <c r="M53" i="164"/>
  <c r="N53" i="164"/>
  <c r="O53" i="164"/>
  <c r="P53" i="164"/>
  <c r="Q53" i="164"/>
  <c r="R53" i="164"/>
  <c r="S53" i="164"/>
  <c r="T53" i="164"/>
  <c r="U53" i="164"/>
  <c r="W53" i="164"/>
  <c r="E54" i="164"/>
  <c r="F54" i="164"/>
  <c r="G54" i="164"/>
  <c r="H54" i="164"/>
  <c r="I54" i="164"/>
  <c r="J54" i="164"/>
  <c r="K54" i="164"/>
  <c r="L54" i="164"/>
  <c r="M54" i="164"/>
  <c r="N54" i="164"/>
  <c r="O54" i="164"/>
  <c r="P54" i="164"/>
  <c r="Q54" i="164"/>
  <c r="R54" i="164"/>
  <c r="S54" i="164"/>
  <c r="T54" i="164"/>
  <c r="U54" i="164"/>
  <c r="W54" i="164"/>
  <c r="E55" i="164"/>
  <c r="F55" i="164"/>
  <c r="G55" i="164"/>
  <c r="H55" i="164"/>
  <c r="I55" i="164"/>
  <c r="J55" i="164"/>
  <c r="K55" i="164"/>
  <c r="L55" i="164"/>
  <c r="M55" i="164"/>
  <c r="N55" i="164"/>
  <c r="O55" i="164"/>
  <c r="P55" i="164"/>
  <c r="Q55" i="164"/>
  <c r="R55" i="164"/>
  <c r="S55" i="164"/>
  <c r="T55" i="164"/>
  <c r="U55" i="164"/>
  <c r="W55" i="164"/>
  <c r="E56" i="164"/>
  <c r="F56" i="164"/>
  <c r="G56" i="164"/>
  <c r="H56" i="164"/>
  <c r="I56" i="164"/>
  <c r="J56" i="164"/>
  <c r="K56" i="164"/>
  <c r="L56" i="164"/>
  <c r="M56" i="164"/>
  <c r="N56" i="164"/>
  <c r="O56" i="164"/>
  <c r="P56" i="164"/>
  <c r="Q56" i="164"/>
  <c r="R56" i="164"/>
  <c r="S56" i="164"/>
  <c r="T56" i="164"/>
  <c r="U56" i="164"/>
  <c r="W56" i="164"/>
  <c r="E57" i="164"/>
  <c r="F57" i="164"/>
  <c r="G57" i="164"/>
  <c r="H57" i="164"/>
  <c r="I57" i="164"/>
  <c r="J57" i="164"/>
  <c r="K57" i="164"/>
  <c r="L57" i="164"/>
  <c r="M57" i="164"/>
  <c r="N57" i="164"/>
  <c r="O57" i="164"/>
  <c r="P57" i="164"/>
  <c r="Q57" i="164"/>
  <c r="R57" i="164"/>
  <c r="S57" i="164"/>
  <c r="T57" i="164"/>
  <c r="U57" i="164"/>
  <c r="W57" i="164"/>
  <c r="E58" i="164"/>
  <c r="F58" i="164"/>
  <c r="G58" i="164"/>
  <c r="H58" i="164"/>
  <c r="I58" i="164"/>
  <c r="J58" i="164"/>
  <c r="K58" i="164"/>
  <c r="L58" i="164"/>
  <c r="M58" i="164"/>
  <c r="N58" i="164"/>
  <c r="O58" i="164"/>
  <c r="P58" i="164"/>
  <c r="Q58" i="164"/>
  <c r="R58" i="164"/>
  <c r="S58" i="164"/>
  <c r="T58" i="164"/>
  <c r="U58" i="164"/>
  <c r="W58" i="164"/>
  <c r="E59" i="164"/>
  <c r="F59" i="164"/>
  <c r="G59" i="164"/>
  <c r="H59" i="164"/>
  <c r="I59" i="164"/>
  <c r="J59" i="164"/>
  <c r="K59" i="164"/>
  <c r="L59" i="164"/>
  <c r="M59" i="164"/>
  <c r="N59" i="164"/>
  <c r="O59" i="164"/>
  <c r="P59" i="164"/>
  <c r="Q59" i="164"/>
  <c r="R59" i="164"/>
  <c r="S59" i="164"/>
  <c r="T59" i="164"/>
  <c r="U59" i="164"/>
  <c r="W59" i="164"/>
  <c r="E60" i="164"/>
  <c r="F60" i="164"/>
  <c r="G60" i="164"/>
  <c r="H60" i="164"/>
  <c r="I60" i="164"/>
  <c r="J60" i="164"/>
  <c r="K60" i="164"/>
  <c r="L60" i="164"/>
  <c r="M60" i="164"/>
  <c r="N60" i="164"/>
  <c r="O60" i="164"/>
  <c r="P60" i="164"/>
  <c r="Q60" i="164"/>
  <c r="R60" i="164"/>
  <c r="S60" i="164"/>
  <c r="T60" i="164"/>
  <c r="U60" i="164"/>
  <c r="W60" i="164"/>
  <c r="E61" i="164"/>
  <c r="F61" i="164"/>
  <c r="G61" i="164"/>
  <c r="H61" i="164"/>
  <c r="I61" i="164"/>
  <c r="J61" i="164"/>
  <c r="K61" i="164"/>
  <c r="L61" i="164"/>
  <c r="M61" i="164"/>
  <c r="N61" i="164"/>
  <c r="O61" i="164"/>
  <c r="P61" i="164"/>
  <c r="Q61" i="164"/>
  <c r="R61" i="164"/>
  <c r="S61" i="164"/>
  <c r="T61" i="164"/>
  <c r="U61" i="164"/>
  <c r="W61" i="164"/>
  <c r="E62" i="164"/>
  <c r="F62" i="164"/>
  <c r="G62" i="164"/>
  <c r="H62" i="164"/>
  <c r="I62" i="164"/>
  <c r="J62" i="164"/>
  <c r="K62" i="164"/>
  <c r="L62" i="164"/>
  <c r="M62" i="164"/>
  <c r="N62" i="164"/>
  <c r="O62" i="164"/>
  <c r="P62" i="164"/>
  <c r="Q62" i="164"/>
  <c r="R62" i="164"/>
  <c r="S62" i="164"/>
  <c r="T62" i="164"/>
  <c r="U62" i="164"/>
  <c r="W62" i="164"/>
  <c r="E63" i="164"/>
  <c r="F63" i="164"/>
  <c r="G63" i="164"/>
  <c r="H63" i="164"/>
  <c r="I63" i="164"/>
  <c r="J63" i="164"/>
  <c r="K63" i="164"/>
  <c r="L63" i="164"/>
  <c r="M63" i="164"/>
  <c r="N63" i="164"/>
  <c r="O63" i="164"/>
  <c r="P63" i="164"/>
  <c r="Q63" i="164"/>
  <c r="R63" i="164"/>
  <c r="S63" i="164"/>
  <c r="T63" i="164"/>
  <c r="U63" i="164"/>
  <c r="W63" i="164"/>
  <c r="E64" i="164"/>
  <c r="F64" i="164"/>
  <c r="G64" i="164"/>
  <c r="H64" i="164"/>
  <c r="I64" i="164"/>
  <c r="J64" i="164"/>
  <c r="K64" i="164"/>
  <c r="L64" i="164"/>
  <c r="M64" i="164"/>
  <c r="N64" i="164"/>
  <c r="O64" i="164"/>
  <c r="P64" i="164"/>
  <c r="Q64" i="164"/>
  <c r="R64" i="164"/>
  <c r="S64" i="164"/>
  <c r="T64" i="164"/>
  <c r="U64" i="164"/>
  <c r="W64" i="164"/>
  <c r="E65" i="164"/>
  <c r="F65" i="164"/>
  <c r="G65" i="164"/>
  <c r="H65" i="164"/>
  <c r="I65" i="164"/>
  <c r="J65" i="164"/>
  <c r="K65" i="164"/>
  <c r="L65" i="164"/>
  <c r="M65" i="164"/>
  <c r="N65" i="164"/>
  <c r="O65" i="164"/>
  <c r="P65" i="164"/>
  <c r="Q65" i="164"/>
  <c r="R65" i="164"/>
  <c r="S65" i="164"/>
  <c r="T65" i="164"/>
  <c r="U65" i="164"/>
  <c r="W65" i="164"/>
  <c r="E66" i="164"/>
  <c r="F66" i="164"/>
  <c r="G66" i="164"/>
  <c r="H66" i="164"/>
  <c r="I66" i="164"/>
  <c r="J66" i="164"/>
  <c r="K66" i="164"/>
  <c r="L66" i="164"/>
  <c r="M66" i="164"/>
  <c r="N66" i="164"/>
  <c r="O66" i="164"/>
  <c r="P66" i="164"/>
  <c r="Q66" i="164"/>
  <c r="R66" i="164"/>
  <c r="S66" i="164"/>
  <c r="T66" i="164"/>
  <c r="U66" i="164"/>
  <c r="W66" i="164"/>
  <c r="E67" i="164"/>
  <c r="F67" i="164"/>
  <c r="G67" i="164"/>
  <c r="H67" i="164"/>
  <c r="I67" i="164"/>
  <c r="J67" i="164"/>
  <c r="K67" i="164"/>
  <c r="L67" i="164"/>
  <c r="M67" i="164"/>
  <c r="N67" i="164"/>
  <c r="O67" i="164"/>
  <c r="P67" i="164"/>
  <c r="Q67" i="164"/>
  <c r="R67" i="164"/>
  <c r="S67" i="164"/>
  <c r="T67" i="164"/>
  <c r="U67" i="164"/>
  <c r="W67" i="164"/>
  <c r="E68" i="164"/>
  <c r="F68" i="164"/>
  <c r="G68" i="164"/>
  <c r="H68" i="164"/>
  <c r="I68" i="164"/>
  <c r="J68" i="164"/>
  <c r="K68" i="164"/>
  <c r="L68" i="164"/>
  <c r="M68" i="164"/>
  <c r="N68" i="164"/>
  <c r="O68" i="164"/>
  <c r="P68" i="164"/>
  <c r="Q68" i="164"/>
  <c r="R68" i="164"/>
  <c r="S68" i="164"/>
  <c r="T68" i="164"/>
  <c r="U68" i="164"/>
  <c r="W68" i="164"/>
  <c r="E69" i="164"/>
  <c r="F69" i="164"/>
  <c r="G69" i="164"/>
  <c r="H69" i="164"/>
  <c r="I69" i="164"/>
  <c r="J69" i="164"/>
  <c r="K69" i="164"/>
  <c r="L69" i="164"/>
  <c r="M69" i="164"/>
  <c r="N69" i="164"/>
  <c r="O69" i="164"/>
  <c r="P69" i="164"/>
  <c r="Q69" i="164"/>
  <c r="R69" i="164"/>
  <c r="S69" i="164"/>
  <c r="T69" i="164"/>
  <c r="U69" i="164"/>
  <c r="W69" i="164"/>
  <c r="E70" i="164"/>
  <c r="F70" i="164"/>
  <c r="G70" i="164"/>
  <c r="H70" i="164"/>
  <c r="I70" i="164"/>
  <c r="J70" i="164"/>
  <c r="K70" i="164"/>
  <c r="L70" i="164"/>
  <c r="M70" i="164"/>
  <c r="N70" i="164"/>
  <c r="O70" i="164"/>
  <c r="P70" i="164"/>
  <c r="Q70" i="164"/>
  <c r="R70" i="164"/>
  <c r="S70" i="164"/>
  <c r="T70" i="164"/>
  <c r="U70" i="164"/>
  <c r="W70" i="164"/>
  <c r="E71" i="164"/>
  <c r="F71" i="164"/>
  <c r="G71" i="164"/>
  <c r="H71" i="164"/>
  <c r="I71" i="164"/>
  <c r="J71" i="164"/>
  <c r="K71" i="164"/>
  <c r="L71" i="164"/>
  <c r="M71" i="164"/>
  <c r="N71" i="164"/>
  <c r="O71" i="164"/>
  <c r="P71" i="164"/>
  <c r="Q71" i="164"/>
  <c r="R71" i="164"/>
  <c r="S71" i="164"/>
  <c r="T71" i="164"/>
  <c r="U71" i="164"/>
  <c r="W71" i="164"/>
  <c r="E72" i="164"/>
  <c r="F72" i="164"/>
  <c r="G72" i="164"/>
  <c r="H72" i="164"/>
  <c r="I72" i="164"/>
  <c r="J72" i="164"/>
  <c r="K72" i="164"/>
  <c r="L72" i="164"/>
  <c r="M72" i="164"/>
  <c r="N72" i="164"/>
  <c r="O72" i="164"/>
  <c r="P72" i="164"/>
  <c r="Q72" i="164"/>
  <c r="R72" i="164"/>
  <c r="S72" i="164"/>
  <c r="T72" i="164"/>
  <c r="U72" i="164"/>
  <c r="W72" i="164"/>
  <c r="E73" i="164"/>
  <c r="F73" i="164"/>
  <c r="G73" i="164"/>
  <c r="H73" i="164"/>
  <c r="I73" i="164"/>
  <c r="J73" i="164"/>
  <c r="K73" i="164"/>
  <c r="L73" i="164"/>
  <c r="M73" i="164"/>
  <c r="N73" i="164"/>
  <c r="O73" i="164"/>
  <c r="P73" i="164"/>
  <c r="Q73" i="164"/>
  <c r="R73" i="164"/>
  <c r="S73" i="164"/>
  <c r="T73" i="164"/>
  <c r="U73" i="164"/>
  <c r="W73" i="164"/>
  <c r="E74" i="164"/>
  <c r="F74" i="164"/>
  <c r="G74" i="164"/>
  <c r="H74" i="164"/>
  <c r="I74" i="164"/>
  <c r="J74" i="164"/>
  <c r="K74" i="164"/>
  <c r="L74" i="164"/>
  <c r="M74" i="164"/>
  <c r="N74" i="164"/>
  <c r="O74" i="164"/>
  <c r="P74" i="164"/>
  <c r="Q74" i="164"/>
  <c r="R74" i="164"/>
  <c r="S74" i="164"/>
  <c r="T74" i="164"/>
  <c r="U74" i="164"/>
  <c r="W74" i="164"/>
  <c r="E75" i="164"/>
  <c r="F75" i="164"/>
  <c r="G75" i="164"/>
  <c r="H75" i="164"/>
  <c r="I75" i="164"/>
  <c r="J75" i="164"/>
  <c r="K75" i="164"/>
  <c r="L75" i="164"/>
  <c r="M75" i="164"/>
  <c r="N75" i="164"/>
  <c r="O75" i="164"/>
  <c r="P75" i="164"/>
  <c r="Q75" i="164"/>
  <c r="R75" i="164"/>
  <c r="S75" i="164"/>
  <c r="T75" i="164"/>
  <c r="U75" i="164"/>
  <c r="W75" i="164"/>
  <c r="E76" i="164"/>
  <c r="F76" i="164"/>
  <c r="G76" i="164"/>
  <c r="H76" i="164"/>
  <c r="I76" i="164"/>
  <c r="J76" i="164"/>
  <c r="K76" i="164"/>
  <c r="L76" i="164"/>
  <c r="M76" i="164"/>
  <c r="N76" i="164"/>
  <c r="O76" i="164"/>
  <c r="P76" i="164"/>
  <c r="Q76" i="164"/>
  <c r="R76" i="164"/>
  <c r="S76" i="164"/>
  <c r="T76" i="164"/>
  <c r="U76" i="164"/>
  <c r="W76" i="164"/>
  <c r="E77" i="164"/>
  <c r="F77" i="164"/>
  <c r="G77" i="164"/>
  <c r="H77" i="164"/>
  <c r="I77" i="164"/>
  <c r="J77" i="164"/>
  <c r="K77" i="164"/>
  <c r="L77" i="164"/>
  <c r="M77" i="164"/>
  <c r="N77" i="164"/>
  <c r="O77" i="164"/>
  <c r="P77" i="164"/>
  <c r="Q77" i="164"/>
  <c r="R77" i="164"/>
  <c r="S77" i="164"/>
  <c r="T77" i="164"/>
  <c r="U77" i="164"/>
  <c r="W77" i="164"/>
  <c r="E78" i="164"/>
  <c r="F78" i="164"/>
  <c r="G78" i="164"/>
  <c r="H78" i="164"/>
  <c r="I78" i="164"/>
  <c r="J78" i="164"/>
  <c r="K78" i="164"/>
  <c r="L78" i="164"/>
  <c r="M78" i="164"/>
  <c r="N78" i="164"/>
  <c r="O78" i="164"/>
  <c r="P78" i="164"/>
  <c r="Q78" i="164"/>
  <c r="R78" i="164"/>
  <c r="S78" i="164"/>
  <c r="T78" i="164"/>
  <c r="U78" i="164"/>
  <c r="W78" i="164"/>
  <c r="E79" i="164"/>
  <c r="F79" i="164"/>
  <c r="G79" i="164"/>
  <c r="H79" i="164"/>
  <c r="I79" i="164"/>
  <c r="J79" i="164"/>
  <c r="K79" i="164"/>
  <c r="L79" i="164"/>
  <c r="M79" i="164"/>
  <c r="N79" i="164"/>
  <c r="O79" i="164"/>
  <c r="P79" i="164"/>
  <c r="Q79" i="164"/>
  <c r="R79" i="164"/>
  <c r="S79" i="164"/>
  <c r="T79" i="164"/>
  <c r="U79" i="164"/>
  <c r="W79" i="164"/>
  <c r="E80" i="164"/>
  <c r="F80" i="164"/>
  <c r="G80" i="164"/>
  <c r="H80" i="164"/>
  <c r="I80" i="164"/>
  <c r="J80" i="164"/>
  <c r="K80" i="164"/>
  <c r="L80" i="164"/>
  <c r="M80" i="164"/>
  <c r="N80" i="164"/>
  <c r="O80" i="164"/>
  <c r="P80" i="164"/>
  <c r="Q80" i="164"/>
  <c r="R80" i="164"/>
  <c r="S80" i="164"/>
  <c r="T80" i="164"/>
  <c r="U80" i="164"/>
  <c r="W80" i="164"/>
  <c r="E81" i="164"/>
  <c r="F81" i="164"/>
  <c r="G81" i="164"/>
  <c r="H81" i="164"/>
  <c r="I81" i="164"/>
  <c r="J81" i="164"/>
  <c r="K81" i="164"/>
  <c r="L81" i="164"/>
  <c r="M81" i="164"/>
  <c r="N81" i="164"/>
  <c r="O81" i="164"/>
  <c r="P81" i="164"/>
  <c r="Q81" i="164"/>
  <c r="R81" i="164"/>
  <c r="S81" i="164"/>
  <c r="T81" i="164"/>
  <c r="U81" i="164"/>
  <c r="W81" i="164"/>
  <c r="E82" i="164"/>
  <c r="F82" i="164"/>
  <c r="G82" i="164"/>
  <c r="H82" i="164"/>
  <c r="I82" i="164"/>
  <c r="J82" i="164"/>
  <c r="K82" i="164"/>
  <c r="L82" i="164"/>
  <c r="M82" i="164"/>
  <c r="N82" i="164"/>
  <c r="O82" i="164"/>
  <c r="P82" i="164"/>
  <c r="Q82" i="164"/>
  <c r="R82" i="164"/>
  <c r="S82" i="164"/>
  <c r="T82" i="164"/>
  <c r="U82" i="164"/>
  <c r="W82" i="164"/>
  <c r="E83" i="164"/>
  <c r="F83" i="164"/>
  <c r="G83" i="164"/>
  <c r="H83" i="164"/>
  <c r="I83" i="164"/>
  <c r="J83" i="164"/>
  <c r="K83" i="164"/>
  <c r="L83" i="164"/>
  <c r="M83" i="164"/>
  <c r="N83" i="164"/>
  <c r="O83" i="164"/>
  <c r="P83" i="164"/>
  <c r="Q83" i="164"/>
  <c r="R83" i="164"/>
  <c r="S83" i="164"/>
  <c r="T83" i="164"/>
  <c r="U83" i="164"/>
  <c r="W83" i="164"/>
  <c r="E84" i="164"/>
  <c r="F84" i="164"/>
  <c r="G84" i="164"/>
  <c r="H84" i="164"/>
  <c r="I84" i="164"/>
  <c r="J84" i="164"/>
  <c r="K84" i="164"/>
  <c r="L84" i="164"/>
  <c r="M84" i="164"/>
  <c r="N84" i="164"/>
  <c r="O84" i="164"/>
  <c r="P84" i="164"/>
  <c r="Q84" i="164"/>
  <c r="R84" i="164"/>
  <c r="S84" i="164"/>
  <c r="T84" i="164"/>
  <c r="U84" i="164"/>
  <c r="W84" i="164"/>
  <c r="E85" i="164"/>
  <c r="F85" i="164"/>
  <c r="G85" i="164"/>
  <c r="H85" i="164"/>
  <c r="I85" i="164"/>
  <c r="J85" i="164"/>
  <c r="K85" i="164"/>
  <c r="L85" i="164"/>
  <c r="M85" i="164"/>
  <c r="N85" i="164"/>
  <c r="O85" i="164"/>
  <c r="P85" i="164"/>
  <c r="Q85" i="164"/>
  <c r="R85" i="164"/>
  <c r="S85" i="164"/>
  <c r="T85" i="164"/>
  <c r="U85" i="164"/>
  <c r="W85" i="164"/>
  <c r="E86" i="164"/>
  <c r="F86" i="164"/>
  <c r="G86" i="164"/>
  <c r="H86" i="164"/>
  <c r="I86" i="164"/>
  <c r="J86" i="164"/>
  <c r="K86" i="164"/>
  <c r="L86" i="164"/>
  <c r="M86" i="164"/>
  <c r="N86" i="164"/>
  <c r="O86" i="164"/>
  <c r="P86" i="164"/>
  <c r="Q86" i="164"/>
  <c r="R86" i="164"/>
  <c r="S86" i="164"/>
  <c r="T86" i="164"/>
  <c r="U86" i="164"/>
  <c r="W86" i="164"/>
  <c r="E87" i="164"/>
  <c r="F87" i="164"/>
  <c r="G87" i="164"/>
  <c r="H87" i="164"/>
  <c r="I87" i="164"/>
  <c r="J87" i="164"/>
  <c r="K87" i="164"/>
  <c r="L87" i="164"/>
  <c r="M87" i="164"/>
  <c r="N87" i="164"/>
  <c r="O87" i="164"/>
  <c r="P87" i="164"/>
  <c r="Q87" i="164"/>
  <c r="R87" i="164"/>
  <c r="S87" i="164"/>
  <c r="T87" i="164"/>
  <c r="U87" i="164"/>
  <c r="W87" i="164"/>
  <c r="E88" i="164"/>
  <c r="F88" i="164"/>
  <c r="G88" i="164"/>
  <c r="H88" i="164"/>
  <c r="I88" i="164"/>
  <c r="J88" i="164"/>
  <c r="K88" i="164"/>
  <c r="L88" i="164"/>
  <c r="M88" i="164"/>
  <c r="N88" i="164"/>
  <c r="O88" i="164"/>
  <c r="P88" i="164"/>
  <c r="Q88" i="164"/>
  <c r="R88" i="164"/>
  <c r="S88" i="164"/>
  <c r="T88" i="164"/>
  <c r="U88" i="164"/>
  <c r="W88" i="164"/>
  <c r="E89" i="164"/>
  <c r="F89" i="164"/>
  <c r="G89" i="164"/>
  <c r="H89" i="164"/>
  <c r="I89" i="164"/>
  <c r="J89" i="164"/>
  <c r="K89" i="164"/>
  <c r="L89" i="164"/>
  <c r="M89" i="164"/>
  <c r="N89" i="164"/>
  <c r="O89" i="164"/>
  <c r="P89" i="164"/>
  <c r="Q89" i="164"/>
  <c r="R89" i="164"/>
  <c r="S89" i="164"/>
  <c r="T89" i="164"/>
  <c r="U89" i="164"/>
  <c r="W89" i="164"/>
  <c r="E90" i="164"/>
  <c r="F90" i="164"/>
  <c r="G90" i="164"/>
  <c r="H90" i="164"/>
  <c r="I90" i="164"/>
  <c r="J90" i="164"/>
  <c r="K90" i="164"/>
  <c r="L90" i="164"/>
  <c r="M90" i="164"/>
  <c r="N90" i="164"/>
  <c r="O90" i="164"/>
  <c r="P90" i="164"/>
  <c r="Q90" i="164"/>
  <c r="R90" i="164"/>
  <c r="S90" i="164"/>
  <c r="T90" i="164"/>
  <c r="U90" i="164"/>
  <c r="W90" i="164"/>
  <c r="E91" i="164"/>
  <c r="F91" i="164"/>
  <c r="G91" i="164"/>
  <c r="H91" i="164"/>
  <c r="I91" i="164"/>
  <c r="J91" i="164"/>
  <c r="K91" i="164"/>
  <c r="L91" i="164"/>
  <c r="M91" i="164"/>
  <c r="N91" i="164"/>
  <c r="O91" i="164"/>
  <c r="P91" i="164"/>
  <c r="Q91" i="164"/>
  <c r="R91" i="164"/>
  <c r="S91" i="164"/>
  <c r="T91" i="164"/>
  <c r="U91" i="164"/>
  <c r="W91" i="164"/>
  <c r="E92" i="164"/>
  <c r="F92" i="164"/>
  <c r="G92" i="164"/>
  <c r="H92" i="164"/>
  <c r="I92" i="164"/>
  <c r="J92" i="164"/>
  <c r="K92" i="164"/>
  <c r="L92" i="164"/>
  <c r="M92" i="164"/>
  <c r="N92" i="164"/>
  <c r="O92" i="164"/>
  <c r="P92" i="164"/>
  <c r="Q92" i="164"/>
  <c r="R92" i="164"/>
  <c r="S92" i="164"/>
  <c r="T92" i="164"/>
  <c r="U92" i="164"/>
  <c r="W92" i="164"/>
  <c r="E93" i="164"/>
  <c r="F93" i="164"/>
  <c r="G93" i="164"/>
  <c r="H93" i="164"/>
  <c r="I93" i="164"/>
  <c r="J93" i="164"/>
  <c r="K93" i="164"/>
  <c r="L93" i="164"/>
  <c r="M93" i="164"/>
  <c r="N93" i="164"/>
  <c r="O93" i="164"/>
  <c r="P93" i="164"/>
  <c r="Q93" i="164"/>
  <c r="R93" i="164"/>
  <c r="S93" i="164"/>
  <c r="T93" i="164"/>
  <c r="U93" i="164"/>
  <c r="W93" i="164"/>
  <c r="E94" i="164"/>
  <c r="F94" i="164"/>
  <c r="G94" i="164"/>
  <c r="H94" i="164"/>
  <c r="I94" i="164"/>
  <c r="J94" i="164"/>
  <c r="K94" i="164"/>
  <c r="L94" i="164"/>
  <c r="M94" i="164"/>
  <c r="N94" i="164"/>
  <c r="O94" i="164"/>
  <c r="P94" i="164"/>
  <c r="Q94" i="164"/>
  <c r="R94" i="164"/>
  <c r="S94" i="164"/>
  <c r="T94" i="164"/>
  <c r="U94" i="164"/>
  <c r="W94" i="164"/>
  <c r="E95" i="164"/>
  <c r="F95" i="164"/>
  <c r="G95" i="164"/>
  <c r="H95" i="164"/>
  <c r="I95" i="164"/>
  <c r="J95" i="164"/>
  <c r="K95" i="164"/>
  <c r="L95" i="164"/>
  <c r="M95" i="164"/>
  <c r="N95" i="164"/>
  <c r="O95" i="164"/>
  <c r="P95" i="164"/>
  <c r="Q95" i="164"/>
  <c r="R95" i="164"/>
  <c r="S95" i="164"/>
  <c r="T95" i="164"/>
  <c r="U95" i="164"/>
  <c r="W95" i="164"/>
  <c r="E96" i="164"/>
  <c r="F96" i="164"/>
  <c r="G96" i="164"/>
  <c r="H96" i="164"/>
  <c r="I96" i="164"/>
  <c r="J96" i="164"/>
  <c r="K96" i="164"/>
  <c r="L96" i="164"/>
  <c r="M96" i="164"/>
  <c r="N96" i="164"/>
  <c r="O96" i="164"/>
  <c r="P96" i="164"/>
  <c r="Q96" i="164"/>
  <c r="R96" i="164"/>
  <c r="S96" i="164"/>
  <c r="T96" i="164"/>
  <c r="U96" i="164"/>
  <c r="W96" i="164"/>
  <c r="E97" i="164"/>
  <c r="F97" i="164"/>
  <c r="G97" i="164"/>
  <c r="H97" i="164"/>
  <c r="I97" i="164"/>
  <c r="J97" i="164"/>
  <c r="K97" i="164"/>
  <c r="L97" i="164"/>
  <c r="M97" i="164"/>
  <c r="N97" i="164"/>
  <c r="O97" i="164"/>
  <c r="P97" i="164"/>
  <c r="Q97" i="164"/>
  <c r="R97" i="164"/>
  <c r="S97" i="164"/>
  <c r="T97" i="164"/>
  <c r="U97" i="164"/>
  <c r="W97" i="164"/>
  <c r="E98" i="164"/>
  <c r="F98" i="164"/>
  <c r="G98" i="164"/>
  <c r="H98" i="164"/>
  <c r="I98" i="164"/>
  <c r="J98" i="164"/>
  <c r="K98" i="164"/>
  <c r="L98" i="164"/>
  <c r="M98" i="164"/>
  <c r="N98" i="164"/>
  <c r="O98" i="164"/>
  <c r="P98" i="164"/>
  <c r="Q98" i="164"/>
  <c r="R98" i="164"/>
  <c r="S98" i="164"/>
  <c r="T98" i="164"/>
  <c r="U98" i="164"/>
  <c r="W98" i="164"/>
  <c r="E99" i="164"/>
  <c r="F99" i="164"/>
  <c r="G99" i="164"/>
  <c r="H99" i="164"/>
  <c r="I99" i="164"/>
  <c r="J99" i="164"/>
  <c r="K99" i="164"/>
  <c r="L99" i="164"/>
  <c r="M99" i="164"/>
  <c r="N99" i="164"/>
  <c r="O99" i="164"/>
  <c r="P99" i="164"/>
  <c r="Q99" i="164"/>
  <c r="R99" i="164"/>
  <c r="S99" i="164"/>
  <c r="T99" i="164"/>
  <c r="U99" i="164"/>
  <c r="W99" i="164"/>
  <c r="E100" i="164"/>
  <c r="F100" i="164"/>
  <c r="G100" i="164"/>
  <c r="H100" i="164"/>
  <c r="I100" i="164"/>
  <c r="J100" i="164"/>
  <c r="K100" i="164"/>
  <c r="L100" i="164"/>
  <c r="M100" i="164"/>
  <c r="N100" i="164"/>
  <c r="O100" i="164"/>
  <c r="P100" i="164"/>
  <c r="Q100" i="164"/>
  <c r="R100" i="164"/>
  <c r="S100" i="164"/>
  <c r="T100" i="164"/>
  <c r="U100" i="164"/>
  <c r="W100" i="164"/>
  <c r="X100" i="164" s="1"/>
  <c r="E101" i="164"/>
  <c r="F101" i="164"/>
  <c r="G101" i="164"/>
  <c r="H101" i="164"/>
  <c r="I101" i="164"/>
  <c r="J101" i="164"/>
  <c r="K101" i="164"/>
  <c r="L101" i="164"/>
  <c r="M101" i="164"/>
  <c r="N101" i="164"/>
  <c r="O101" i="164"/>
  <c r="P101" i="164"/>
  <c r="Q101" i="164"/>
  <c r="R101" i="164"/>
  <c r="S101" i="164"/>
  <c r="T101" i="164"/>
  <c r="U101" i="164"/>
  <c r="W101" i="164"/>
  <c r="E102" i="164"/>
  <c r="F102" i="164"/>
  <c r="G102" i="164"/>
  <c r="H102" i="164"/>
  <c r="I102" i="164"/>
  <c r="J102" i="164"/>
  <c r="K102" i="164"/>
  <c r="L102" i="164"/>
  <c r="M102" i="164"/>
  <c r="N102" i="164"/>
  <c r="O102" i="164"/>
  <c r="P102" i="164"/>
  <c r="Q102" i="164"/>
  <c r="R102" i="164"/>
  <c r="S102" i="164"/>
  <c r="T102" i="164"/>
  <c r="U102" i="164"/>
  <c r="W102" i="164"/>
  <c r="E103" i="164"/>
  <c r="F103" i="164"/>
  <c r="G103" i="164"/>
  <c r="H103" i="164"/>
  <c r="I103" i="164"/>
  <c r="J103" i="164"/>
  <c r="K103" i="164"/>
  <c r="L103" i="164"/>
  <c r="M103" i="164"/>
  <c r="N103" i="164"/>
  <c r="O103" i="164"/>
  <c r="P103" i="164"/>
  <c r="Q103" i="164"/>
  <c r="R103" i="164"/>
  <c r="S103" i="164"/>
  <c r="T103" i="164"/>
  <c r="U103" i="164"/>
  <c r="W103" i="164"/>
  <c r="E104" i="164"/>
  <c r="F104" i="164"/>
  <c r="G104" i="164"/>
  <c r="H104" i="164"/>
  <c r="I104" i="164"/>
  <c r="J104" i="164"/>
  <c r="K104" i="164"/>
  <c r="L104" i="164"/>
  <c r="M104" i="164"/>
  <c r="N104" i="164"/>
  <c r="O104" i="164"/>
  <c r="P104" i="164"/>
  <c r="Q104" i="164"/>
  <c r="R104" i="164"/>
  <c r="S104" i="164"/>
  <c r="T104" i="164"/>
  <c r="U104" i="164"/>
  <c r="W104" i="164"/>
  <c r="E105" i="164"/>
  <c r="F105" i="164"/>
  <c r="G105" i="164"/>
  <c r="H105" i="164"/>
  <c r="I105" i="164"/>
  <c r="J105" i="164"/>
  <c r="K105" i="164"/>
  <c r="L105" i="164"/>
  <c r="M105" i="164"/>
  <c r="N105" i="164"/>
  <c r="O105" i="164"/>
  <c r="P105" i="164"/>
  <c r="Q105" i="164"/>
  <c r="R105" i="164"/>
  <c r="S105" i="164"/>
  <c r="T105" i="164"/>
  <c r="U105" i="164"/>
  <c r="W105" i="164"/>
  <c r="E106" i="164"/>
  <c r="F106" i="164"/>
  <c r="G106" i="164"/>
  <c r="H106" i="164"/>
  <c r="I106" i="164"/>
  <c r="J106" i="164"/>
  <c r="K106" i="164"/>
  <c r="L106" i="164"/>
  <c r="M106" i="164"/>
  <c r="N106" i="164"/>
  <c r="O106" i="164"/>
  <c r="P106" i="164"/>
  <c r="Q106" i="164"/>
  <c r="R106" i="164"/>
  <c r="S106" i="164"/>
  <c r="T106" i="164"/>
  <c r="U106" i="164"/>
  <c r="W106" i="164"/>
  <c r="E107" i="164"/>
  <c r="F107" i="164"/>
  <c r="G107" i="164"/>
  <c r="H107" i="164"/>
  <c r="I107" i="164"/>
  <c r="J107" i="164"/>
  <c r="K107" i="164"/>
  <c r="L107" i="164"/>
  <c r="M107" i="164"/>
  <c r="N107" i="164"/>
  <c r="O107" i="164"/>
  <c r="P107" i="164"/>
  <c r="Q107" i="164"/>
  <c r="R107" i="164"/>
  <c r="S107" i="164"/>
  <c r="T107" i="164"/>
  <c r="U107" i="164"/>
  <c r="W107" i="164"/>
  <c r="W12" i="164"/>
  <c r="F12" i="164"/>
  <c r="G12" i="164"/>
  <c r="H12" i="164"/>
  <c r="I12" i="164"/>
  <c r="J12" i="164"/>
  <c r="K12" i="164"/>
  <c r="L12" i="164"/>
  <c r="M12" i="164"/>
  <c r="N12" i="164"/>
  <c r="O12" i="164"/>
  <c r="P12" i="164"/>
  <c r="Q12" i="164"/>
  <c r="R12" i="164"/>
  <c r="S12" i="164"/>
  <c r="T12" i="164"/>
  <c r="U12" i="164"/>
  <c r="E12" i="164"/>
  <c r="C92" i="164"/>
  <c r="C84" i="164"/>
  <c r="C76" i="164"/>
  <c r="C68" i="164"/>
  <c r="C60" i="164"/>
  <c r="C52" i="164"/>
  <c r="C44" i="164"/>
  <c r="C36" i="164"/>
  <c r="C28" i="164"/>
  <c r="C20" i="164"/>
  <c r="C12" i="164"/>
  <c r="B8" i="164"/>
  <c r="D3" i="164"/>
  <c r="D2" i="164"/>
  <c r="L2" i="5" l="1"/>
  <c r="X102" i="180"/>
  <c r="X106" i="180"/>
  <c r="X24" i="179"/>
  <c r="X104" i="180"/>
  <c r="X104" i="165"/>
  <c r="X24" i="169"/>
  <c r="X104" i="176"/>
  <c r="X24" i="168"/>
  <c r="X104" i="174"/>
  <c r="X104" i="177"/>
  <c r="X22" i="168"/>
  <c r="X21" i="170"/>
  <c r="X102" i="165"/>
  <c r="X107" i="165"/>
  <c r="X77" i="172"/>
  <c r="X106" i="175"/>
  <c r="X22" i="169"/>
  <c r="X106" i="173"/>
  <c r="X102" i="177"/>
  <c r="X106" i="177"/>
  <c r="X18" i="166"/>
  <c r="X75" i="174"/>
  <c r="X13" i="178"/>
  <c r="X37" i="180"/>
  <c r="X94" i="164"/>
  <c r="X51" i="166"/>
  <c r="X67" i="165"/>
  <c r="X39" i="165"/>
  <c r="X29" i="165"/>
  <c r="X43" i="165"/>
  <c r="X66" i="165"/>
  <c r="X90" i="165"/>
  <c r="X92" i="165"/>
  <c r="X88" i="165"/>
  <c r="X78" i="165"/>
  <c r="X74" i="165"/>
  <c r="X64" i="165"/>
  <c r="X60" i="165"/>
  <c r="X50" i="165"/>
  <c r="X46" i="165"/>
  <c r="X36" i="165"/>
  <c r="X32" i="165"/>
  <c r="X22" i="165"/>
  <c r="X18" i="165"/>
  <c r="X71" i="165"/>
  <c r="X35" i="175"/>
  <c r="X33" i="175"/>
  <c r="X13" i="168"/>
  <c r="X27" i="168"/>
  <c r="X25" i="168"/>
  <c r="X21" i="168"/>
  <c r="X107" i="176"/>
  <c r="X67" i="180"/>
  <c r="X47" i="180"/>
  <c r="X107" i="181"/>
  <c r="X77" i="165"/>
  <c r="X63" i="165"/>
  <c r="X21" i="165"/>
  <c r="X94" i="165"/>
  <c r="X80" i="165"/>
  <c r="X73" i="165"/>
  <c r="X96" i="165"/>
  <c r="X89" i="165"/>
  <c r="X61" i="165"/>
  <c r="X47" i="165"/>
  <c r="X33" i="165"/>
  <c r="X19" i="165"/>
  <c r="X59" i="165"/>
  <c r="X52" i="165"/>
  <c r="X45" i="165"/>
  <c r="X38" i="165"/>
  <c r="X31" i="165"/>
  <c r="X24" i="165"/>
  <c r="X17" i="165"/>
  <c r="X76" i="165"/>
  <c r="X48" i="165"/>
  <c r="X34" i="165"/>
  <c r="X20" i="165"/>
  <c r="X93" i="165"/>
  <c r="X86" i="165"/>
  <c r="X72" i="165"/>
  <c r="X65" i="165"/>
  <c r="X58" i="165"/>
  <c r="X51" i="165"/>
  <c r="X44" i="165"/>
  <c r="X37" i="165"/>
  <c r="X23" i="165"/>
  <c r="X16" i="165"/>
  <c r="X13" i="167"/>
  <c r="X104" i="175"/>
  <c r="X45" i="175"/>
  <c r="X26" i="168"/>
  <c r="X26" i="169"/>
  <c r="X27" i="169"/>
  <c r="X24" i="170"/>
  <c r="X26" i="170"/>
  <c r="X22" i="170"/>
  <c r="X25" i="170"/>
  <c r="X24" i="171"/>
  <c r="X16" i="171"/>
  <c r="X26" i="171"/>
  <c r="X22" i="171"/>
  <c r="X14" i="171"/>
  <c r="X104" i="173"/>
  <c r="X102" i="173"/>
  <c r="X102" i="174"/>
  <c r="X95" i="174"/>
  <c r="X39" i="174"/>
  <c r="X99" i="174"/>
  <c r="X97" i="174"/>
  <c r="X87" i="174"/>
  <c r="X106" i="174"/>
  <c r="X93" i="174"/>
  <c r="X79" i="174"/>
  <c r="X89" i="174"/>
  <c r="X33" i="174"/>
  <c r="X29" i="174"/>
  <c r="X106" i="176"/>
  <c r="X102" i="176"/>
  <c r="X105" i="176"/>
  <c r="X15" i="177"/>
  <c r="X24" i="178"/>
  <c r="X26" i="178"/>
  <c r="X22" i="178"/>
  <c r="X27" i="179"/>
  <c r="X26" i="179"/>
  <c r="X22" i="179"/>
  <c r="X57" i="180"/>
  <c r="X45" i="180"/>
  <c r="X104" i="181"/>
  <c r="X13" i="181"/>
  <c r="X103" i="181"/>
  <c r="X106" i="181"/>
  <c r="X102" i="181"/>
  <c r="X105" i="181"/>
  <c r="X12" i="164"/>
  <c r="X87" i="164"/>
  <c r="X96" i="164"/>
  <c r="X92" i="164"/>
  <c r="X98" i="164"/>
  <c r="X29" i="166"/>
  <c r="X17" i="166"/>
  <c r="X19" i="166"/>
  <c r="X16" i="166"/>
  <c r="X32" i="166"/>
  <c r="X48" i="166"/>
  <c r="X45" i="166"/>
  <c r="X21" i="166"/>
  <c r="X50" i="166"/>
  <c r="X36" i="166"/>
  <c r="X24" i="166"/>
  <c r="X103" i="165"/>
  <c r="X75" i="165"/>
  <c r="X79" i="172"/>
  <c r="X95" i="172"/>
  <c r="X93" i="172"/>
  <c r="X91" i="172"/>
  <c r="X89" i="172"/>
  <c r="X27" i="175"/>
  <c r="X89" i="175"/>
  <c r="X87" i="175"/>
  <c r="X85" i="175"/>
  <c r="X67" i="175"/>
  <c r="X59" i="175"/>
  <c r="X53" i="175"/>
  <c r="X43" i="175"/>
  <c r="X41" i="175"/>
  <c r="X39" i="175"/>
  <c r="X29" i="175"/>
  <c r="X21" i="175"/>
  <c r="X25" i="175"/>
  <c r="X15" i="175"/>
  <c r="X65" i="175"/>
  <c r="X57" i="175"/>
  <c r="X61" i="175"/>
  <c r="X97" i="175"/>
  <c r="X91" i="175"/>
  <c r="X83" i="175"/>
  <c r="X81" i="175"/>
  <c r="X79" i="175"/>
  <c r="X77" i="175"/>
  <c r="X75" i="175"/>
  <c r="X63" i="175"/>
  <c r="X17" i="175"/>
  <c r="X96" i="175"/>
  <c r="X92" i="175"/>
  <c r="X86" i="175"/>
  <c r="X84" i="175"/>
  <c r="X76" i="175"/>
  <c r="X72" i="175"/>
  <c r="X64" i="175"/>
  <c r="X56" i="175"/>
  <c r="X50" i="175"/>
  <c r="X36" i="175"/>
  <c r="X30" i="175"/>
  <c r="X28" i="175"/>
  <c r="X24" i="175"/>
  <c r="X20" i="175"/>
  <c r="X18" i="175"/>
  <c r="X16" i="175"/>
  <c r="X44" i="175"/>
  <c r="X103" i="175"/>
  <c r="X94" i="175"/>
  <c r="X88" i="175"/>
  <c r="X80" i="175"/>
  <c r="X70" i="175"/>
  <c r="X68" i="175"/>
  <c r="X60" i="175"/>
  <c r="X54" i="175"/>
  <c r="X38" i="175"/>
  <c r="X34" i="175"/>
  <c r="X22" i="175"/>
  <c r="X55" i="175"/>
  <c r="X62" i="175"/>
  <c r="X98" i="175"/>
  <c r="X82" i="175"/>
  <c r="X74" i="175"/>
  <c r="X66" i="175"/>
  <c r="X58" i="175"/>
  <c r="X52" i="175"/>
  <c r="X48" i="175"/>
  <c r="X42" i="175"/>
  <c r="X40" i="175"/>
  <c r="X32" i="175"/>
  <c r="X20" i="169"/>
  <c r="X14" i="169"/>
  <c r="X25" i="169"/>
  <c r="X23" i="169"/>
  <c r="X21" i="169"/>
  <c r="X23" i="171"/>
  <c r="X13" i="171"/>
  <c r="X27" i="171"/>
  <c r="X21" i="171"/>
  <c r="X103" i="173"/>
  <c r="X59" i="173"/>
  <c r="X57" i="173"/>
  <c r="X55" i="173"/>
  <c r="X15" i="173"/>
  <c r="X75" i="173"/>
  <c r="X89" i="173"/>
  <c r="X53" i="173"/>
  <c r="X43" i="173"/>
  <c r="X35" i="173"/>
  <c r="X21" i="173"/>
  <c r="X81" i="173"/>
  <c r="X96" i="173"/>
  <c r="X94" i="173"/>
  <c r="X92" i="173"/>
  <c r="X90" i="173"/>
  <c r="X88" i="173"/>
  <c r="X86" i="173"/>
  <c r="X84" i="173"/>
  <c r="X82" i="173"/>
  <c r="X80" i="173"/>
  <c r="X76" i="173"/>
  <c r="X74" i="173"/>
  <c r="X72" i="173"/>
  <c r="X70" i="173"/>
  <c r="X68" i="173"/>
  <c r="X66" i="173"/>
  <c r="X60" i="173"/>
  <c r="X58" i="173"/>
  <c r="X56" i="173"/>
  <c r="X54" i="173"/>
  <c r="X52" i="173"/>
  <c r="X50" i="173"/>
  <c r="X48" i="173"/>
  <c r="X44" i="173"/>
  <c r="X42" i="173"/>
  <c r="X40" i="173"/>
  <c r="X38" i="173"/>
  <c r="X36" i="173"/>
  <c r="X34" i="173"/>
  <c r="X32" i="173"/>
  <c r="X30" i="173"/>
  <c r="X28" i="173"/>
  <c r="X26" i="173"/>
  <c r="X24" i="173"/>
  <c r="X22" i="173"/>
  <c r="X20" i="173"/>
  <c r="X18" i="173"/>
  <c r="X16" i="173"/>
  <c r="X45" i="173"/>
  <c r="X98" i="174"/>
  <c r="X96" i="174"/>
  <c r="X94" i="174"/>
  <c r="X92" i="174"/>
  <c r="X88" i="174"/>
  <c r="X86" i="174"/>
  <c r="X74" i="174"/>
  <c r="X72" i="174"/>
  <c r="X70" i="174"/>
  <c r="X68" i="174"/>
  <c r="X66" i="174"/>
  <c r="X64" i="174"/>
  <c r="X62" i="174"/>
  <c r="X60" i="174"/>
  <c r="X58" i="174"/>
  <c r="X56" i="174"/>
  <c r="X54" i="174"/>
  <c r="X52" i="174"/>
  <c r="X50" i="174"/>
  <c r="X44" i="174"/>
  <c r="X42" i="174"/>
  <c r="X40" i="174"/>
  <c r="X38" i="174"/>
  <c r="X36" i="174"/>
  <c r="X34" i="174"/>
  <c r="X32" i="174"/>
  <c r="X30" i="174"/>
  <c r="X28" i="174"/>
  <c r="X26" i="174"/>
  <c r="X24" i="174"/>
  <c r="X22" i="174"/>
  <c r="X20" i="174"/>
  <c r="X18" i="174"/>
  <c r="X16" i="174"/>
  <c r="X83" i="174"/>
  <c r="X89" i="176"/>
  <c r="X85" i="176"/>
  <c r="X81" i="176"/>
  <c r="X71" i="176"/>
  <c r="X39" i="176"/>
  <c r="X35" i="176"/>
  <c r="X27" i="176"/>
  <c r="X17" i="176"/>
  <c r="X91" i="176"/>
  <c r="X67" i="176"/>
  <c r="X53" i="176"/>
  <c r="X47" i="176"/>
  <c r="X37" i="176"/>
  <c r="X33" i="176"/>
  <c r="X23" i="176"/>
  <c r="X13" i="176"/>
  <c r="X99" i="176"/>
  <c r="X93" i="176"/>
  <c r="X87" i="176"/>
  <c r="X69" i="176"/>
  <c r="X51" i="176"/>
  <c r="X25" i="176"/>
  <c r="X15" i="176"/>
  <c r="X95" i="177"/>
  <c r="X83" i="177"/>
  <c r="X107" i="177"/>
  <c r="X84" i="177"/>
  <c r="X82" i="177"/>
  <c r="X80" i="177"/>
  <c r="X76" i="177"/>
  <c r="X74" i="177"/>
  <c r="X72" i="177"/>
  <c r="X70" i="177"/>
  <c r="X68" i="177"/>
  <c r="X66" i="177"/>
  <c r="X64" i="177"/>
  <c r="X62" i="177"/>
  <c r="X60" i="177"/>
  <c r="X56" i="177"/>
  <c r="X54" i="177"/>
  <c r="X52" i="177"/>
  <c r="X50" i="177"/>
  <c r="X44" i="177"/>
  <c r="X20" i="177"/>
  <c r="X18" i="177"/>
  <c r="X16" i="177"/>
  <c r="X14" i="177"/>
  <c r="X19" i="178"/>
  <c r="X17" i="178"/>
  <c r="X15" i="178"/>
  <c r="X87" i="180"/>
  <c r="X101" i="180"/>
  <c r="X96" i="180"/>
  <c r="X94" i="180"/>
  <c r="X92" i="180"/>
  <c r="X90" i="180"/>
  <c r="X88" i="180"/>
  <c r="X86" i="180"/>
  <c r="X84" i="180"/>
  <c r="X82" i="180"/>
  <c r="X80" i="180"/>
  <c r="X74" i="180"/>
  <c r="X72" i="180"/>
  <c r="X70" i="180"/>
  <c r="X68" i="180"/>
  <c r="X66" i="180"/>
  <c r="X64" i="180"/>
  <c r="X62" i="180"/>
  <c r="X60" i="180"/>
  <c r="X56" i="180"/>
  <c r="X54" i="180"/>
  <c r="X52" i="180"/>
  <c r="X50" i="180"/>
  <c r="X48" i="180"/>
  <c r="X42" i="180"/>
  <c r="X40" i="180"/>
  <c r="X38" i="180"/>
  <c r="X36" i="180"/>
  <c r="X32" i="180"/>
  <c r="X30" i="180"/>
  <c r="X22" i="180"/>
  <c r="X20" i="180"/>
  <c r="X18" i="180"/>
  <c r="X16" i="180"/>
  <c r="X35" i="181"/>
  <c r="X39" i="181"/>
  <c r="X97" i="181"/>
  <c r="X93" i="181"/>
  <c r="X89" i="181"/>
  <c r="X57" i="181"/>
  <c r="X49" i="181"/>
  <c r="X45" i="181"/>
  <c r="X31" i="181"/>
  <c r="X79" i="181"/>
  <c r="X75" i="181"/>
  <c r="X71" i="181"/>
  <c r="X53" i="181"/>
  <c r="X47" i="181"/>
  <c r="X99" i="181"/>
  <c r="X91" i="181"/>
  <c r="X81" i="181"/>
  <c r="X77" i="181"/>
  <c r="X59" i="181"/>
  <c r="X55" i="181"/>
  <c r="X51" i="181"/>
  <c r="X29" i="181"/>
  <c r="X23" i="181"/>
  <c r="X72" i="181"/>
  <c r="X21" i="181"/>
  <c r="X87" i="181"/>
  <c r="X37" i="181"/>
  <c r="X70" i="181"/>
  <c r="X62" i="181"/>
  <c r="X69" i="181"/>
  <c r="X76" i="181"/>
  <c r="X42" i="181"/>
  <c r="X16" i="181"/>
  <c r="X19" i="181"/>
  <c r="X33" i="181"/>
  <c r="X74" i="181"/>
  <c r="X40" i="181"/>
  <c r="X15" i="181"/>
  <c r="X17" i="181"/>
  <c r="X43" i="181"/>
  <c r="X38" i="181"/>
  <c r="X66" i="181"/>
  <c r="X92" i="181"/>
  <c r="X54" i="181"/>
  <c r="X24" i="181"/>
  <c r="X65" i="181"/>
  <c r="X84" i="181"/>
  <c r="X80" i="181"/>
  <c r="X52" i="181"/>
  <c r="X30" i="181"/>
  <c r="X28" i="181"/>
  <c r="X68" i="181"/>
  <c r="X56" i="181"/>
  <c r="X85" i="181"/>
  <c r="X61" i="181"/>
  <c r="X96" i="181"/>
  <c r="X64" i="181"/>
  <c r="X34" i="181"/>
  <c r="X83" i="181"/>
  <c r="X95" i="181"/>
  <c r="X32" i="181"/>
  <c r="X98" i="181"/>
  <c r="X94" i="181"/>
  <c r="X60" i="181"/>
  <c r="X26" i="181"/>
  <c r="X67" i="181"/>
  <c r="X88" i="181"/>
  <c r="X50" i="181"/>
  <c r="X22" i="181"/>
  <c r="X27" i="181"/>
  <c r="X86" i="181"/>
  <c r="X48" i="181"/>
  <c r="X20" i="181"/>
  <c r="X25" i="181"/>
  <c r="X82" i="181"/>
  <c r="X44" i="181"/>
  <c r="X18" i="181"/>
  <c r="X107" i="180"/>
  <c r="X23" i="180"/>
  <c r="X91" i="180"/>
  <c r="X99" i="180"/>
  <c r="X97" i="180"/>
  <c r="X95" i="180"/>
  <c r="X85" i="180"/>
  <c r="X79" i="180"/>
  <c r="X77" i="180"/>
  <c r="X75" i="180"/>
  <c r="X69" i="180"/>
  <c r="X65" i="180"/>
  <c r="X59" i="180"/>
  <c r="X55" i="180"/>
  <c r="X49" i="180"/>
  <c r="X41" i="180"/>
  <c r="X39" i="180"/>
  <c r="X33" i="180"/>
  <c r="X29" i="180"/>
  <c r="X17" i="180"/>
  <c r="X15" i="180"/>
  <c r="X35" i="180"/>
  <c r="X28" i="180"/>
  <c r="X53" i="180"/>
  <c r="X27" i="180"/>
  <c r="X25" i="180"/>
  <c r="X81" i="180"/>
  <c r="X13" i="180"/>
  <c r="X89" i="180"/>
  <c r="X105" i="177"/>
  <c r="X103" i="177"/>
  <c r="X67" i="177"/>
  <c r="X48" i="177"/>
  <c r="X75" i="177"/>
  <c r="X53" i="177"/>
  <c r="X21" i="177"/>
  <c r="X65" i="177"/>
  <c r="X59" i="177"/>
  <c r="X69" i="177"/>
  <c r="X19" i="177"/>
  <c r="X81" i="177"/>
  <c r="X79" i="177"/>
  <c r="X77" i="177"/>
  <c r="X61" i="177"/>
  <c r="X55" i="177"/>
  <c r="X13" i="177"/>
  <c r="X71" i="177"/>
  <c r="X17" i="177"/>
  <c r="X57" i="177"/>
  <c r="X103" i="176"/>
  <c r="X19" i="176"/>
  <c r="X77" i="176"/>
  <c r="X59" i="176"/>
  <c r="X61" i="176"/>
  <c r="X79" i="176"/>
  <c r="X57" i="176"/>
  <c r="X45" i="176"/>
  <c r="X64" i="176"/>
  <c r="X95" i="176"/>
  <c r="X55" i="176"/>
  <c r="X22" i="176"/>
  <c r="X49" i="176"/>
  <c r="X83" i="176"/>
  <c r="X65" i="176"/>
  <c r="X97" i="176"/>
  <c r="X98" i="176"/>
  <c r="X94" i="176"/>
  <c r="X90" i="176"/>
  <c r="X86" i="176"/>
  <c r="X82" i="176"/>
  <c r="X74" i="176"/>
  <c r="X72" i="176"/>
  <c r="X68" i="176"/>
  <c r="X62" i="176"/>
  <c r="X58" i="176"/>
  <c r="X54" i="176"/>
  <c r="X50" i="176"/>
  <c r="X42" i="176"/>
  <c r="X40" i="176"/>
  <c r="X32" i="176"/>
  <c r="X28" i="176"/>
  <c r="X24" i="176"/>
  <c r="X18" i="176"/>
  <c r="X14" i="176"/>
  <c r="X43" i="176"/>
  <c r="X21" i="176"/>
  <c r="X75" i="176"/>
  <c r="X63" i="176"/>
  <c r="X96" i="176"/>
  <c r="X92" i="176"/>
  <c r="X88" i="176"/>
  <c r="X84" i="176"/>
  <c r="X80" i="176"/>
  <c r="X76" i="176"/>
  <c r="X70" i="176"/>
  <c r="X66" i="176"/>
  <c r="X60" i="176"/>
  <c r="X56" i="176"/>
  <c r="X52" i="176"/>
  <c r="X48" i="176"/>
  <c r="X44" i="176"/>
  <c r="X38" i="176"/>
  <c r="X34" i="176"/>
  <c r="X30" i="176"/>
  <c r="X20" i="176"/>
  <c r="X16" i="176"/>
  <c r="X29" i="176"/>
  <c r="X69" i="175"/>
  <c r="X37" i="175"/>
  <c r="X51" i="175"/>
  <c r="X71" i="175"/>
  <c r="X23" i="175"/>
  <c r="X49" i="175"/>
  <c r="X13" i="175"/>
  <c r="X47" i="175"/>
  <c r="X19" i="175"/>
  <c r="X99" i="175"/>
  <c r="X95" i="175"/>
  <c r="X93" i="175"/>
  <c r="X107" i="174"/>
  <c r="X48" i="174"/>
  <c r="X43" i="174"/>
  <c r="X25" i="174"/>
  <c r="X23" i="174"/>
  <c r="X91" i="174"/>
  <c r="X85" i="174"/>
  <c r="X81" i="174"/>
  <c r="X77" i="174"/>
  <c r="X37" i="174"/>
  <c r="X35" i="174"/>
  <c r="X31" i="174"/>
  <c r="X27" i="174"/>
  <c r="X21" i="174"/>
  <c r="X19" i="174"/>
  <c r="X17" i="174"/>
  <c r="X13" i="173"/>
  <c r="X39" i="173"/>
  <c r="X87" i="173"/>
  <c r="X29" i="173"/>
  <c r="X85" i="173"/>
  <c r="X23" i="173"/>
  <c r="X65" i="173"/>
  <c r="X19" i="173"/>
  <c r="X99" i="173"/>
  <c r="X63" i="173"/>
  <c r="X17" i="173"/>
  <c r="X95" i="173"/>
  <c r="X97" i="173"/>
  <c r="X61" i="173"/>
  <c r="X93" i="173"/>
  <c r="X91" i="173"/>
  <c r="X79" i="173"/>
  <c r="X77" i="173"/>
  <c r="X71" i="173"/>
  <c r="X69" i="173"/>
  <c r="X67" i="173"/>
  <c r="X51" i="173"/>
  <c r="X49" i="173"/>
  <c r="X47" i="173"/>
  <c r="X37" i="173"/>
  <c r="X33" i="173"/>
  <c r="X31" i="173"/>
  <c r="X27" i="173"/>
  <c r="X25" i="173"/>
  <c r="X62" i="173"/>
  <c r="X64" i="173"/>
  <c r="X87" i="172"/>
  <c r="X99" i="172"/>
  <c r="X85" i="172"/>
  <c r="X98" i="172"/>
  <c r="X96" i="172"/>
  <c r="X94" i="172"/>
  <c r="X86" i="172"/>
  <c r="X62" i="172"/>
  <c r="X60" i="172"/>
  <c r="X81" i="172"/>
  <c r="X12" i="172"/>
  <c r="X97" i="172"/>
  <c r="X18" i="171"/>
  <c r="X19" i="171"/>
  <c r="X15" i="171"/>
  <c r="X17" i="171"/>
  <c r="X19" i="168"/>
  <c r="X27" i="167"/>
  <c r="X12" i="167"/>
  <c r="X19" i="167"/>
  <c r="X15" i="167"/>
  <c r="X47" i="166"/>
  <c r="X14" i="166"/>
  <c r="I4" i="5"/>
  <c r="H23" i="5"/>
  <c r="I23" i="5" s="1"/>
  <c r="X100" i="165"/>
  <c r="X101" i="165"/>
  <c r="X83" i="165"/>
  <c r="X13" i="165"/>
  <c r="X26" i="165"/>
  <c r="X40" i="165"/>
  <c r="X53" i="165"/>
  <c r="X68" i="165"/>
  <c r="X84" i="165"/>
  <c r="X99" i="165"/>
  <c r="X97" i="165"/>
  <c r="X95" i="165"/>
  <c r="X91" i="165"/>
  <c r="X79" i="165"/>
  <c r="X14" i="165"/>
  <c r="X27" i="165"/>
  <c r="X41" i="165"/>
  <c r="X55" i="165"/>
  <c r="X69" i="165"/>
  <c r="X85" i="165"/>
  <c r="X15" i="165"/>
  <c r="X28" i="165"/>
  <c r="X42" i="165"/>
  <c r="X56" i="165"/>
  <c r="X70" i="165"/>
  <c r="X87" i="165"/>
  <c r="X100" i="181"/>
  <c r="X101" i="181"/>
  <c r="X14" i="181"/>
  <c r="X41" i="181"/>
  <c r="X46" i="181"/>
  <c r="X73" i="181"/>
  <c r="X78" i="181"/>
  <c r="X12" i="181"/>
  <c r="X36" i="181"/>
  <c r="X58" i="181"/>
  <c r="X63" i="181"/>
  <c r="X90" i="181"/>
  <c r="X103" i="180"/>
  <c r="X100" i="180"/>
  <c r="X21" i="180"/>
  <c r="X43" i="180"/>
  <c r="X12" i="180"/>
  <c r="X34" i="180"/>
  <c r="X44" i="180"/>
  <c r="X71" i="180"/>
  <c r="X76" i="180"/>
  <c r="X98" i="180"/>
  <c r="X19" i="180"/>
  <c r="X24" i="180"/>
  <c r="X51" i="180"/>
  <c r="X61" i="180"/>
  <c r="X83" i="180"/>
  <c r="X93" i="180"/>
  <c r="X105" i="180"/>
  <c r="X14" i="180"/>
  <c r="X46" i="180"/>
  <c r="X73" i="180"/>
  <c r="X78" i="180"/>
  <c r="X26" i="180"/>
  <c r="X31" i="180"/>
  <c r="X58" i="180"/>
  <c r="X63" i="180"/>
  <c r="X20" i="179"/>
  <c r="X23" i="179"/>
  <c r="X21" i="179"/>
  <c r="X25" i="179"/>
  <c r="X13" i="179"/>
  <c r="X15" i="179"/>
  <c r="X17" i="179"/>
  <c r="X19" i="179"/>
  <c r="X16" i="179"/>
  <c r="X14" i="179"/>
  <c r="X18" i="179"/>
  <c r="X27" i="178"/>
  <c r="X25" i="178"/>
  <c r="X21" i="178"/>
  <c r="X23" i="178"/>
  <c r="X18" i="178"/>
  <c r="X16" i="178"/>
  <c r="X12" i="178"/>
  <c r="X14" i="178"/>
  <c r="X101" i="177"/>
  <c r="X43" i="177"/>
  <c r="X100" i="177"/>
  <c r="X22" i="177"/>
  <c r="X24" i="177"/>
  <c r="X28" i="177"/>
  <c r="X30" i="177"/>
  <c r="X32" i="177"/>
  <c r="X34" i="177"/>
  <c r="X38" i="177"/>
  <c r="X40" i="177"/>
  <c r="X42" i="177"/>
  <c r="X85" i="177"/>
  <c r="X87" i="177"/>
  <c r="X89" i="177"/>
  <c r="X91" i="177"/>
  <c r="X93" i="177"/>
  <c r="X97" i="177"/>
  <c r="X99" i="177"/>
  <c r="X23" i="177"/>
  <c r="X25" i="177"/>
  <c r="X27" i="177"/>
  <c r="X29" i="177"/>
  <c r="X33" i="177"/>
  <c r="X35" i="177"/>
  <c r="X37" i="177"/>
  <c r="X39" i="177"/>
  <c r="X86" i="177"/>
  <c r="X88" i="177"/>
  <c r="X92" i="177"/>
  <c r="X94" i="177"/>
  <c r="X96" i="177"/>
  <c r="X98" i="177"/>
  <c r="X45" i="177"/>
  <c r="X47" i="177"/>
  <c r="X49" i="177"/>
  <c r="X51" i="177"/>
  <c r="X12" i="177"/>
  <c r="X41" i="177"/>
  <c r="X46" i="177"/>
  <c r="X73" i="177"/>
  <c r="X78" i="177"/>
  <c r="X26" i="177"/>
  <c r="X31" i="177"/>
  <c r="X36" i="177"/>
  <c r="X58" i="177"/>
  <c r="X63" i="177"/>
  <c r="X90" i="177"/>
  <c r="X100" i="176"/>
  <c r="X101" i="176"/>
  <c r="X12" i="176"/>
  <c r="X41" i="176"/>
  <c r="X46" i="176"/>
  <c r="X73" i="176"/>
  <c r="X78" i="176"/>
  <c r="X26" i="176"/>
  <c r="X31" i="176"/>
  <c r="X36" i="176"/>
  <c r="X102" i="175"/>
  <c r="X100" i="175"/>
  <c r="X101" i="175"/>
  <c r="X105" i="175"/>
  <c r="X107" i="175"/>
  <c r="X105" i="174"/>
  <c r="X14" i="175"/>
  <c r="X46" i="175"/>
  <c r="X73" i="175"/>
  <c r="X78" i="175"/>
  <c r="X12" i="175"/>
  <c r="X26" i="175"/>
  <c r="X31" i="175"/>
  <c r="X90" i="175"/>
  <c r="X53" i="174"/>
  <c r="X100" i="174"/>
  <c r="X101" i="174"/>
  <c r="X103" i="174"/>
  <c r="X80" i="174"/>
  <c r="X82" i="174"/>
  <c r="X84" i="174"/>
  <c r="X55" i="174"/>
  <c r="X57" i="174"/>
  <c r="X59" i="174"/>
  <c r="X61" i="174"/>
  <c r="X63" i="174"/>
  <c r="X65" i="174"/>
  <c r="X67" i="174"/>
  <c r="X69" i="174"/>
  <c r="X13" i="174"/>
  <c r="X15" i="174"/>
  <c r="X76" i="174"/>
  <c r="X45" i="174"/>
  <c r="X47" i="174"/>
  <c r="X49" i="174"/>
  <c r="X51" i="174"/>
  <c r="X71" i="174"/>
  <c r="X14" i="174"/>
  <c r="X41" i="174"/>
  <c r="X46" i="174"/>
  <c r="X73" i="174"/>
  <c r="X78" i="174"/>
  <c r="X12" i="174"/>
  <c r="X90" i="174"/>
  <c r="X107" i="173"/>
  <c r="X105" i="173"/>
  <c r="X101" i="173"/>
  <c r="X100" i="173"/>
  <c r="X83" i="173"/>
  <c r="X98" i="173"/>
  <c r="X12" i="173"/>
  <c r="X14" i="173"/>
  <c r="X41" i="173"/>
  <c r="X46" i="173"/>
  <c r="X73" i="173"/>
  <c r="X78" i="173"/>
  <c r="X88" i="172"/>
  <c r="X90" i="172"/>
  <c r="X84" i="172"/>
  <c r="X92" i="172"/>
  <c r="X78" i="172"/>
  <c r="X69" i="172"/>
  <c r="X71" i="172"/>
  <c r="X73" i="172"/>
  <c r="X75" i="172"/>
  <c r="X82" i="172"/>
  <c r="X76" i="172"/>
  <c r="X80" i="172"/>
  <c r="X61" i="172"/>
  <c r="X63" i="172"/>
  <c r="X67" i="172"/>
  <c r="X68" i="172"/>
  <c r="X72" i="172"/>
  <c r="X70" i="172"/>
  <c r="X74" i="172"/>
  <c r="X83" i="172"/>
  <c r="X66" i="172"/>
  <c r="X64" i="172"/>
  <c r="X53" i="172"/>
  <c r="X55" i="172"/>
  <c r="X57" i="172"/>
  <c r="X59" i="172"/>
  <c r="X52" i="172"/>
  <c r="X56" i="172"/>
  <c r="X58" i="172"/>
  <c r="X65" i="172"/>
  <c r="X105" i="172"/>
  <c r="X38" i="172"/>
  <c r="X54" i="172"/>
  <c r="X45" i="172"/>
  <c r="X47" i="172"/>
  <c r="X49" i="172"/>
  <c r="X51" i="172"/>
  <c r="X44" i="172"/>
  <c r="X48" i="172"/>
  <c r="X50" i="172"/>
  <c r="X41" i="172"/>
  <c r="X40" i="172"/>
  <c r="X37" i="172"/>
  <c r="X43" i="172"/>
  <c r="X46" i="172"/>
  <c r="X39" i="172"/>
  <c r="X30" i="172"/>
  <c r="X42" i="172"/>
  <c r="X32" i="172"/>
  <c r="X34" i="172"/>
  <c r="X29" i="172"/>
  <c r="X31" i="172"/>
  <c r="X35" i="172"/>
  <c r="X22" i="172"/>
  <c r="X36" i="172"/>
  <c r="X33" i="172"/>
  <c r="X28" i="172"/>
  <c r="X21" i="172"/>
  <c r="X14" i="172"/>
  <c r="X16" i="172"/>
  <c r="X18" i="172"/>
  <c r="X23" i="172"/>
  <c r="X102" i="172"/>
  <c r="X104" i="172"/>
  <c r="X25" i="172"/>
  <c r="X27" i="172"/>
  <c r="X20" i="172"/>
  <c r="X13" i="172"/>
  <c r="X15" i="172"/>
  <c r="X17" i="172"/>
  <c r="X19" i="172"/>
  <c r="X24" i="172"/>
  <c r="X26" i="172"/>
  <c r="X100" i="172"/>
  <c r="X103" i="172"/>
  <c r="X107" i="172"/>
  <c r="X106" i="172"/>
  <c r="X101" i="172"/>
  <c r="X25" i="171"/>
  <c r="X12" i="171"/>
  <c r="X15" i="170"/>
  <c r="X13" i="170"/>
  <c r="X19" i="170"/>
  <c r="X14" i="170"/>
  <c r="X17" i="170"/>
  <c r="X12" i="170"/>
  <c r="X16" i="170"/>
  <c r="X23" i="170"/>
  <c r="X18" i="170"/>
  <c r="X12" i="169"/>
  <c r="X16" i="169"/>
  <c r="X18" i="169"/>
  <c r="X13" i="169"/>
  <c r="X15" i="169"/>
  <c r="X19" i="169"/>
  <c r="X17" i="169"/>
  <c r="X20" i="168"/>
  <c r="X15" i="168"/>
  <c r="X23" i="168"/>
  <c r="X14" i="168"/>
  <c r="X17" i="168"/>
  <c r="X12" i="168"/>
  <c r="X16" i="168"/>
  <c r="X18" i="168"/>
  <c r="X20" i="167"/>
  <c r="X23" i="167"/>
  <c r="X21" i="167"/>
  <c r="X24" i="167"/>
  <c r="X26" i="167"/>
  <c r="X25" i="167"/>
  <c r="X14" i="167"/>
  <c r="X16" i="167"/>
  <c r="X18" i="167"/>
  <c r="X22" i="167"/>
  <c r="X17" i="167"/>
  <c r="X44" i="166"/>
  <c r="X46" i="166"/>
  <c r="X49" i="166"/>
  <c r="X33" i="166"/>
  <c r="X26" i="166"/>
  <c r="X35" i="166"/>
  <c r="X13" i="166"/>
  <c r="X23" i="166"/>
  <c r="X15" i="166"/>
  <c r="X20" i="166"/>
  <c r="X42" i="166"/>
  <c r="X27" i="166"/>
  <c r="X39" i="166"/>
  <c r="X38" i="166"/>
  <c r="X41" i="166"/>
  <c r="X22" i="166"/>
  <c r="X25" i="166"/>
  <c r="X28" i="166"/>
  <c r="X31" i="166"/>
  <c r="X34" i="166"/>
  <c r="X37" i="166"/>
  <c r="X40" i="166"/>
  <c r="X43" i="166"/>
  <c r="X12" i="166"/>
  <c r="X30" i="166"/>
  <c r="X82" i="165"/>
  <c r="X98" i="165"/>
  <c r="X35" i="165"/>
  <c r="X25" i="165"/>
  <c r="X30" i="165"/>
  <c r="X57" i="165"/>
  <c r="X62" i="165"/>
  <c r="X106" i="165"/>
  <c r="X49" i="165"/>
  <c r="X54" i="165"/>
  <c r="X81" i="165"/>
  <c r="X105" i="165"/>
  <c r="X91" i="164"/>
  <c r="X93" i="164"/>
  <c r="X95" i="164"/>
  <c r="X84" i="164"/>
  <c r="X88" i="164"/>
  <c r="X90" i="164"/>
  <c r="X97" i="164"/>
  <c r="X99" i="164"/>
  <c r="X63" i="164"/>
  <c r="X65" i="164"/>
  <c r="X86" i="164"/>
  <c r="X83" i="164"/>
  <c r="X85" i="164"/>
  <c r="X76" i="164"/>
  <c r="X78" i="164"/>
  <c r="X80" i="164"/>
  <c r="X82" i="164"/>
  <c r="X89" i="164"/>
  <c r="X61" i="164"/>
  <c r="X69" i="164"/>
  <c r="X54" i="164"/>
  <c r="X77" i="164"/>
  <c r="X79" i="164"/>
  <c r="X68" i="164"/>
  <c r="X70" i="164"/>
  <c r="X72" i="164"/>
  <c r="X74" i="164"/>
  <c r="X81" i="164"/>
  <c r="X60" i="164"/>
  <c r="X62" i="164"/>
  <c r="X64" i="164"/>
  <c r="X71" i="164"/>
  <c r="X66" i="164"/>
  <c r="X73" i="164"/>
  <c r="X53" i="164"/>
  <c r="X75" i="164"/>
  <c r="X67" i="164"/>
  <c r="X45" i="164"/>
  <c r="X47" i="164"/>
  <c r="X51" i="164"/>
  <c r="X57" i="164"/>
  <c r="X59" i="164"/>
  <c r="X56" i="164"/>
  <c r="X58" i="164"/>
  <c r="X44" i="164"/>
  <c r="X55" i="164"/>
  <c r="X48" i="164"/>
  <c r="X50" i="164"/>
  <c r="X52" i="164"/>
  <c r="X46" i="164"/>
  <c r="X37" i="164"/>
  <c r="X39" i="164"/>
  <c r="X41" i="164"/>
  <c r="X43" i="164"/>
  <c r="X38" i="164"/>
  <c r="X40" i="164"/>
  <c r="X42" i="164"/>
  <c r="X49" i="164"/>
  <c r="X23" i="164"/>
  <c r="X27" i="164"/>
  <c r="X35" i="164"/>
  <c r="X25" i="164"/>
  <c r="X33" i="164"/>
  <c r="X21" i="164"/>
  <c r="X29" i="164"/>
  <c r="X20" i="164"/>
  <c r="X32" i="164"/>
  <c r="X34" i="164"/>
  <c r="X36" i="164"/>
  <c r="X30" i="164"/>
  <c r="X31" i="164"/>
  <c r="X22" i="164"/>
  <c r="X24" i="164"/>
  <c r="X28" i="164"/>
  <c r="X26" i="164"/>
  <c r="X106" i="164"/>
  <c r="X105" i="164"/>
  <c r="X14" i="164"/>
  <c r="X102" i="164"/>
  <c r="X104" i="164"/>
  <c r="X15" i="164"/>
  <c r="X19" i="164"/>
  <c r="X103" i="164"/>
  <c r="X101" i="164"/>
  <c r="X16" i="164"/>
  <c r="X18" i="164"/>
  <c r="X13" i="164"/>
  <c r="X107" i="164"/>
  <c r="X17" i="164"/>
  <c r="A2030" i="2" l="1"/>
  <c r="A2029" i="2"/>
  <c r="A1930" i="2"/>
  <c r="A1929" i="2"/>
  <c r="A1830" i="2"/>
  <c r="A1829" i="2"/>
  <c r="A33" i="8"/>
  <c r="A1730" i="2"/>
  <c r="A1729" i="2"/>
  <c r="A1630" i="2"/>
  <c r="A1629" i="2"/>
  <c r="A1530" i="2"/>
  <c r="A1529" i="2"/>
  <c r="A1430" i="2"/>
  <c r="A1429" i="2"/>
  <c r="A1330" i="2"/>
  <c r="A1329" i="2"/>
  <c r="A1230" i="2"/>
  <c r="A1229" i="2"/>
  <c r="A1130" i="2"/>
  <c r="A1129" i="2"/>
  <c r="A1030" i="2"/>
  <c r="A1029" i="2"/>
  <c r="A930" i="2"/>
  <c r="A929" i="2"/>
  <c r="A34" i="8"/>
  <c r="A35" i="8"/>
  <c r="A24" i="8"/>
  <c r="A25" i="8"/>
  <c r="A26" i="8"/>
  <c r="A27" i="8"/>
  <c r="A28" i="8"/>
  <c r="A29" i="8"/>
  <c r="A30" i="8"/>
  <c r="A31" i="8"/>
  <c r="A32" i="8"/>
  <c r="X44" i="138"/>
  <c r="X100" i="136"/>
  <c r="X12" i="136"/>
  <c r="K13" i="8"/>
  <c r="A17" i="8"/>
  <c r="A18" i="8"/>
  <c r="A19" i="8"/>
  <c r="A20" i="8"/>
  <c r="A21" i="8"/>
  <c r="A22" i="8"/>
  <c r="A23" i="8"/>
  <c r="A16" i="8"/>
  <c r="A829" i="2"/>
  <c r="A729" i="2"/>
  <c r="A629" i="2"/>
  <c r="A429" i="2"/>
  <c r="A329" i="2"/>
  <c r="A229" i="2"/>
  <c r="A130" i="2"/>
  <c r="A2" i="2"/>
  <c r="A1" i="2"/>
  <c r="A129" i="2"/>
  <c r="X97" i="136" l="1"/>
  <c r="X95" i="136"/>
  <c r="X93" i="136"/>
  <c r="X98" i="136"/>
  <c r="X94" i="136"/>
  <c r="X92" i="136"/>
  <c r="X96" i="136"/>
  <c r="X99" i="136"/>
  <c r="X86" i="136"/>
  <c r="X84" i="136"/>
  <c r="X88" i="136"/>
  <c r="X91" i="136"/>
  <c r="X90" i="136"/>
  <c r="X85" i="136"/>
  <c r="X87" i="136"/>
  <c r="X89" i="136"/>
  <c r="X81" i="136"/>
  <c r="X79" i="136"/>
  <c r="X82" i="136"/>
  <c r="X78" i="136"/>
  <c r="X76" i="136"/>
  <c r="X80" i="136"/>
  <c r="X77" i="136"/>
  <c r="X83" i="136"/>
  <c r="X68" i="136"/>
  <c r="X71" i="136"/>
  <c r="X70" i="136"/>
  <c r="X72" i="136"/>
  <c r="X74" i="136"/>
  <c r="X69" i="136"/>
  <c r="X73" i="136"/>
  <c r="X75" i="136"/>
  <c r="X62" i="136"/>
  <c r="X65" i="136"/>
  <c r="X63" i="136"/>
  <c r="X66" i="136"/>
  <c r="X61" i="136"/>
  <c r="X67" i="136"/>
  <c r="X60" i="136"/>
  <c r="X64" i="136"/>
  <c r="X58" i="136"/>
  <c r="X59" i="136"/>
  <c r="X52" i="136"/>
  <c r="X54" i="136"/>
  <c r="X53" i="136"/>
  <c r="X55" i="136"/>
  <c r="X57" i="136"/>
  <c r="X56" i="136"/>
  <c r="X51" i="136"/>
  <c r="X49" i="136"/>
  <c r="X47" i="136"/>
  <c r="X50" i="136"/>
  <c r="X46" i="136"/>
  <c r="X48" i="136"/>
  <c r="X45" i="136"/>
  <c r="X44" i="136"/>
  <c r="X36" i="136"/>
  <c r="X42" i="136"/>
  <c r="X38" i="136"/>
  <c r="X40" i="136"/>
  <c r="X41" i="136"/>
  <c r="X37" i="136"/>
  <c r="X39" i="136"/>
  <c r="X43" i="136"/>
  <c r="X28" i="136"/>
  <c r="X29" i="136"/>
  <c r="X34" i="136"/>
  <c r="X30" i="136"/>
  <c r="X32" i="136"/>
  <c r="X33" i="136"/>
  <c r="X35" i="136"/>
  <c r="X31" i="136"/>
  <c r="X43" i="138"/>
  <c r="X41" i="138"/>
  <c r="X36" i="138"/>
  <c r="X38" i="138"/>
  <c r="X37" i="138"/>
  <c r="X39" i="138"/>
  <c r="X40" i="138"/>
  <c r="X42" i="138"/>
  <c r="X35" i="138"/>
  <c r="X33" i="138"/>
  <c r="X31" i="138"/>
  <c r="X29" i="138"/>
  <c r="X28" i="138"/>
  <c r="X34" i="138"/>
  <c r="X30" i="138"/>
  <c r="X32" i="138"/>
  <c r="X12" i="138"/>
  <c r="X25" i="138"/>
  <c r="X23" i="138"/>
  <c r="X22" i="138"/>
  <c r="X20" i="138"/>
  <c r="X24" i="138"/>
  <c r="X26" i="138"/>
  <c r="X21" i="138"/>
  <c r="X27" i="138"/>
  <c r="X22" i="136"/>
  <c r="X21" i="136"/>
  <c r="X16" i="138"/>
  <c r="X17" i="138"/>
  <c r="X19" i="138"/>
  <c r="X14" i="138"/>
  <c r="X18" i="138"/>
  <c r="X13" i="138"/>
  <c r="X51" i="138"/>
  <c r="X46" i="138"/>
  <c r="X48" i="138"/>
  <c r="X15" i="138"/>
  <c r="X50" i="138"/>
  <c r="X45" i="138"/>
  <c r="X47" i="138"/>
  <c r="X49" i="138"/>
  <c r="X14" i="136"/>
  <c r="X15" i="136"/>
  <c r="X104" i="136"/>
  <c r="X106" i="136"/>
  <c r="X102" i="136"/>
  <c r="X16" i="136"/>
  <c r="X17" i="136"/>
  <c r="X19" i="136"/>
  <c r="X101" i="136"/>
  <c r="X103" i="136"/>
  <c r="X105" i="136"/>
  <c r="X107" i="136"/>
  <c r="X24" i="136"/>
  <c r="X26" i="136"/>
  <c r="X18" i="136"/>
  <c r="X23" i="136"/>
  <c r="X13" i="136"/>
  <c r="X25" i="136"/>
  <c r="X20" i="136"/>
  <c r="X27" i="136"/>
  <c r="P2" i="5" l="1"/>
  <c r="A830" i="2" l="1"/>
  <c r="A730" i="2"/>
  <c r="A630" i="2" l="1"/>
  <c r="I3" i="5" l="1"/>
  <c r="A430" i="2" l="1"/>
  <c r="A330" i="2"/>
  <c r="A230" i="2"/>
  <c r="M2" i="5" l="1"/>
  <c r="A1" i="5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6F0A4C5-DC51-4D34-BF5F-BF8A7B80AB34}" name="OSEP_ADHD_D" type="1" refreshedVersion="8" savePassword="1" background="1" saveData="1">
    <dbPr connection="DRIVER={MySQL ODBC 8.0 ANSI Driver};UID=fr_report_user;PWD={69uWFg6#geg7@&amp;Aq};SERVER={fieldresearch-prd-readonly.aurora.pearson.com};DATABASE=fraurora;PORT=3306;" command="call report_matrix(?,1,100);"/>
    <parameters count="3">
      <parameter name="Parameter1" parameterType="cell" cell="aurora_data!$A$2029"/>
      <parameter name="Parameter2" parameterType="cell" cell="setup!$E$8"/>
      <parameter name="Parameter3" parameterType="cell" cell="setup!$C$10"/>
    </parameters>
  </connection>
  <connection id="2" xr16:uid="{00E90A0B-A310-4374-8A57-9B048F875929}" name="OSEP_ADHD_P" type="1" refreshedVersion="8" savePassword="1" background="1" saveData="1">
    <dbPr connection="DRIVER={MySQL ODBC 8.0 ANSI Driver};UID=fr_report_user;PWD={69uWFg6#geg7@&amp;Aq};SERVER={fieldresearch-prd-readonly.aurora.pearson.com};DATABASE=fraurora;PORT=3306;" command="call report_matrix(?,1,100);"/>
    <parameters count="3">
      <parameter name="Parameter1" parameterType="cell" cell="aurora_data!$A$1929"/>
      <parameter name="Parameter2" parameterType="cell" cell="setup!$E$8"/>
      <parameter name="Parameter3" parameterType="cell" cell="setup!$C$10"/>
    </parameters>
  </connection>
  <connection id="3" xr16:uid="{DE0BE4F0-7478-4EA2-A901-22141B9093BE}" name="OSEP_AUT_D" type="1" refreshedVersion="8" savePassword="1" background="1" saveData="1">
    <dbPr connection="DRIVER={MySQL ODBC 8.0 ANSI Driver};UID=fr_report_user;PWD={69uWFg6#geg7@&amp;Aq};SERVER={fieldresearch-prd-readonly.aurora.pearson.com};DATABASE=fraurora;PORT=3306;" command="call report_matrix(?,1,100);"/>
    <parameters count="3">
      <parameter name="Parameter1" parameterType="cell" cell="aurora_data!$A$129"/>
      <parameter name="Parameter2" parameterType="cell" cell="setup!$E$8"/>
      <parameter name="Parameter3" parameterType="cell" cell="setup!$C$10"/>
    </parameters>
  </connection>
  <connection id="4" xr16:uid="{9509BEA0-EC70-4CD9-807F-3E9A8CA1CFF8}" name="OSEP_AUT_P" type="1" refreshedVersion="8" savePassword="1" background="1" saveData="1">
    <dbPr connection="DRIVER={MySQL ODBC 8.0 ANSI Driver};UID=fr_report_user;PWD={69uWFg6#geg7@&amp;Aq};SERVER={fieldresearch-prd-readonly.aurora.pearson.com};DATABASE=fraurora;PORT=3306;" command="call report_matrix(?,1,100);"/>
    <parameters count="3">
      <parameter name="Parameter1" parameterType="cell" cell="aurora_data!$A$1"/>
      <parameter name="Parameter2" parameterType="cell" cell="setup!$E$9"/>
      <parameter name="Parameter3" parameterType="cell" cell="setup!$C$10"/>
    </parameters>
  </connection>
  <connection id="5" xr16:uid="{9F6366F6-B448-4F0A-9043-157B0F138ECC}" name="OSEP_DD_D" type="1" refreshedVersion="8" savePassword="1" background="1" saveData="1">
    <dbPr connection="DRIVER={MySQL ODBC 8.0 ANSI Driver};UID=fr_report_user;PWD={69uWFg6#geg7@&amp;Aq};SERVER={fieldresearch-prd-readonly.aurora.pearson.com};DATABASE=fraurora;PORT=3306;" command="call report_matrix(?,1,100);"/>
    <parameters count="3">
      <parameter name="Parameter1" parameterType="cell" cell="aurora_data!$A$329"/>
      <parameter name="Parameter2" parameterType="cell" cell="setup!$E$8"/>
      <parameter name="Parameter3" parameterType="cell" cell="setup!$C$10"/>
    </parameters>
  </connection>
  <connection id="6" xr16:uid="{EA626CCE-BC4F-4E4E-B4C6-B76DCC621181}" name="OSEP_DD_P" type="1" refreshedVersion="8" savePassword="1" background="1" saveData="1">
    <dbPr connection="DRIVER={MySQL ODBC 8.0 ANSI Driver};UID=fr_report_user;PWD={69uWFg6#geg7@&amp;Aq};SERVER={fieldresearch-prd-readonly.aurora.pearson.com};DATABASE=fraurora;PORT=3306;" command="call report_matrix(?,1,100);"/>
    <parameters count="3">
      <parameter name="Parameter1" parameterType="cell" cell="aurora_data!$A$229"/>
      <parameter name="Parameter2" parameterType="cell" cell="setup!$E$8"/>
      <parameter name="Parameter3" parameterType="cell" cell="setup!$C$10"/>
    </parameters>
  </connection>
  <connection id="7" xr16:uid="{EC580E66-49D8-4A03-ACF7-0802A69AC990}" name="OSEP_ED_D" type="1" refreshedVersion="8" savePassword="1" background="1" saveData="1">
    <dbPr connection="DRIVER={MySQL ODBC 8.0 ANSI Driver};UID=fr_report_user;PWD={69uWFg6#geg7@&amp;Aq};SERVER={fieldresearch-prd-readonly.aurora.pearson.com};DATABASE=fraurora;PORT=3306;" command="call report_matrix(?,1,100);"/>
    <parameters count="3">
      <parameter name="Parameter1" parameterType="cell" cell="aurora_data!$A$629"/>
      <parameter name="Parameter2" parameterType="cell" cell="setup!$E$8"/>
      <parameter name="Parameter3" parameterType="cell" cell="setup!$C$10"/>
    </parameters>
  </connection>
  <connection id="8" xr16:uid="{06D247D9-0179-45AF-A8FB-86701A53000A}" name="OSEP_ED_P" type="1" refreshedVersion="8" savePassword="1" background="1" saveData="1">
    <dbPr connection="DRIVER={MySQL ODBC 8.0 ANSI Driver};UID=fr_report_user;PWD={69uWFg6#geg7@&amp;Aq};SERVER={fieldresearch-prd-readonly.aurora.pearson.com};DATABASE=fraurora;PORT=3306;" command="call report_matrix(?,1,100);"/>
    <parameters count="3">
      <parameter name="Parameter1" parameterType="cell" cell="aurora_data!$A$429"/>
      <parameter name="Parameter2" parameterType="cell" cell="setup!$E$8"/>
      <parameter name="Parameter3" parameterType="cell" cell="setup!$C$10"/>
    </parameters>
  </connection>
  <connection id="9" xr16:uid="{3DB057D1-08ED-4974-AE71-AA3F1183419D}" name="OSEP_MD_D" type="1" refreshedVersion="8" savePassword="1" background="1" saveData="1">
    <dbPr connection="DRIVER={MySQL ODBC 8.0 ANSI Driver};UID=fr_report_user;PWD={69uWFg6#geg7@&amp;Aq};SERVER={fieldresearch-prd-readonly.aurora.pearson.com};DATABASE=fraurora;PORT=3306;" command="call report_matrix(?,1,100);"/>
    <parameters count="3">
      <parameter name="Parameter1" parameterType="cell" cell="aurora_data!$A$829"/>
      <parameter name="Parameter2" parameterType="cell" cell="setup!$E$8"/>
      <parameter name="Parameter3" parameterType="cell" cell="setup!$C$10"/>
    </parameters>
  </connection>
  <connection id="10" xr16:uid="{A1C775D5-4A4C-45F1-8456-2DB6A1DBF635}" name="OSEP_MD_P" type="1" refreshedVersion="8" savePassword="1" background="1" saveData="1">
    <dbPr connection="DRIVER={MySQL ODBC 8.0 ANSI Driver};UID=fr_report_user;PWD={69uWFg6#geg7@&amp;Aq};SERVER={fieldresearch-prd-readonly.aurora.pearson.com};DATABASE=fraurora;PORT=3306;" command="call report_matrix(?,1,100);"/>
    <parameters count="3">
      <parameter name="Parameter1" parameterType="cell" cell="aurora_data!$A$729"/>
      <parameter name="Parameter2" parameterType="cell" cell="setup!$E$8"/>
      <parameter name="Parameter3" parameterType="cell" cell="setup!$C$10"/>
    </parameters>
  </connection>
  <connection id="11" xr16:uid="{D58DF21A-6A3E-4B22-B681-F9CA1FD388AF}" name="OSEP_OHI_D" type="1" refreshedVersion="8" savePassword="1" background="1" saveData="1">
    <dbPr connection="DRIVER={MySQL ODBC 8.0 ANSI Driver};UID=fr_report_user;PWD={69uWFg6#geg7@&amp;Aq};SERVER={fieldresearch-prd-readonly.aurora.pearson.com};DATABASE=fraurora;PORT=3306;" command="call report_matrix(?,1,100);"/>
    <parameters count="3">
      <parameter name="Parameter1" parameterType="cell" cell="aurora_data!$A$1229"/>
      <parameter name="Parameter2" parameterType="cell" cell="setup!$E$8"/>
      <parameter name="Parameter3" parameterType="cell" cell="setup!$C$10"/>
    </parameters>
  </connection>
  <connection id="12" xr16:uid="{B96C71A7-DF5E-49F9-AFCD-969273AC9442}" name="OSEP_OHI_P" type="1" refreshedVersion="8" savePassword="1" background="1" saveData="1">
    <dbPr connection="DRIVER={MySQL ODBC 8.0 ANSI Driver};UID=fr_report_user;PWD={69uWFg6#geg7@&amp;Aq};SERVER={fieldresearch-prd-readonly.aurora.pearson.com};DATABASE=fraurora;PORT=3306;" command="call report_matrix(?,1,100);"/>
    <parameters count="3">
      <parameter name="Parameter1" parameterType="cell" cell="aurora_data!$A$1129"/>
      <parameter name="Parameter2" parameterType="cell" cell="setup!$E$8"/>
      <parameter name="Parameter3" parameterType="cell" cell="setup!$C$10"/>
    </parameters>
  </connection>
  <connection id="13" xr16:uid="{45B3AF5D-8521-4EC5-8854-64273F239C8D}" name="OSEP_OI_D" type="1" refreshedVersion="8" savePassword="1" background="1" saveData="1">
    <dbPr connection="DRIVER={MySQL ODBC 8.0 ANSI Driver};UID=fr_report_user;PWD={69uWFg6#geg7@&amp;Aq};SERVER={fieldresearch-prd-readonly.aurora.pearson.com};DATABASE=fraurora;PORT=3306;" command="call report_matrix(?,1,100);"/>
    <parameters count="3">
      <parameter name="Parameter1" parameterType="cell" cell="aurora_data!$A$1029"/>
      <parameter name="Parameter2" parameterType="cell" cell="setup!$E$8"/>
      <parameter name="Parameter3" parameterType="cell" cell="setup!$C$10"/>
    </parameters>
  </connection>
  <connection id="14" xr16:uid="{240116DD-0B37-4E81-9250-0462FDB70056}" name="OSEP_OI_P" type="1" refreshedVersion="8" savePassword="1" background="1" saveData="1">
    <dbPr connection="DRIVER={MySQL ODBC 8.0 ANSI Driver};UID=fr_report_user;PWD={69uWFg6#geg7@&amp;Aq};SERVER={fieldresearch-prd-readonly.aurora.pearson.com};DATABASE=fraurora;PORT=3306;" command="call report_matrix(?,1,100);"/>
    <parameters count="3">
      <parameter name="Parameter1" parameterType="cell" cell="aurora_data!$A$929"/>
      <parameter name="Parameter2" parameterType="cell" cell="setup!$E$8"/>
      <parameter name="Parameter3" parameterType="cell" cell="setup!$C$10"/>
    </parameters>
  </connection>
  <connection id="15" xr16:uid="{AB1EC353-5BC6-44BB-ACDF-46DC2F9549D1}" name="OSEP_SI_D" type="1" refreshedVersion="8" savePassword="1" background="1" saveData="1">
    <dbPr connection="DRIVER={MySQL ODBC 8.0 ANSI Driver};UID=fr_report_user;PWD={69uWFg6#geg7@&amp;Aq};SERVER={fieldresearch-prd-readonly.aurora.pearson.com};DATABASE=fraurora;PORT=3306;" command="call report_matrix(?,1,100);"/>
    <parameters count="3">
      <parameter name="Parameter1" parameterType="cell" cell="aurora_data!$A$1629"/>
      <parameter name="Parameter2" parameterType="cell" cell="setup!$E$8"/>
      <parameter name="Parameter3" parameterType="cell" cell="setup!$C$10"/>
    </parameters>
  </connection>
  <connection id="16" xr16:uid="{CF590096-4AC4-49E9-AB79-BB4D806BB85C}" name="OSEP_SI_P" type="1" refreshedVersion="8" savePassword="1" background="1" saveData="1">
    <dbPr connection="DRIVER={MySQL ODBC 8.0 ANSI Driver};UID=fr_report_user;PWD={69uWFg6#geg7@&amp;Aq};SERVER={fieldresearch-prd-readonly.aurora.pearson.com};DATABASE=fraurora;PORT=3306;" command="call report_matrix(?,1,100);"/>
    <parameters count="3">
      <parameter name="Parameter1" parameterType="cell" cell="aurora_data!$A$1529"/>
      <parameter name="Parameter2" parameterType="cell" cell="setup!$E$8"/>
      <parameter name="Parameter3" parameterType="cell" cell="setup!$C$10"/>
    </parameters>
  </connection>
  <connection id="17" xr16:uid="{EDD0A7D6-3BB9-4B02-86B6-7C81EEAAFD67}" name="OSEP_SLD_D" type="1" refreshedVersion="8" savePassword="1" background="1" saveData="1">
    <dbPr connection="DRIVER={MySQL ODBC 8.0 ANSI Driver};UID=fr_report_user;PWD={69uWFg6#geg7@&amp;Aq};SERVER={fieldresearch-prd-readonly.aurora.pearson.com};DATABASE=fraurora;PORT=3306;" command="call report_matrix(?,1,100);"/>
    <parameters count="3">
      <parameter name="Parameter1" parameterType="cell" cell="aurora_data!$A$1429"/>
      <parameter name="Parameter2" parameterType="cell" cell="setup!$E$8"/>
      <parameter name="Parameter3" parameterType="cell" cell="setup!$C$10"/>
    </parameters>
  </connection>
  <connection id="18" xr16:uid="{9E8C9C2C-831F-4794-9220-91411DC56B79}" name="OSEP_SLD_P" type="1" refreshedVersion="8" savePassword="1" background="1" saveData="1">
    <dbPr connection="DRIVER={MySQL ODBC 8.0 ANSI Driver};UID=fr_report_user;PWD={69uWFg6#geg7@&amp;Aq};SERVER={fieldresearch-prd-readonly.aurora.pearson.com};DATABASE=fraurora;PORT=3306;" command="call report_matrix(?,1,100);"/>
    <parameters count="3">
      <parameter name="Parameter1" parameterType="cell" cell="aurora_data!$A$1329"/>
      <parameter name="Parameter2" parameterType="cell" cell="setup!$E$8"/>
      <parameter name="Parameter3" parameterType="cell" cell="setup!$C$10"/>
    </parameters>
  </connection>
  <connection id="19" xr16:uid="{CDB5CCC7-8670-4AB7-B51A-22A595F9F8A7}" name="OSEP_TBI_D" type="1" refreshedVersion="8" savePassword="1" background="1" saveData="1">
    <dbPr connection="DRIVER={MySQL ODBC 8.0 ANSI Driver};UID=fr_report_user;PWD={69uWFg6#geg7@&amp;Aq};SERVER={fieldresearch-prd-readonly.aurora.pearson.com};DATABASE=fraurora;PORT=3306;" command="call report_matrix(?,1,100);"/>
    <parameters count="3">
      <parameter name="Parameter1" parameterType="cell" cell="aurora_data!$A$1829"/>
      <parameter name="Parameter2" parameterType="cell" cell="setup!$E$8"/>
      <parameter name="Parameter3" parameterType="cell" cell="setup!$C$10"/>
    </parameters>
  </connection>
  <connection id="20" xr16:uid="{AC1D3BC0-E266-4DD6-BDC5-912403CF572B}" name="OSEP_TBI_P" type="1" refreshedVersion="8" savePassword="1" background="1" saveData="1">
    <dbPr connection="DRIVER={MySQL ODBC 8.0 ANSI Driver};UID=fr_report_user;PWD={69uWFg6#geg7@&amp;Aq};SERVER={fieldresearch-prd-readonly.aurora.pearson.com};DATABASE=fraurora;PORT=3306;" command="call report_matrix(?,1,100);"/>
    <parameters count="3">
      <parameter name="Parameter1" parameterType="cell" cell="aurora_data!$A$1729"/>
      <parameter name="Parameter2" parameterType="cell" cell="setup!$E$8"/>
      <parameter name="Parameter3" parameterType="cell" cell="setup!$C$10"/>
    </parameters>
  </connection>
  <connection id="21" xr16:uid="{7AAF76CA-F8BB-DC4E-B051-61489010F0AA}" name="report_matrix_phase_study_list" type="1" refreshedVersion="8" savePassword="1" background="1" saveData="1">
    <dbPr connection="DRIVER={MySQL ODBC 8.0 ANSI Driver};UID=fr_report_user;PWD={69uWFg6#geg7@&amp;Aq};SERVER={fieldresearch-prd-readonly.aurora.pearson.com};DATABASE=fraurora;PORT=3306;" command="call report_matrix_phase_study_list(?);"/>
    <parameters count="2">
      <parameter name="Parameter1" parameterType="cell" cell="setup!$C$4"/>
      <parameter name="Parameter2" parameterType="cell" cell="setup!$C$12"/>
    </parameters>
    <extLst>
      <ext xmlns:x15="http://schemas.microsoft.com/office/spreadsheetml/2010/11/main" uri="{DE250136-89BD-433C-8126-D09CA5730AF9}">
        <x15:connection id="" excludeFromRefreshAll="1"/>
      </ext>
    </extLst>
  </connection>
  <connection id="22" xr16:uid="{CB2C7A4D-ECA5-804F-A6F2-1205178E7CD8}" name="report_matrix_summary_report" type="1" refreshedVersion="8" savePassword="1" background="1" saveData="1">
    <dbPr connection="DRIVER={MySQL ODBC 8.0 ANSI Driver};UID=fr_report_user;PWD={69uWFg6#geg7@&amp;Aq};SERVER={fieldresearch-prd-readonly.aurora.pearson.com};DATABASE=fraurora;PORT=3306;" command="call report_matrix_summary_report_custom (405,42,100);"/>
    <parameters count="2">
      <parameter name="Parameter1" parameterType="cell" cell="setup!$C$4"/>
      <parameter name="Parameter2" parameterType="cell" cell="setup!$C$12"/>
    </parameters>
  </connection>
</connections>
</file>

<file path=xl/sharedStrings.xml><?xml version="1.0" encoding="utf-8"?>
<sst xmlns="http://schemas.openxmlformats.org/spreadsheetml/2006/main" count="9166" uniqueCount="302">
  <si>
    <t>Phase Setup</t>
  </si>
  <si>
    <t>Phase Id</t>
  </si>
  <si>
    <t>Main Study Setup</t>
  </si>
  <si>
    <t>Stratification Types</t>
  </si>
  <si>
    <t>matrix sproc</t>
  </si>
  <si>
    <t>Stratification %</t>
  </si>
  <si>
    <t>(separate study ids by and exclamation point ! for more than one)</t>
  </si>
  <si>
    <t>Stratification Type</t>
  </si>
  <si>
    <t>1 = 2 Cross</t>
  </si>
  <si>
    <r>
      <t>call report_matrix(</t>
    </r>
    <r>
      <rPr>
        <i/>
        <sz val="10"/>
        <color rgb="FFFF0000"/>
        <rFont val="Calibri (Body)"/>
      </rPr>
      <t>studyids, stratfication type, stratification%</t>
    </r>
    <r>
      <rPr>
        <sz val="10"/>
        <color theme="1"/>
        <rFont val="Calibri"/>
        <family val="2"/>
        <scheme val="minor"/>
      </rPr>
      <t>);</t>
    </r>
  </si>
  <si>
    <t>StudyIDs (2Cross)</t>
  </si>
  <si>
    <t>2 = 3 Cross ETH/ED</t>
  </si>
  <si>
    <t>StudyIDs (3Cross)</t>
  </si>
  <si>
    <t>3 = 3 Cross SEX/ETH</t>
  </si>
  <si>
    <r>
      <t>StudyIDs</t>
    </r>
    <r>
      <rPr>
        <sz val="8"/>
        <color theme="1"/>
        <rFont val="Calibri (Body)"/>
      </rPr>
      <t xml:space="preserve"> (3Cross alternate view)</t>
    </r>
  </si>
  <si>
    <t>Validity/Reliability Setup</t>
  </si>
  <si>
    <t xml:space="preserve">Total study count for this report </t>
  </si>
  <si>
    <t>Reports will show based on the ordered list below</t>
  </si>
  <si>
    <t xml:space="preserve">Phase Study List </t>
  </si>
  <si>
    <r>
      <t>Report Order</t>
    </r>
    <r>
      <rPr>
        <sz val="6"/>
        <color theme="1"/>
        <rFont val="Calibri"/>
        <family val="2"/>
        <scheme val="minor"/>
      </rPr>
      <t xml:space="preserve">                                                        </t>
    </r>
    <r>
      <rPr>
        <sz val="6"/>
        <color rgb="FFC00000"/>
        <rFont val="Calibri (Body)"/>
      </rPr>
      <t>(do not touch)</t>
    </r>
  </si>
  <si>
    <r>
      <t xml:space="preserve">Study Id                         </t>
    </r>
    <r>
      <rPr>
        <sz val="6"/>
        <color rgb="FFC00000"/>
        <rFont val="Calibri (Body)"/>
      </rPr>
      <t>(separate studyids by !)</t>
    </r>
  </si>
  <si>
    <t>Study Name</t>
  </si>
  <si>
    <t>Study Acronym</t>
  </si>
  <si>
    <t>Total Assignment</t>
  </si>
  <si>
    <t>study_id</t>
  </si>
  <si>
    <t>study_type_description</t>
  </si>
  <si>
    <t>sort_order</t>
  </si>
  <si>
    <t>study_name</t>
  </si>
  <si>
    <t>study_acronym</t>
  </si>
  <si>
    <t>study_status</t>
  </si>
  <si>
    <t>Main</t>
  </si>
  <si>
    <t>Active</t>
  </si>
  <si>
    <t>Clinical</t>
  </si>
  <si>
    <t>Reliability</t>
  </si>
  <si>
    <t>Validity</t>
  </si>
  <si>
    <t>ageband</t>
  </si>
  <si>
    <t>gradeband</t>
  </si>
  <si>
    <t>report</t>
  </si>
  <si>
    <t>1</t>
  </si>
  <si>
    <t>2</t>
  </si>
  <si>
    <t>3</t>
  </si>
  <si>
    <t>4</t>
  </si>
  <si>
    <t>5</t>
  </si>
  <si>
    <t>AS</t>
  </si>
  <si>
    <t>BL</t>
  </si>
  <si>
    <t>HI</t>
  </si>
  <si>
    <t>OT</t>
  </si>
  <si>
    <t>WH</t>
  </si>
  <si>
    <t>MW</t>
  </si>
  <si>
    <t>NE</t>
  </si>
  <si>
    <t>SO</t>
  </si>
  <si>
    <t>WE</t>
  </si>
  <si>
    <t>F</t>
  </si>
  <si>
    <t>M</t>
  </si>
  <si>
    <t>OTHER</t>
  </si>
  <si>
    <t>Total</t>
  </si>
  <si>
    <t>LastRefreshed</t>
  </si>
  <si>
    <t/>
  </si>
  <si>
    <t>Target N</t>
  </si>
  <si>
    <t>Stratified Usable N</t>
  </si>
  <si>
    <t>Stratified Out Usable N</t>
  </si>
  <si>
    <t>In Process N</t>
  </si>
  <si>
    <t>Assigned Not Recd N</t>
  </si>
  <si>
    <t>Reserved Not Recd N</t>
  </si>
  <si>
    <t>Total Assignments</t>
  </si>
  <si>
    <t>Selected N</t>
  </si>
  <si>
    <t>08.00.00-08.11.30</t>
  </si>
  <si>
    <t xml:space="preserve">Assignment Information </t>
  </si>
  <si>
    <t>Total usable from all tabs</t>
  </si>
  <si>
    <t>Tptal in-Process</t>
  </si>
  <si>
    <t>study</t>
  </si>
  <si>
    <t>Target</t>
  </si>
  <si>
    <t>usableCount</t>
  </si>
  <si>
    <t>Percentage</t>
  </si>
  <si>
    <t>Refreshed_Date</t>
  </si>
  <si>
    <t>Total Assigned</t>
  </si>
  <si>
    <t>All</t>
  </si>
  <si>
    <t>Total Assigments below Target</t>
  </si>
  <si>
    <t>Study Information</t>
  </si>
  <si>
    <t>Additional Information</t>
  </si>
  <si>
    <t>Usable greater/equal to target</t>
  </si>
  <si>
    <t>Usable = case is available to Psychometrics for this study
In Process = questionable, In Process
Assigned Not Recd = Tests assigned to examiners, no tests received (required tests)
Reserved not Received = Tests in reserved status, not received
Total Assignments = sum of Usable, Received Non Final, Assigned Partial Received, Assigned Not Received
Selected = default status for making an assignment</t>
  </si>
  <si>
    <t>Additional Requirements</t>
  </si>
  <si>
    <t>Demographic Variables</t>
  </si>
  <si>
    <t>Totals</t>
  </si>
  <si>
    <t>Variance Tolerance:</t>
  </si>
  <si>
    <t>some of each, if possible</t>
  </si>
  <si>
    <t>Status</t>
  </si>
  <si>
    <t>Education Level</t>
  </si>
  <si>
    <t>Ethnicity</t>
  </si>
  <si>
    <t>Region</t>
  </si>
  <si>
    <t>SEX</t>
  </si>
  <si>
    <t>OTH</t>
  </si>
  <si>
    <t>INT</t>
  </si>
  <si>
    <t>Open</t>
  </si>
  <si>
    <t xml:space="preserve"> </t>
  </si>
  <si>
    <t>Usable</t>
  </si>
  <si>
    <t>In Process</t>
  </si>
  <si>
    <t>Assigned Not Received</t>
  </si>
  <si>
    <t>Reserved Not Received</t>
  </si>
  <si>
    <t>Selected</t>
  </si>
  <si>
    <t>None</t>
  </si>
  <si>
    <t>WISC-6 Standardization - Paper</t>
  </si>
  <si>
    <t>WISC6_STDZ_P</t>
  </si>
  <si>
    <t>WISC-6 Clinical Validity Specific Learning Disorder – Mathematics - Paper</t>
  </si>
  <si>
    <t>CV_SLDM_WIAT4_P</t>
  </si>
  <si>
    <t>WISC-6 Clinical Validity Traumatic Brain Injury - Paper</t>
  </si>
  <si>
    <t>CV_TBI_VINE3_P</t>
  </si>
  <si>
    <t>WISC-6 Clinical ADHD - Paper</t>
  </si>
  <si>
    <t>C_ADHD_P</t>
  </si>
  <si>
    <t>WISC-6 Clinical ADHD Digital</t>
  </si>
  <si>
    <t>C_ADHD_D</t>
  </si>
  <si>
    <t>WISC-6 Clinical Autism spectrum disorder with language impairment - Paper</t>
  </si>
  <si>
    <t>C_ASD_LI_P</t>
  </si>
  <si>
    <t>WISC-6 Clinical Autism spectrum disorder with no language impairment - Paper</t>
  </si>
  <si>
    <t>C_ASD_NO_LI_P</t>
  </si>
  <si>
    <t>WISC-6 Clinical Autism spectrum disorder with no language impairment Digital</t>
  </si>
  <si>
    <t>C_ASD_NO_LI_D</t>
  </si>
  <si>
    <t>WISC-6 Clinical English Learners - Paper</t>
  </si>
  <si>
    <t>C_EL_P</t>
  </si>
  <si>
    <t>WISC-6 Clinical Language Disorder with Receptive Impairment (Ages 6-8) - Paper</t>
  </si>
  <si>
    <t>C_LDR_6-8_P</t>
  </si>
  <si>
    <t>WISC-6 Clinical Validity Language Disorder with Receptive Impairment (Ages 6-8) - Paper</t>
  </si>
  <si>
    <t>CV_LDR_CELF5_RF1_P</t>
  </si>
  <si>
    <t>WISC-6 Clinical Language Disorder with Receptive Impairment (Ages 9-16) - Paper</t>
  </si>
  <si>
    <t>C_LDR_9-16_P</t>
  </si>
  <si>
    <t>WISC-6 Clinical Validity Language Disorder with Receptive Impairment (Ages 9-16) - Paper</t>
  </si>
  <si>
    <t>CV_LDR_CELF5_RF2_P</t>
  </si>
  <si>
    <t>WISC-6 Clinical Language Disorder with Expressive Impairment (Ages 6-8) - Paper</t>
  </si>
  <si>
    <t>C_LDE_6-8_P</t>
  </si>
  <si>
    <t>WISC-6 Clinical Validity Language Disorder with Expressive Impairment (Ages 6-8) - Paper</t>
  </si>
  <si>
    <t>CV_LDE_CELF5_RF1_P</t>
  </si>
  <si>
    <t>WISC-6 Clinical Language Disorder with Expressive Impairment (Ages 9-16) - Paper</t>
  </si>
  <si>
    <t>C_LDE_9-16_P</t>
  </si>
  <si>
    <t>WISC-6 Clinical Validity Language Disorder with Expressive Impairment (Ages 9-16) - Paper</t>
  </si>
  <si>
    <t>CV_LDE_CELF5_RF2_P</t>
  </si>
  <si>
    <t>WISC-6 Clinical Motor Impairment - Paper</t>
  </si>
  <si>
    <t>C_MI_P</t>
  </si>
  <si>
    <t>WISC-6 Clinical Validity Motor Impairment - Paper</t>
  </si>
  <si>
    <t>CV_MI_VINE3_P</t>
  </si>
  <si>
    <t>WISC-6 Clinical Traumatic Brain Injury - Paper</t>
  </si>
  <si>
    <t>C_TBI_P</t>
  </si>
  <si>
    <t>WISC-6 Clinical Validity Specific Learning Disorder – Reading &amp; Written Expression - Paper</t>
  </si>
  <si>
    <t>CV_SLDRW_WIAT4_P</t>
  </si>
  <si>
    <t>WISC-6 Clinical Intellectually Gifted - Paper</t>
  </si>
  <si>
    <t>C_GT_P</t>
  </si>
  <si>
    <t>C_GT_D</t>
  </si>
  <si>
    <t>WISC-6 Clinical Mild Intellectual Disability - Paper</t>
  </si>
  <si>
    <t>C_IDMI_P</t>
  </si>
  <si>
    <t>WISC-6 Clinical Validity Mild Intellectual Disability - Paper</t>
  </si>
  <si>
    <t>CV_IDMI_VINE3_P</t>
  </si>
  <si>
    <t>C_IDMI_D</t>
  </si>
  <si>
    <t>WISC-6 Clinical Moderate Intellectual Disability - Paper</t>
  </si>
  <si>
    <t>C_IDMO_P</t>
  </si>
  <si>
    <t>WISC-6 Clinical Validity Moderate Intellectual Disability - Paper</t>
  </si>
  <si>
    <t>CV_IDMO_VINE3_P</t>
  </si>
  <si>
    <t>WISC-6 Clinical Specific Learning Disorder – Reading - Paper</t>
  </si>
  <si>
    <t>C_SLDR_P</t>
  </si>
  <si>
    <t>WISC-6 Clinical Validity Specific Learning Disorder – Reading - Paper</t>
  </si>
  <si>
    <t>CV_SLDR_WIAT4_P</t>
  </si>
  <si>
    <t>WISC-6 Clinical Specific Learning Disorder – Reading &amp; Written Expression - Paper</t>
  </si>
  <si>
    <t>C_SLDRW_P</t>
  </si>
  <si>
    <t>WISC-6 Clinical Specific Learning Disorder – Mathematics - Paper</t>
  </si>
  <si>
    <t>C_SLDM_P</t>
  </si>
  <si>
    <t>CV_IDMI_VINE3_D</t>
  </si>
  <si>
    <t>Retest WISC-6 Standardization - Paper</t>
  </si>
  <si>
    <t>R_WISC6_STDZ_P</t>
  </si>
  <si>
    <t>Counterbalance WISC-5 Plus/WISC-6 - Paper</t>
  </si>
  <si>
    <t>CB_WISC5P_P</t>
  </si>
  <si>
    <t>Validity WISC-6/WISC-5 Plus - Paper</t>
  </si>
  <si>
    <t>V_WISC5P_P</t>
  </si>
  <si>
    <t>Validity WISC-6/WPPSI-4 - Paper</t>
  </si>
  <si>
    <t>V_WPPSI4_P</t>
  </si>
  <si>
    <t>Validity WISC-6/WAIS-5 - Paper</t>
  </si>
  <si>
    <t>V_WAIS5_P</t>
  </si>
  <si>
    <t>Validity WISC-6/WIAT-4 - Paper</t>
  </si>
  <si>
    <t>V_WIAT4_P</t>
  </si>
  <si>
    <t>Validity WISC-6/KTEA-3 – Paper Form A</t>
  </si>
  <si>
    <t>V_KTEA3_P</t>
  </si>
  <si>
    <t>Counterbalance WPPSI-4/WISC-6 -Paper</t>
  </si>
  <si>
    <t>CB_WPPSI4_P</t>
  </si>
  <si>
    <t>Counterbalance WAIS-5/WISC-6 - Paper</t>
  </si>
  <si>
    <t>CB_WAIS5_P</t>
  </si>
  <si>
    <t>WISC-6 Standardization - Digital</t>
  </si>
  <si>
    <t>WISC6_STDZ_D</t>
  </si>
  <si>
    <t>Retest WISC-6 Standardization Digital</t>
  </si>
  <si>
    <t>R_WISC6_STDZ_D</t>
  </si>
  <si>
    <t>06.00.00-06.11.30</t>
  </si>
  <si>
    <t>07.00.00-07.11.30</t>
  </si>
  <si>
    <t>09.00.00-09.11.30</t>
  </si>
  <si>
    <t>10.00.00-10.11.30</t>
  </si>
  <si>
    <t>11.00.00-11.11.30</t>
  </si>
  <si>
    <t>12.00.00-12.11.30</t>
  </si>
  <si>
    <t>13.00.00-13.11.30</t>
  </si>
  <si>
    <t>14.00.00-14.11.30</t>
  </si>
  <si>
    <t>15.00.00-15.11.30</t>
  </si>
  <si>
    <t>16.00.00-16.11.30</t>
  </si>
  <si>
    <t>06.00.00-16.11.30</t>
  </si>
  <si>
    <t>OSEP – Other Health Impairment - Paper</t>
  </si>
  <si>
    <t>OSEP_OHI_P</t>
  </si>
  <si>
    <t>OSEP – Orthopedic Impairment - Paper</t>
  </si>
  <si>
    <t>OSEP_OI_P</t>
  </si>
  <si>
    <t>OSEP – Multiple Disabilities - Paper</t>
  </si>
  <si>
    <t>OSEP_MD_P</t>
  </si>
  <si>
    <t>OSEP – Emotional Disturbance - Paper</t>
  </si>
  <si>
    <t>OSEP_ED_P</t>
  </si>
  <si>
    <t>OSEP – Developmental Delay - Paper</t>
  </si>
  <si>
    <t>OSEP_DD_P</t>
  </si>
  <si>
    <t>OSEP – Autism - Paper</t>
  </si>
  <si>
    <t>OSEP_AUT_P</t>
  </si>
  <si>
    <t>WISC-6 Clinical Validity Autism spectrum disorder with no language impairment - (Adolescent) Digital</t>
  </si>
  <si>
    <t>CV_ASD_NO_LI_BASC3_ADOL_D</t>
  </si>
  <si>
    <t>OSEP – Other Health Impairment - Digital</t>
  </si>
  <si>
    <t>OSEP_OHI_D</t>
  </si>
  <si>
    <t>WISC-6 Clinical Validity Autism spectrum disorder with no language impairment - (Adolescent) Paper</t>
  </si>
  <si>
    <t>CV_ASD_NO_LI_BASC3_ADOL_P</t>
  </si>
  <si>
    <t>WISC-6 Clinical Validity Autism spectrum disorder with language impairment - (Adolescent) Paper</t>
  </si>
  <si>
    <t>CV_ASD_LI_BASC3_ADOL_P</t>
  </si>
  <si>
    <t>WISC-6 Clinical Validity ADHD – (Adolescent) Digital</t>
  </si>
  <si>
    <t>CV_ADHD_BASC3_ADOL_D</t>
  </si>
  <si>
    <t>WISC-6 Clinical Validity ADHD - (Adolescent) Paper</t>
  </si>
  <si>
    <t>CV_ADHD_BASC3_ADOL_P</t>
  </si>
  <si>
    <t>OSEP – ADHD - Digital</t>
  </si>
  <si>
    <t>OSEP_ADHD_D</t>
  </si>
  <si>
    <t>OSEP – Traumatic Brain Injury - Digital</t>
  </si>
  <si>
    <t>OSEP_TBI_D</t>
  </si>
  <si>
    <t>OSEP – Speech Impairment - Digital</t>
  </si>
  <si>
    <t>OSEP_SI_D</t>
  </si>
  <si>
    <t>OSEP – Specific Learning Disability - Digital</t>
  </si>
  <si>
    <t>OSEP_SLD_D</t>
  </si>
  <si>
    <t>OSEP – Specific Learning Disability - Paper</t>
  </si>
  <si>
    <t>OSEP_SLD_P</t>
  </si>
  <si>
    <t>OSEP – Orthopedic Impairment - Digital</t>
  </si>
  <si>
    <t>OSEP_OI_D</t>
  </si>
  <si>
    <t>OSEP – Multiple Disabilities - Digital</t>
  </si>
  <si>
    <t>OSEP_MD_D</t>
  </si>
  <si>
    <t>OSEP – Emotional Disturbance - Digital</t>
  </si>
  <si>
    <t>OSEP_ED_D</t>
  </si>
  <si>
    <t>OSEP – Developmental Delay - Digital</t>
  </si>
  <si>
    <t>OSEP_DD_D</t>
  </si>
  <si>
    <t>OSEP – Autism - Digital</t>
  </si>
  <si>
    <t>OSEP_AUT_D</t>
  </si>
  <si>
    <t>OSEP – ADHD - Paper</t>
  </si>
  <si>
    <t>OSEP_ADHD_P</t>
  </si>
  <si>
    <t>OSEP – Traumatic Brain Injury - Paper</t>
  </si>
  <si>
    <t>OSEP_TBI_P</t>
  </si>
  <si>
    <t>OSEP – Speech Impairment - Paper</t>
  </si>
  <si>
    <t>OSEP_SI_P</t>
  </si>
  <si>
    <t>WISC-6 Clinical Intellectually Gifted - Digital</t>
  </si>
  <si>
    <t>WISC-6 Clinical Mild Intellectual Disability - Digital</t>
  </si>
  <si>
    <t>WISC-6 Clinical Validity Mild Intellectual Disability - Digital</t>
  </si>
  <si>
    <t>WISC-6 Clinical Validity Autism spectrum disorder with no language impairment - (Child) Digital</t>
  </si>
  <si>
    <t>CV_ASD_NO_LI_BASC3_CH_D</t>
  </si>
  <si>
    <t>WISC-6 Clinical Validity Autism spectrum disorder with no language impairment - (Child) Paper</t>
  </si>
  <si>
    <t>CV_ASD_NO_LI_BASC3_CH_P</t>
  </si>
  <si>
    <t>WISC-6 Clinical Validity Autism spectrum disorder with language impairment - (Child) Paper</t>
  </si>
  <si>
    <t>CV_ASD_LI_BASC3_CH_P</t>
  </si>
  <si>
    <t>WISC-6 Clinical Validity ADHD – (Child) Digital</t>
  </si>
  <si>
    <t>CV_ADHD_BASC3_CH_D</t>
  </si>
  <si>
    <t>WISC-6 Clinical Validity ADHD - (Child) Paper</t>
  </si>
  <si>
    <t>CV_ADHD_BASC3_CH_P</t>
  </si>
  <si>
    <t>Study ID:                          
3817</t>
  </si>
  <si>
    <t>Study ID:                          
3829</t>
  </si>
  <si>
    <t>Study ID:                          
3818</t>
  </si>
  <si>
    <t>Study ID:                          
3830</t>
  </si>
  <si>
    <t>Study ID:                          
3819</t>
  </si>
  <si>
    <t>Study ID:                          
3831</t>
  </si>
  <si>
    <t>Study ID:                          
3820</t>
  </si>
  <si>
    <t>Study ID:                          
3832</t>
  </si>
  <si>
    <t>Study ID:                          
3821</t>
  </si>
  <si>
    <t>Study ID:                          
3833</t>
  </si>
  <si>
    <t>Study ID:                          
3822</t>
  </si>
  <si>
    <t>Study ID:                          
3834</t>
  </si>
  <si>
    <t>Study ID:                          
3823</t>
  </si>
  <si>
    <t>Study ID:                          
3835</t>
  </si>
  <si>
    <t>Study ID:                          
3824</t>
  </si>
  <si>
    <t>Study ID:                          
3836</t>
  </si>
  <si>
    <t>Study ID:                          
3825</t>
  </si>
  <si>
    <t>Study ID:                          
3837</t>
  </si>
  <si>
    <t>Study ID:                          
3827</t>
  </si>
  <si>
    <t>Study ID:                          
3838</t>
  </si>
  <si>
    <t>3817</t>
  </si>
  <si>
    <t>3829</t>
  </si>
  <si>
    <t>3818</t>
  </si>
  <si>
    <t>3830</t>
  </si>
  <si>
    <t>3819</t>
  </si>
  <si>
    <t>3831</t>
  </si>
  <si>
    <t>3820</t>
  </si>
  <si>
    <t>3832</t>
  </si>
  <si>
    <t>3821</t>
  </si>
  <si>
    <t>3833</t>
  </si>
  <si>
    <t>3822</t>
  </si>
  <si>
    <t>3834</t>
  </si>
  <si>
    <t>3823</t>
  </si>
  <si>
    <t>3835</t>
  </si>
  <si>
    <t>3824</t>
  </si>
  <si>
    <t>3836</t>
  </si>
  <si>
    <t>3825</t>
  </si>
  <si>
    <t>3837</t>
  </si>
  <si>
    <t>3827</t>
  </si>
  <si>
    <t>3838</t>
  </si>
  <si>
    <t>09/17/2026 @ 7:20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</si>
</sst>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%"/>
    <numFmt numFmtId="166" formatCode="\'##\'"/>
    <numFmt numFmtId="167" formatCode="\±#%"/>
  </numFmts>
  <fonts count="36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2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sz val="6"/>
      <color rgb="FFC00000"/>
      <name val="Calibri (Body)"/>
    </font>
    <font>
      <sz val="6"/>
      <color theme="1"/>
      <name val="Calibri"/>
      <family val="2"/>
      <scheme val="minor"/>
    </font>
    <font>
      <sz val="12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8"/>
      <color theme="1"/>
      <name val="Calibri (Body)"/>
    </font>
    <font>
      <b/>
      <sz val="11"/>
      <color rgb="FFFF0000"/>
      <name val="Calibri"/>
      <family val="2"/>
      <scheme val="minor"/>
    </font>
    <font>
      <sz val="12"/>
      <color theme="0"/>
      <name val="Times New Roman"/>
      <family val="1"/>
    </font>
    <font>
      <sz val="1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i/>
      <sz val="10"/>
      <color rgb="FFFF0000"/>
      <name val="Calibri (Body)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BFF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FF00"/>
        <bgColor indexed="64"/>
      </patternFill>
    </fill>
  </fills>
  <borders count="5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0"/>
      </left>
      <right style="thick">
        <color theme="0"/>
      </right>
      <top/>
      <bottom style="thick">
        <color theme="0"/>
      </bottom>
      <diagonal/>
    </border>
    <border>
      <left/>
      <right/>
      <top style="thick">
        <color theme="0"/>
      </top>
      <bottom style="thick">
        <color theme="0"/>
      </bottom>
      <diagonal/>
    </border>
    <border>
      <left style="hair">
        <color indexed="64"/>
      </left>
      <right/>
      <top/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0"/>
      </top>
      <bottom/>
      <diagonal/>
    </border>
    <border>
      <left style="thick">
        <color theme="0"/>
      </left>
      <right/>
      <top style="thick">
        <color theme="0"/>
      </top>
      <bottom style="thick">
        <color theme="0"/>
      </bottom>
      <diagonal/>
    </border>
    <border>
      <left style="medium">
        <color theme="0"/>
      </left>
      <right/>
      <top/>
      <bottom/>
      <diagonal/>
    </border>
    <border>
      <left style="thick">
        <color theme="0"/>
      </left>
      <right style="thick">
        <color theme="0"/>
      </right>
      <top style="thick">
        <color theme="0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0"/>
      </left>
      <right/>
      <top/>
      <bottom/>
      <diagonal/>
    </border>
    <border>
      <left/>
      <right/>
      <top/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ck">
        <color theme="0"/>
      </left>
      <right style="medium">
        <color indexed="64"/>
      </right>
      <top style="thick">
        <color theme="0"/>
      </top>
      <bottom/>
      <diagonal/>
    </border>
    <border>
      <left style="hair">
        <color indexed="64"/>
      </left>
      <right/>
      <top style="medium">
        <color indexed="64"/>
      </top>
      <bottom/>
      <diagonal/>
    </border>
    <border>
      <left style="thick">
        <color theme="0"/>
      </left>
      <right/>
      <top/>
      <bottom/>
      <diagonal/>
    </border>
    <border>
      <left style="thick">
        <color theme="0"/>
      </left>
      <right/>
      <top style="thick">
        <color theme="0"/>
      </top>
      <bottom style="medium">
        <color indexed="64"/>
      </bottom>
      <diagonal/>
    </border>
    <border>
      <left style="thick">
        <color theme="0"/>
      </left>
      <right style="thick">
        <color theme="0"/>
      </right>
      <top/>
      <bottom style="medium">
        <color indexed="64"/>
      </bottom>
      <diagonal/>
    </border>
    <border>
      <left/>
      <right style="medium">
        <color indexed="64"/>
      </right>
      <top style="thick">
        <color theme="0"/>
      </top>
      <bottom style="thick">
        <color theme="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0"/>
      </left>
      <right style="thick">
        <color theme="0"/>
      </right>
      <top/>
      <bottom/>
      <diagonal/>
    </border>
    <border>
      <left style="thick">
        <color theme="0"/>
      </left>
      <right style="thick">
        <color theme="0"/>
      </right>
      <top style="thick">
        <color theme="0"/>
      </top>
      <bottom/>
      <diagonal/>
    </border>
    <border>
      <left style="medium">
        <color indexed="64"/>
      </left>
      <right style="thick">
        <color theme="0"/>
      </right>
      <top/>
      <bottom/>
      <diagonal/>
    </border>
    <border>
      <left style="medium">
        <color indexed="64"/>
      </left>
      <right/>
      <top style="thick">
        <color theme="0"/>
      </top>
      <bottom style="thick">
        <color theme="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theme="0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6">
    <xf numFmtId="0" fontId="0" fillId="0" borderId="0"/>
    <xf numFmtId="9" fontId="6" fillId="0" borderId="0" applyFont="0" applyFill="0" applyBorder="0" applyAlignment="0" applyProtection="0"/>
    <xf numFmtId="0" fontId="8" fillId="0" borderId="0"/>
    <xf numFmtId="0" fontId="25" fillId="0" borderId="0" applyNumberFormat="0" applyFill="0" applyBorder="0" applyAlignment="0" applyProtection="0"/>
    <xf numFmtId="0" fontId="4" fillId="0" borderId="0"/>
    <xf numFmtId="0" fontId="3" fillId="0" borderId="0"/>
  </cellStyleXfs>
  <cellXfs count="220">
    <xf numFmtId="0" fontId="0" fillId="0" borderId="0" xfId="0"/>
    <xf numFmtId="0" fontId="0" fillId="0" borderId="0" xfId="0" applyAlignment="1">
      <alignment horizontal="center"/>
    </xf>
    <xf numFmtId="0" fontId="0" fillId="4" borderId="0" xfId="0" applyFill="1"/>
    <xf numFmtId="0" fontId="0" fillId="4" borderId="1" xfId="0" applyFill="1" applyBorder="1"/>
    <xf numFmtId="0" fontId="0" fillId="4" borderId="0" xfId="0" applyFill="1" applyAlignment="1">
      <alignment horizontal="center"/>
    </xf>
    <xf numFmtId="0" fontId="9" fillId="0" borderId="0" xfId="0" applyFont="1"/>
    <xf numFmtId="0" fontId="21" fillId="0" borderId="0" xfId="0" applyFont="1" applyAlignment="1">
      <alignment horizontal="left"/>
    </xf>
    <xf numFmtId="0" fontId="21" fillId="0" borderId="0" xfId="0" applyFont="1"/>
    <xf numFmtId="0" fontId="21" fillId="0" borderId="0" xfId="0" applyFont="1" applyAlignment="1">
      <alignment horizontal="center"/>
    </xf>
    <xf numFmtId="0" fontId="21" fillId="9" borderId="0" xfId="0" applyFont="1" applyFill="1" applyAlignment="1">
      <alignment horizontal="center" wrapText="1"/>
    </xf>
    <xf numFmtId="0" fontId="9" fillId="0" borderId="0" xfId="0" applyFont="1" applyAlignment="1">
      <alignment horizontal="center"/>
    </xf>
    <xf numFmtId="0" fontId="0" fillId="0" borderId="0" xfId="0" applyAlignment="1">
      <alignment horizontal="left"/>
    </xf>
    <xf numFmtId="9" fontId="0" fillId="0" borderId="0" xfId="1" applyFont="1" applyAlignment="1">
      <alignment horizontal="center"/>
    </xf>
    <xf numFmtId="0" fontId="11" fillId="4" borderId="0" xfId="0" applyFont="1" applyFill="1" applyAlignment="1">
      <alignment horizontal="center"/>
    </xf>
    <xf numFmtId="0" fontId="9" fillId="4" borderId="0" xfId="0" applyFont="1" applyFill="1"/>
    <xf numFmtId="0" fontId="9" fillId="4" borderId="0" xfId="0" applyFont="1" applyFill="1" applyAlignment="1">
      <alignment horizontal="center"/>
    </xf>
    <xf numFmtId="0" fontId="21" fillId="4" borderId="0" xfId="0" applyFont="1" applyFill="1"/>
    <xf numFmtId="0" fontId="24" fillId="0" borderId="15" xfId="3" applyFont="1" applyBorder="1"/>
    <xf numFmtId="0" fontId="0" fillId="0" borderId="15" xfId="0" applyBorder="1" applyAlignment="1">
      <alignment horizontal="center"/>
    </xf>
    <xf numFmtId="0" fontId="9" fillId="4" borderId="0" xfId="0" applyFont="1" applyFill="1" applyAlignment="1">
      <alignment wrapText="1"/>
    </xf>
    <xf numFmtId="0" fontId="11" fillId="4" borderId="0" xfId="0" applyFont="1" applyFill="1"/>
    <xf numFmtId="0" fontId="9" fillId="3" borderId="16" xfId="0" applyFont="1" applyFill="1" applyBorder="1" applyAlignment="1">
      <alignment horizontal="center"/>
    </xf>
    <xf numFmtId="166" fontId="9" fillId="3" borderId="14" xfId="0" applyNumberFormat="1" applyFont="1" applyFill="1" applyBorder="1" applyAlignment="1">
      <alignment horizontal="center"/>
    </xf>
    <xf numFmtId="1" fontId="9" fillId="3" borderId="14" xfId="0" applyNumberFormat="1" applyFont="1" applyFill="1" applyBorder="1" applyAlignment="1">
      <alignment horizontal="center"/>
    </xf>
    <xf numFmtId="0" fontId="13" fillId="4" borderId="0" xfId="0" applyFont="1" applyFill="1" applyAlignment="1">
      <alignment horizontal="center"/>
    </xf>
    <xf numFmtId="0" fontId="24" fillId="4" borderId="0" xfId="0" applyFont="1" applyFill="1" applyAlignment="1">
      <alignment horizontal="center"/>
    </xf>
    <xf numFmtId="0" fontId="14" fillId="4" borderId="1" xfId="0" applyFont="1" applyFill="1" applyBorder="1" applyAlignment="1">
      <alignment horizontal="center"/>
    </xf>
    <xf numFmtId="0" fontId="24" fillId="4" borderId="1" xfId="0" applyFont="1" applyFill="1" applyBorder="1" applyAlignment="1">
      <alignment horizontal="right" indent="1"/>
    </xf>
    <xf numFmtId="0" fontId="13" fillId="4" borderId="0" xfId="0" applyFont="1" applyFill="1" applyAlignment="1">
      <alignment horizontal="left"/>
    </xf>
    <xf numFmtId="0" fontId="10" fillId="6" borderId="14" xfId="2" applyFont="1" applyFill="1" applyBorder="1" applyAlignment="1">
      <alignment horizontal="right" vertical="center" wrapText="1" indent="1"/>
    </xf>
    <xf numFmtId="0" fontId="18" fillId="5" borderId="18" xfId="2" applyFont="1" applyFill="1" applyBorder="1" applyAlignment="1">
      <alignment horizontal="center" vertical="center"/>
    </xf>
    <xf numFmtId="0" fontId="0" fillId="4" borderId="0" xfId="0" applyFill="1" applyAlignment="1">
      <alignment horizontal="right" indent="1"/>
    </xf>
    <xf numFmtId="0" fontId="13" fillId="4" borderId="5" xfId="0" applyFont="1" applyFill="1" applyBorder="1" applyAlignment="1">
      <alignment horizontal="left"/>
    </xf>
    <xf numFmtId="0" fontId="13" fillId="4" borderId="0" xfId="0" applyFont="1" applyFill="1" applyAlignment="1">
      <alignment horizontal="right" indent="1"/>
    </xf>
    <xf numFmtId="0" fontId="17" fillId="7" borderId="3" xfId="0" applyFont="1" applyFill="1" applyBorder="1" applyAlignment="1">
      <alignment horizontal="right" indent="1"/>
    </xf>
    <xf numFmtId="0" fontId="16" fillId="4" borderId="0" xfId="0" applyFont="1" applyFill="1" applyAlignment="1">
      <alignment horizontal="right" indent="1"/>
    </xf>
    <xf numFmtId="1" fontId="29" fillId="0" borderId="5" xfId="0" applyNumberFormat="1" applyFont="1" applyBorder="1" applyAlignment="1">
      <alignment horizontal="center"/>
    </xf>
    <xf numFmtId="0" fontId="17" fillId="8" borderId="20" xfId="0" applyFont="1" applyFill="1" applyBorder="1" applyAlignment="1">
      <alignment horizontal="right" indent="1"/>
    </xf>
    <xf numFmtId="0" fontId="16" fillId="4" borderId="1" xfId="0" applyFont="1" applyFill="1" applyBorder="1" applyAlignment="1">
      <alignment horizontal="right" indent="1"/>
    </xf>
    <xf numFmtId="1" fontId="17" fillId="7" borderId="2" xfId="0" applyNumberFormat="1" applyFont="1" applyFill="1" applyBorder="1" applyAlignment="1">
      <alignment horizontal="center"/>
    </xf>
    <xf numFmtId="1" fontId="17" fillId="7" borderId="3" xfId="0" applyNumberFormat="1" applyFont="1" applyFill="1" applyBorder="1" applyAlignment="1">
      <alignment horizontal="center"/>
    </xf>
    <xf numFmtId="1" fontId="17" fillId="7" borderId="4" xfId="0" applyNumberFormat="1" applyFont="1" applyFill="1" applyBorder="1" applyAlignment="1">
      <alignment horizontal="center"/>
    </xf>
    <xf numFmtId="0" fontId="0" fillId="4" borderId="0" xfId="0" applyFill="1" applyAlignment="1">
      <alignment horizontal="left"/>
    </xf>
    <xf numFmtId="0" fontId="7" fillId="0" borderId="0" xfId="0" applyFont="1"/>
    <xf numFmtId="0" fontId="28" fillId="4" borderId="24" xfId="2" applyFont="1" applyFill="1" applyBorder="1" applyAlignment="1">
      <alignment horizontal="left"/>
    </xf>
    <xf numFmtId="0" fontId="0" fillId="4" borderId="16" xfId="0" applyFill="1" applyBorder="1"/>
    <xf numFmtId="0" fontId="9" fillId="4" borderId="26" xfId="0" applyFont="1" applyFill="1" applyBorder="1" applyAlignment="1">
      <alignment horizontal="center"/>
    </xf>
    <xf numFmtId="0" fontId="0" fillId="4" borderId="27" xfId="0" applyFill="1" applyBorder="1" applyAlignment="1">
      <alignment horizontal="center"/>
    </xf>
    <xf numFmtId="0" fontId="21" fillId="4" borderId="16" xfId="0" applyFont="1" applyFill="1" applyBorder="1"/>
    <xf numFmtId="0" fontId="21" fillId="4" borderId="28" xfId="0" applyFont="1" applyFill="1" applyBorder="1"/>
    <xf numFmtId="0" fontId="0" fillId="4" borderId="29" xfId="0" applyFill="1" applyBorder="1"/>
    <xf numFmtId="0" fontId="0" fillId="4" borderId="30" xfId="0" applyFill="1" applyBorder="1"/>
    <xf numFmtId="0" fontId="0" fillId="4" borderId="14" xfId="0" applyFill="1" applyBorder="1"/>
    <xf numFmtId="0" fontId="0" fillId="4" borderId="27" xfId="0" applyFill="1" applyBorder="1"/>
    <xf numFmtId="0" fontId="0" fillId="4" borderId="31" xfId="0" applyFill="1" applyBorder="1"/>
    <xf numFmtId="0" fontId="0" fillId="4" borderId="32" xfId="0" applyFill="1" applyBorder="1"/>
    <xf numFmtId="0" fontId="0" fillId="4" borderId="28" xfId="0" applyFill="1" applyBorder="1"/>
    <xf numFmtId="0" fontId="0" fillId="4" borderId="26" xfId="0" applyFill="1" applyBorder="1"/>
    <xf numFmtId="0" fontId="0" fillId="4" borderId="29" xfId="0" applyFill="1" applyBorder="1" applyAlignment="1">
      <alignment horizontal="left"/>
    </xf>
    <xf numFmtId="1" fontId="17" fillId="8" borderId="20" xfId="0" applyNumberFormat="1" applyFont="1" applyFill="1" applyBorder="1" applyAlignment="1">
      <alignment horizontal="center"/>
    </xf>
    <xf numFmtId="1" fontId="29" fillId="0" borderId="7" xfId="0" applyNumberFormat="1" applyFont="1" applyBorder="1" applyAlignment="1">
      <alignment horizontal="center"/>
    </xf>
    <xf numFmtId="1" fontId="14" fillId="4" borderId="0" xfId="0" applyNumberFormat="1" applyFont="1" applyFill="1" applyAlignment="1">
      <alignment horizontal="left"/>
    </xf>
    <xf numFmtId="1" fontId="29" fillId="0" borderId="0" xfId="0" applyNumberFormat="1" applyFont="1" applyAlignment="1">
      <alignment horizontal="center"/>
    </xf>
    <xf numFmtId="1" fontId="29" fillId="0" borderId="6" xfId="0" applyNumberFormat="1" applyFont="1" applyBorder="1" applyAlignment="1">
      <alignment horizontal="center"/>
    </xf>
    <xf numFmtId="1" fontId="30" fillId="4" borderId="0" xfId="0" applyNumberFormat="1" applyFont="1" applyFill="1" applyAlignment="1">
      <alignment horizontal="left"/>
    </xf>
    <xf numFmtId="1" fontId="17" fillId="8" borderId="9" xfId="0" applyNumberFormat="1" applyFont="1" applyFill="1" applyBorder="1" applyAlignment="1">
      <alignment horizontal="center"/>
    </xf>
    <xf numFmtId="1" fontId="17" fillId="8" borderId="21" xfId="0" applyNumberFormat="1" applyFont="1" applyFill="1" applyBorder="1" applyAlignment="1">
      <alignment horizontal="center"/>
    </xf>
    <xf numFmtId="1" fontId="31" fillId="4" borderId="0" xfId="0" applyNumberFormat="1" applyFont="1" applyFill="1" applyAlignment="1">
      <alignment horizontal="left"/>
    </xf>
    <xf numFmtId="1" fontId="29" fillId="0" borderId="1" xfId="0" applyNumberFormat="1" applyFont="1" applyBorder="1" applyAlignment="1">
      <alignment horizontal="center"/>
    </xf>
    <xf numFmtId="1" fontId="29" fillId="0" borderId="8" xfId="0" applyNumberFormat="1" applyFont="1" applyBorder="1" applyAlignment="1">
      <alignment horizontal="center"/>
    </xf>
    <xf numFmtId="9" fontId="17" fillId="7" borderId="4" xfId="1" applyFont="1" applyFill="1" applyBorder="1" applyAlignment="1">
      <alignment horizontal="center"/>
    </xf>
    <xf numFmtId="9" fontId="29" fillId="0" borderId="6" xfId="1" applyFont="1" applyFill="1" applyBorder="1" applyAlignment="1">
      <alignment horizontal="center"/>
    </xf>
    <xf numFmtId="9" fontId="17" fillId="8" borderId="21" xfId="1" applyFont="1" applyFill="1" applyBorder="1" applyAlignment="1">
      <alignment horizontal="center"/>
    </xf>
    <xf numFmtId="9" fontId="29" fillId="0" borderId="8" xfId="0" applyNumberFormat="1" applyFont="1" applyBorder="1" applyAlignment="1">
      <alignment horizontal="center"/>
    </xf>
    <xf numFmtId="1" fontId="29" fillId="0" borderId="21" xfId="0" applyNumberFormat="1" applyFont="1" applyBorder="1" applyAlignment="1">
      <alignment horizontal="center"/>
    </xf>
    <xf numFmtId="1" fontId="30" fillId="4" borderId="6" xfId="0" applyNumberFormat="1" applyFont="1" applyFill="1" applyBorder="1" applyAlignment="1">
      <alignment horizontal="left"/>
    </xf>
    <xf numFmtId="1" fontId="17" fillId="7" borderId="6" xfId="0" applyNumberFormat="1" applyFont="1" applyFill="1" applyBorder="1" applyAlignment="1">
      <alignment horizontal="center"/>
    </xf>
    <xf numFmtId="0" fontId="15" fillId="0" borderId="0" xfId="0" applyFont="1"/>
    <xf numFmtId="0" fontId="0" fillId="10" borderId="15" xfId="0" applyFill="1" applyBorder="1"/>
    <xf numFmtId="0" fontId="0" fillId="10" borderId="39" xfId="0" applyFill="1" applyBorder="1"/>
    <xf numFmtId="0" fontId="0" fillId="12" borderId="15" xfId="0" applyFill="1" applyBorder="1" applyAlignment="1">
      <alignment horizontal="center"/>
    </xf>
    <xf numFmtId="0" fontId="0" fillId="0" borderId="15" xfId="0" applyBorder="1" applyAlignment="1">
      <alignment horizontal="left"/>
    </xf>
    <xf numFmtId="10" fontId="6" fillId="0" borderId="15" xfId="1" applyNumberFormat="1" applyFont="1" applyBorder="1" applyAlignment="1">
      <alignment horizontal="center"/>
    </xf>
    <xf numFmtId="1" fontId="0" fillId="0" borderId="0" xfId="0" applyNumberFormat="1"/>
    <xf numFmtId="10" fontId="0" fillId="12" borderId="15" xfId="0" applyNumberFormat="1" applyFill="1" applyBorder="1" applyAlignment="1">
      <alignment horizontal="center"/>
    </xf>
    <xf numFmtId="0" fontId="0" fillId="10" borderId="15" xfId="0" applyFill="1" applyBorder="1" applyAlignment="1">
      <alignment horizontal="center"/>
    </xf>
    <xf numFmtId="9" fontId="6" fillId="10" borderId="15" xfId="1" applyFont="1" applyFill="1" applyBorder="1" applyAlignment="1">
      <alignment horizontal="center"/>
    </xf>
    <xf numFmtId="10" fontId="0" fillId="0" borderId="15" xfId="1" applyNumberFormat="1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31" fillId="5" borderId="19" xfId="2" applyFont="1" applyFill="1" applyBorder="1" applyAlignment="1">
      <alignment horizontal="center"/>
    </xf>
    <xf numFmtId="0" fontId="31" fillId="5" borderId="37" xfId="2" applyFont="1" applyFill="1" applyBorder="1" applyAlignment="1">
      <alignment horizontal="center"/>
    </xf>
    <xf numFmtId="0" fontId="31" fillId="5" borderId="36" xfId="2" applyFont="1" applyFill="1" applyBorder="1" applyAlignment="1">
      <alignment horizontal="center"/>
    </xf>
    <xf numFmtId="0" fontId="31" fillId="5" borderId="33" xfId="2" applyFont="1" applyFill="1" applyBorder="1" applyAlignment="1">
      <alignment horizontal="center"/>
    </xf>
    <xf numFmtId="0" fontId="31" fillId="5" borderId="44" xfId="2" applyFont="1" applyFill="1" applyBorder="1" applyAlignment="1">
      <alignment horizontal="center"/>
    </xf>
    <xf numFmtId="1" fontId="31" fillId="5" borderId="37" xfId="2" quotePrefix="1" applyNumberFormat="1" applyFont="1" applyFill="1" applyBorder="1" applyAlignment="1">
      <alignment horizontal="center"/>
    </xf>
    <xf numFmtId="1" fontId="31" fillId="5" borderId="37" xfId="2" applyNumberFormat="1" applyFont="1" applyFill="1" applyBorder="1" applyAlignment="1">
      <alignment horizontal="center"/>
    </xf>
    <xf numFmtId="0" fontId="31" fillId="5" borderId="7" xfId="2" quotePrefix="1" applyFont="1" applyFill="1" applyBorder="1" applyAlignment="1">
      <alignment horizontal="center"/>
    </xf>
    <xf numFmtId="0" fontId="0" fillId="4" borderId="3" xfId="0" applyFill="1" applyBorder="1"/>
    <xf numFmtId="0" fontId="13" fillId="0" borderId="0" xfId="0" applyFont="1"/>
    <xf numFmtId="0" fontId="9" fillId="0" borderId="0" xfId="0" applyFont="1" applyAlignment="1">
      <alignment vertical="center" wrapText="1"/>
    </xf>
    <xf numFmtId="0" fontId="14" fillId="5" borderId="0" xfId="0" applyFont="1" applyFill="1"/>
    <xf numFmtId="0" fontId="13" fillId="5" borderId="6" xfId="0" applyFont="1" applyFill="1" applyBorder="1" applyAlignment="1">
      <alignment horizontal="center"/>
    </xf>
    <xf numFmtId="0" fontId="13" fillId="0" borderId="48" xfId="0" applyFont="1" applyBorder="1"/>
    <xf numFmtId="164" fontId="11" fillId="4" borderId="0" xfId="2" applyNumberFormat="1" applyFont="1" applyFill="1" applyAlignment="1">
      <alignment horizontal="left"/>
    </xf>
    <xf numFmtId="0" fontId="11" fillId="4" borderId="0" xfId="0" applyFont="1" applyFill="1" applyAlignment="1">
      <alignment horizontal="left"/>
    </xf>
    <xf numFmtId="164" fontId="11" fillId="4" borderId="0" xfId="2" applyNumberFormat="1" applyFont="1" applyFill="1" applyAlignment="1">
      <alignment horizontal="left" vertical="center" wrapText="1"/>
    </xf>
    <xf numFmtId="0" fontId="14" fillId="5" borderId="6" xfId="0" applyFont="1" applyFill="1" applyBorder="1"/>
    <xf numFmtId="1" fontId="11" fillId="4" borderId="0" xfId="2" applyNumberFormat="1" applyFont="1" applyFill="1" applyAlignment="1">
      <alignment horizontal="left" vertical="top" wrapText="1"/>
    </xf>
    <xf numFmtId="0" fontId="14" fillId="0" borderId="0" xfId="0" applyFont="1"/>
    <xf numFmtId="0" fontId="0" fillId="0" borderId="54" xfId="0" applyBorder="1"/>
    <xf numFmtId="1" fontId="16" fillId="0" borderId="5" xfId="0" applyNumberFormat="1" applyFont="1" applyBorder="1" applyAlignment="1">
      <alignment horizontal="center"/>
    </xf>
    <xf numFmtId="0" fontId="11" fillId="2" borderId="0" xfId="0" applyFont="1" applyFill="1" applyAlignment="1">
      <alignment horizontal="center"/>
    </xf>
    <xf numFmtId="0" fontId="9" fillId="3" borderId="0" xfId="0" applyFont="1" applyFill="1" applyAlignment="1">
      <alignment horizontal="left"/>
    </xf>
    <xf numFmtId="1" fontId="9" fillId="3" borderId="0" xfId="0" applyNumberFormat="1" applyFont="1" applyFill="1" applyAlignment="1">
      <alignment horizontal="center"/>
    </xf>
    <xf numFmtId="0" fontId="12" fillId="0" borderId="0" xfId="0" applyFont="1" applyAlignment="1">
      <alignment horizontal="center"/>
    </xf>
    <xf numFmtId="0" fontId="24" fillId="0" borderId="15" xfId="3" applyFont="1" applyFill="1" applyBorder="1"/>
    <xf numFmtId="10" fontId="0" fillId="0" borderId="15" xfId="1" applyNumberFormat="1" applyFont="1" applyFill="1" applyBorder="1" applyAlignment="1">
      <alignment horizontal="center"/>
    </xf>
    <xf numFmtId="0" fontId="0" fillId="15" borderId="0" xfId="0" applyFill="1"/>
    <xf numFmtId="0" fontId="7" fillId="16" borderId="0" xfId="0" applyFont="1" applyFill="1"/>
    <xf numFmtId="1" fontId="0" fillId="16" borderId="0" xfId="0" applyNumberFormat="1" applyFill="1"/>
    <xf numFmtId="0" fontId="0" fillId="17" borderId="0" xfId="0" applyFill="1" applyAlignment="1">
      <alignment horizontal="left"/>
    </xf>
    <xf numFmtId="0" fontId="0" fillId="17" borderId="27" xfId="0" applyFill="1" applyBorder="1" applyAlignment="1">
      <alignment horizontal="center"/>
    </xf>
    <xf numFmtId="0" fontId="15" fillId="17" borderId="0" xfId="0" applyFont="1" applyFill="1" applyAlignment="1">
      <alignment horizontal="left"/>
    </xf>
    <xf numFmtId="0" fontId="9" fillId="0" borderId="0" xfId="0" applyFont="1" applyAlignment="1">
      <alignment horizontal="right"/>
    </xf>
    <xf numFmtId="0" fontId="2" fillId="4" borderId="1" xfId="0" applyFont="1" applyFill="1" applyBorder="1" applyAlignment="1">
      <alignment vertical="center" wrapText="1"/>
    </xf>
    <xf numFmtId="0" fontId="2" fillId="4" borderId="0" xfId="0" applyFont="1" applyFill="1" applyAlignment="1">
      <alignment vertical="center" wrapText="1"/>
    </xf>
    <xf numFmtId="0" fontId="21" fillId="0" borderId="25" xfId="0" applyFont="1" applyBorder="1" applyAlignment="1">
      <alignment horizontal="center"/>
    </xf>
    <xf numFmtId="0" fontId="21" fillId="0" borderId="41" xfId="0" applyFont="1" applyBorder="1"/>
    <xf numFmtId="0" fontId="21" fillId="0" borderId="55" xfId="0" applyFont="1" applyBorder="1"/>
    <xf numFmtId="0" fontId="0" fillId="0" borderId="51" xfId="0" applyBorder="1" applyAlignment="1">
      <alignment horizontal="left"/>
    </xf>
    <xf numFmtId="0" fontId="24" fillId="0" borderId="51" xfId="3" applyFont="1" applyFill="1" applyBorder="1"/>
    <xf numFmtId="0" fontId="0" fillId="0" borderId="51" xfId="0" applyBorder="1" applyAlignment="1">
      <alignment horizontal="center"/>
    </xf>
    <xf numFmtId="10" fontId="0" fillId="0" borderId="51" xfId="1" applyNumberFormat="1" applyFont="1" applyFill="1" applyBorder="1" applyAlignment="1">
      <alignment horizontal="center"/>
    </xf>
    <xf numFmtId="0" fontId="0" fillId="2" borderId="51" xfId="0" applyFill="1" applyBorder="1" applyAlignment="1">
      <alignment horizontal="left"/>
    </xf>
    <xf numFmtId="0" fontId="24" fillId="2" borderId="51" xfId="3" applyFont="1" applyFill="1" applyBorder="1"/>
    <xf numFmtId="0" fontId="0" fillId="2" borderId="51" xfId="0" applyFill="1" applyBorder="1" applyAlignment="1">
      <alignment horizontal="center"/>
    </xf>
    <xf numFmtId="10" fontId="0" fillId="2" borderId="51" xfId="1" applyNumberFormat="1" applyFont="1" applyFill="1" applyBorder="1" applyAlignment="1">
      <alignment horizontal="center"/>
    </xf>
    <xf numFmtId="0" fontId="7" fillId="11" borderId="0" xfId="0" applyFont="1" applyFill="1" applyAlignment="1">
      <alignment horizontal="center"/>
    </xf>
    <xf numFmtId="1" fontId="0" fillId="11" borderId="0" xfId="0" applyNumberFormat="1" applyFill="1" applyAlignment="1">
      <alignment horizontal="center"/>
    </xf>
    <xf numFmtId="0" fontId="0" fillId="11" borderId="0" xfId="0" applyFill="1" applyAlignment="1">
      <alignment horizontal="center"/>
    </xf>
    <xf numFmtId="0" fontId="0" fillId="6" borderId="40" xfId="0" applyFill="1" applyBorder="1" applyAlignment="1">
      <alignment horizontal="left"/>
    </xf>
    <xf numFmtId="0" fontId="0" fillId="12" borderId="15" xfId="0" applyFill="1" applyBorder="1" applyAlignment="1">
      <alignment horizontal="center"/>
    </xf>
    <xf numFmtId="0" fontId="7" fillId="2" borderId="0" xfId="0" applyFont="1" applyFill="1" applyAlignment="1">
      <alignment horizontal="center"/>
    </xf>
    <xf numFmtId="0" fontId="12" fillId="0" borderId="27" xfId="0" applyFont="1" applyBorder="1" applyAlignment="1">
      <alignment horizontal="center"/>
    </xf>
    <xf numFmtId="0" fontId="12" fillId="0" borderId="31" xfId="0" applyFont="1" applyBorder="1" applyAlignment="1">
      <alignment horizontal="center"/>
    </xf>
    <xf numFmtId="0" fontId="11" fillId="2" borderId="0" xfId="0" applyFont="1" applyFill="1" applyAlignment="1">
      <alignment horizontal="center"/>
    </xf>
    <xf numFmtId="0" fontId="9" fillId="3" borderId="0" xfId="0" applyFont="1" applyFill="1" applyAlignment="1">
      <alignment horizontal="left"/>
    </xf>
    <xf numFmtId="0" fontId="11" fillId="2" borderId="18" xfId="0" applyFont="1" applyFill="1" applyBorder="1" applyAlignment="1">
      <alignment horizontal="center"/>
    </xf>
    <xf numFmtId="0" fontId="9" fillId="3" borderId="18" xfId="0" applyFont="1" applyFill="1" applyBorder="1" applyAlignment="1">
      <alignment horizontal="center"/>
    </xf>
    <xf numFmtId="0" fontId="9" fillId="3" borderId="0" xfId="0" applyFont="1" applyFill="1" applyAlignment="1">
      <alignment horizontal="center"/>
    </xf>
    <xf numFmtId="0" fontId="9" fillId="3" borderId="18" xfId="0" applyFont="1" applyFill="1" applyBorder="1" applyAlignment="1">
      <alignment horizontal="left"/>
    </xf>
    <xf numFmtId="0" fontId="34" fillId="13" borderId="5" xfId="2" applyFont="1" applyFill="1" applyBorder="1" applyAlignment="1">
      <alignment horizontal="center" vertical="center"/>
    </xf>
    <xf numFmtId="0" fontId="34" fillId="13" borderId="0" xfId="2" applyFont="1" applyFill="1" applyAlignment="1">
      <alignment horizontal="center" vertical="center"/>
    </xf>
    <xf numFmtId="0" fontId="34" fillId="13" borderId="6" xfId="2" applyFont="1" applyFill="1" applyBorder="1" applyAlignment="1">
      <alignment horizontal="center" vertical="center"/>
    </xf>
    <xf numFmtId="0" fontId="13" fillId="5" borderId="5" xfId="0" applyFont="1" applyFill="1" applyBorder="1" applyAlignment="1">
      <alignment horizontal="center"/>
    </xf>
    <xf numFmtId="0" fontId="13" fillId="5" borderId="0" xfId="0" applyFont="1" applyFill="1" applyAlignment="1">
      <alignment horizontal="center"/>
    </xf>
    <xf numFmtId="0" fontId="13" fillId="5" borderId="6" xfId="0" applyFont="1" applyFill="1" applyBorder="1" applyAlignment="1">
      <alignment horizontal="center"/>
    </xf>
    <xf numFmtId="0" fontId="10" fillId="14" borderId="15" xfId="2" applyFont="1" applyFill="1" applyBorder="1" applyAlignment="1">
      <alignment horizontal="center" vertical="center"/>
    </xf>
    <xf numFmtId="0" fontId="10" fillId="14" borderId="47" xfId="2" applyFont="1" applyFill="1" applyBorder="1" applyAlignment="1">
      <alignment horizontal="center" vertical="center"/>
    </xf>
    <xf numFmtId="0" fontId="35" fillId="4" borderId="49" xfId="0" applyFont="1" applyFill="1" applyBorder="1" applyAlignment="1">
      <alignment horizontal="center" wrapText="1"/>
    </xf>
    <xf numFmtId="0" fontId="35" fillId="4" borderId="40" xfId="0" applyFont="1" applyFill="1" applyBorder="1" applyAlignment="1">
      <alignment horizontal="center" wrapText="1"/>
    </xf>
    <xf numFmtId="0" fontId="35" fillId="4" borderId="50" xfId="0" applyFont="1" applyFill="1" applyBorder="1" applyAlignment="1">
      <alignment horizontal="center" wrapText="1"/>
    </xf>
    <xf numFmtId="164" fontId="11" fillId="4" borderId="5" xfId="2" applyNumberFormat="1" applyFont="1" applyFill="1" applyBorder="1" applyAlignment="1">
      <alignment horizontal="left" vertical="center" wrapText="1"/>
    </xf>
    <xf numFmtId="164" fontId="11" fillId="4" borderId="0" xfId="2" applyNumberFormat="1" applyFont="1" applyFill="1" applyAlignment="1">
      <alignment horizontal="left" vertical="center"/>
    </xf>
    <xf numFmtId="164" fontId="11" fillId="4" borderId="6" xfId="2" applyNumberFormat="1" applyFont="1" applyFill="1" applyBorder="1" applyAlignment="1">
      <alignment horizontal="left" vertical="center"/>
    </xf>
    <xf numFmtId="164" fontId="11" fillId="4" borderId="5" xfId="2" applyNumberFormat="1" applyFont="1" applyFill="1" applyBorder="1" applyAlignment="1">
      <alignment horizontal="left" vertical="center"/>
    </xf>
    <xf numFmtId="164" fontId="11" fillId="4" borderId="7" xfId="2" applyNumberFormat="1" applyFont="1" applyFill="1" applyBorder="1" applyAlignment="1">
      <alignment horizontal="left" vertical="center"/>
    </xf>
    <xf numFmtId="164" fontId="11" fillId="4" borderId="1" xfId="2" applyNumberFormat="1" applyFont="1" applyFill="1" applyBorder="1" applyAlignment="1">
      <alignment horizontal="left" vertical="center"/>
    </xf>
    <xf numFmtId="164" fontId="11" fillId="4" borderId="8" xfId="2" applyNumberFormat="1" applyFont="1" applyFill="1" applyBorder="1" applyAlignment="1">
      <alignment horizontal="left" vertical="center"/>
    </xf>
    <xf numFmtId="0" fontId="2" fillId="4" borderId="7" xfId="0" applyFont="1" applyFill="1" applyBorder="1" applyAlignment="1">
      <alignment horizontal="center" wrapText="1"/>
    </xf>
    <xf numFmtId="0" fontId="2" fillId="4" borderId="1" xfId="0" applyFont="1" applyFill="1" applyBorder="1" applyAlignment="1">
      <alignment horizontal="center" wrapText="1"/>
    </xf>
    <xf numFmtId="0" fontId="1" fillId="4" borderId="52" xfId="0" applyFont="1" applyFill="1" applyBorder="1" applyAlignment="1">
      <alignment horizontal="center" wrapText="1"/>
    </xf>
    <xf numFmtId="0" fontId="2" fillId="4" borderId="52" xfId="0" applyFont="1" applyFill="1" applyBorder="1" applyAlignment="1">
      <alignment horizontal="center" wrapText="1"/>
    </xf>
    <xf numFmtId="0" fontId="2" fillId="4" borderId="53" xfId="0" applyFont="1" applyFill="1" applyBorder="1" applyAlignment="1">
      <alignment horizontal="center" wrapText="1"/>
    </xf>
    <xf numFmtId="0" fontId="35" fillId="0" borderId="7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 vertical="center" wrapText="1"/>
    </xf>
    <xf numFmtId="0" fontId="35" fillId="0" borderId="8" xfId="0" applyFont="1" applyBorder="1" applyAlignment="1">
      <alignment horizontal="center" vertical="center" wrapText="1"/>
    </xf>
    <xf numFmtId="0" fontId="27" fillId="0" borderId="2" xfId="0" applyFont="1" applyBorder="1" applyAlignment="1">
      <alignment horizontal="center" vertical="center" wrapText="1"/>
    </xf>
    <xf numFmtId="0" fontId="27" fillId="0" borderId="3" xfId="0" applyFont="1" applyBorder="1" applyAlignment="1">
      <alignment horizontal="center" vertical="center" wrapText="1"/>
    </xf>
    <xf numFmtId="0" fontId="13" fillId="5" borderId="2" xfId="2" applyFont="1" applyFill="1" applyBorder="1" applyAlignment="1">
      <alignment horizontal="center" vertical="center"/>
    </xf>
    <xf numFmtId="0" fontId="13" fillId="5" borderId="3" xfId="2" applyFont="1" applyFill="1" applyBorder="1" applyAlignment="1">
      <alignment horizontal="center" vertical="center"/>
    </xf>
    <xf numFmtId="0" fontId="13" fillId="5" borderId="4" xfId="2" applyFont="1" applyFill="1" applyBorder="1" applyAlignment="1">
      <alignment horizontal="center" vertical="center"/>
    </xf>
    <xf numFmtId="0" fontId="20" fillId="5" borderId="2" xfId="2" applyFont="1" applyFill="1" applyBorder="1" applyAlignment="1">
      <alignment horizontal="center" vertical="center"/>
    </xf>
    <xf numFmtId="0" fontId="20" fillId="5" borderId="4" xfId="2" applyFont="1" applyFill="1" applyBorder="1" applyAlignment="1">
      <alignment horizontal="center" vertical="center"/>
    </xf>
    <xf numFmtId="0" fontId="20" fillId="5" borderId="5" xfId="2" applyFont="1" applyFill="1" applyBorder="1" applyAlignment="1">
      <alignment horizontal="center" vertical="center"/>
    </xf>
    <xf numFmtId="0" fontId="20" fillId="5" borderId="6" xfId="2" applyFont="1" applyFill="1" applyBorder="1" applyAlignment="1">
      <alignment horizontal="center" vertical="center"/>
    </xf>
    <xf numFmtId="0" fontId="20" fillId="5" borderId="7" xfId="2" applyFont="1" applyFill="1" applyBorder="1" applyAlignment="1">
      <alignment horizontal="center" vertical="center"/>
    </xf>
    <xf numFmtId="0" fontId="20" fillId="5" borderId="8" xfId="2" applyFont="1" applyFill="1" applyBorder="1" applyAlignment="1">
      <alignment horizontal="center" vertical="center"/>
    </xf>
    <xf numFmtId="0" fontId="19" fillId="0" borderId="5" xfId="2" applyFont="1" applyBorder="1" applyAlignment="1">
      <alignment horizontal="center" vertical="center" wrapText="1"/>
    </xf>
    <xf numFmtId="0" fontId="19" fillId="0" borderId="0" xfId="2" applyFont="1" applyAlignment="1">
      <alignment horizontal="center" vertical="center" wrapText="1"/>
    </xf>
    <xf numFmtId="167" fontId="10" fillId="6" borderId="45" xfId="1" quotePrefix="1" applyNumberFormat="1" applyFont="1" applyFill="1" applyBorder="1" applyAlignment="1" applyProtection="1">
      <alignment horizontal="center" vertical="center" wrapText="1"/>
      <protection locked="0"/>
    </xf>
    <xf numFmtId="167" fontId="10" fillId="6" borderId="43" xfId="1" applyNumberFormat="1" applyFont="1" applyFill="1" applyBorder="1" applyAlignment="1" applyProtection="1">
      <alignment horizontal="center" vertical="center" wrapText="1"/>
      <protection locked="0"/>
    </xf>
    <xf numFmtId="167" fontId="10" fillId="6" borderId="11" xfId="1" quotePrefix="1" applyNumberFormat="1" applyFont="1" applyFill="1" applyBorder="1" applyAlignment="1" applyProtection="1">
      <alignment horizontal="center" vertical="center" wrapText="1"/>
      <protection locked="0"/>
    </xf>
    <xf numFmtId="167" fontId="10" fillId="6" borderId="11" xfId="1" applyNumberFormat="1" applyFont="1" applyFill="1" applyBorder="1" applyAlignment="1" applyProtection="1">
      <alignment horizontal="center" vertical="center" wrapText="1"/>
      <protection locked="0"/>
    </xf>
    <xf numFmtId="167" fontId="10" fillId="6" borderId="11" xfId="1" quotePrefix="1" applyNumberFormat="1" applyFont="1" applyFill="1" applyBorder="1" applyAlignment="1" applyProtection="1">
      <alignment horizontal="center" vertical="center"/>
      <protection locked="0"/>
    </xf>
    <xf numFmtId="167" fontId="10" fillId="6" borderId="11" xfId="1" applyNumberFormat="1" applyFont="1" applyFill="1" applyBorder="1" applyAlignment="1" applyProtection="1">
      <alignment horizontal="center" vertical="center"/>
      <protection locked="0"/>
    </xf>
    <xf numFmtId="165" fontId="10" fillId="6" borderId="35" xfId="1" quotePrefix="1" applyNumberFormat="1" applyFont="1" applyFill="1" applyBorder="1" applyAlignment="1" applyProtection="1">
      <alignment horizontal="center" vertical="center" wrapText="1"/>
      <protection locked="0"/>
    </xf>
    <xf numFmtId="165" fontId="10" fillId="6" borderId="0" xfId="1" quotePrefix="1" applyNumberFormat="1" applyFont="1" applyFill="1" applyBorder="1" applyAlignment="1" applyProtection="1">
      <alignment horizontal="center" vertical="center" wrapText="1"/>
      <protection locked="0"/>
    </xf>
    <xf numFmtId="0" fontId="18" fillId="5" borderId="5" xfId="2" applyFont="1" applyFill="1" applyBorder="1" applyAlignment="1">
      <alignment horizontal="center"/>
    </xf>
    <xf numFmtId="0" fontId="18" fillId="5" borderId="46" xfId="0" applyFont="1" applyFill="1" applyBorder="1" applyAlignment="1">
      <alignment horizontal="center"/>
    </xf>
    <xf numFmtId="0" fontId="18" fillId="5" borderId="12" xfId="0" applyFont="1" applyFill="1" applyBorder="1" applyAlignment="1">
      <alignment horizontal="center"/>
    </xf>
    <xf numFmtId="0" fontId="18" fillId="5" borderId="42" xfId="0" applyFont="1" applyFill="1" applyBorder="1" applyAlignment="1">
      <alignment horizontal="center"/>
    </xf>
    <xf numFmtId="0" fontId="18" fillId="5" borderId="10" xfId="0" applyFont="1" applyFill="1" applyBorder="1" applyAlignment="1">
      <alignment horizontal="center"/>
    </xf>
    <xf numFmtId="49" fontId="18" fillId="5" borderId="17" xfId="0" applyNumberFormat="1" applyFont="1" applyFill="1" applyBorder="1" applyAlignment="1">
      <alignment horizontal="center"/>
    </xf>
    <xf numFmtId="49" fontId="18" fillId="5" borderId="12" xfId="0" applyNumberFormat="1" applyFont="1" applyFill="1" applyBorder="1" applyAlignment="1">
      <alignment horizontal="center"/>
    </xf>
    <xf numFmtId="49" fontId="18" fillId="5" borderId="38" xfId="0" applyNumberFormat="1" applyFont="1" applyFill="1" applyBorder="1" applyAlignment="1">
      <alignment horizontal="center"/>
    </xf>
    <xf numFmtId="0" fontId="24" fillId="4" borderId="2" xfId="0" applyFont="1" applyFill="1" applyBorder="1" applyAlignment="1" applyProtection="1">
      <alignment horizontal="center" vertical="center"/>
      <protection locked="0"/>
    </xf>
    <xf numFmtId="0" fontId="24" fillId="4" borderId="5" xfId="0" applyFont="1" applyFill="1" applyBorder="1" applyAlignment="1" applyProtection="1">
      <alignment horizontal="center" vertical="center"/>
      <protection locked="0"/>
    </xf>
    <xf numFmtId="0" fontId="32" fillId="5" borderId="3" xfId="0" applyFont="1" applyFill="1" applyBorder="1" applyAlignment="1">
      <alignment horizontal="center" vertical="center"/>
    </xf>
    <xf numFmtId="0" fontId="32" fillId="5" borderId="0" xfId="0" applyFont="1" applyFill="1" applyAlignment="1">
      <alignment horizontal="center" vertical="center"/>
    </xf>
    <xf numFmtId="0" fontId="24" fillId="4" borderId="22" xfId="0" applyFont="1" applyFill="1" applyBorder="1" applyAlignment="1" applyProtection="1">
      <alignment horizontal="center" vertical="center"/>
      <protection locked="0"/>
    </xf>
    <xf numFmtId="0" fontId="24" fillId="4" borderId="23" xfId="0" applyFont="1" applyFill="1" applyBorder="1" applyAlignment="1" applyProtection="1">
      <alignment horizontal="center" vertical="center"/>
      <protection locked="0"/>
    </xf>
    <xf numFmtId="0" fontId="16" fillId="7" borderId="34" xfId="0" applyFont="1" applyFill="1" applyBorder="1" applyAlignment="1">
      <alignment horizontal="center" vertical="center"/>
    </xf>
    <xf numFmtId="0" fontId="16" fillId="7" borderId="13" xfId="0" applyFont="1" applyFill="1" applyBorder="1" applyAlignment="1">
      <alignment horizontal="center" vertical="center"/>
    </xf>
    <xf numFmtId="0" fontId="1" fillId="0" borderId="7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2" fillId="4" borderId="49" xfId="0" applyFont="1" applyFill="1" applyBorder="1" applyAlignment="1">
      <alignment horizontal="center" wrapText="1"/>
    </xf>
    <xf numFmtId="0" fontId="2" fillId="4" borderId="40" xfId="0" applyFont="1" applyFill="1" applyBorder="1" applyAlignment="1">
      <alignment horizontal="center" wrapText="1"/>
    </xf>
    <xf numFmtId="0" fontId="2" fillId="4" borderId="50" xfId="0" applyFont="1" applyFill="1" applyBorder="1" applyAlignment="1">
      <alignment horizontal="center" wrapText="1"/>
    </xf>
  </cellXfs>
  <cellStyles count="6">
    <cellStyle name="Hyperlink" xfId="3" builtinId="8"/>
    <cellStyle name="Normal" xfId="0" builtinId="0"/>
    <cellStyle name="Normal 2" xfId="2" xr:uid="{7FEA7A88-46A5-B74B-AA81-FB3EC4CA90FA}"/>
    <cellStyle name="Normal 2 2" xfId="4" xr:uid="{177A10B9-3FF3-4AE9-AE6A-E6AE4733F053}"/>
    <cellStyle name="Normal 2 3" xfId="5" xr:uid="{2DBC21BF-F891-45A4-94E3-88675BF6B051}"/>
    <cellStyle name="Percent" xfId="1" builtinId="5"/>
  </cellStyles>
  <dxfs count="707"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4" formatCode="0.00%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</font>
    </dxf>
    <dxf>
      <font>
        <b val="0"/>
      </font>
      <fill>
        <patternFill patternType="solid">
          <fgColor indexed="64"/>
          <bgColor theme="4" tint="0.59999389629810485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FF40FF"/>
      <color rgb="FFFF85FF"/>
      <color rgb="FF954ECA"/>
      <color rgb="FF00BBFF"/>
      <color rgb="FFA162D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Relationship Id="rId30" Type="http://schemas.openxmlformats.org/officeDocument/2006/relationships/customXml" Target="../customXml/item2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growShrinkType="insertClear" adjustColumnWidth="0" connectionId="21" xr16:uid="{0F4EB717-A72E-F94E-B9AA-5CF44522ECAC}" autoFormatId="16" applyNumberFormats="0" applyBorderFormats="0" applyFontFormats="0" applyPatternFormats="0" applyAlignmentFormats="0" applyWidthHeightFormats="0">
  <queryTableRefresh nextId="29">
    <queryTableFields count="6">
      <queryTableField id="1" name="study_id" tableColumnId="1"/>
      <queryTableField id="24" name="study_type_description" tableColumnId="2"/>
      <queryTableField id="25" name="sort_order" tableColumnId="3"/>
      <queryTableField id="26" name="study_name" tableColumnId="4"/>
      <queryTableField id="27" name="study_acronym" tableColumnId="5"/>
      <queryTableField id="28" name="study_status" tableColumnId="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3" growShrinkType="overwriteClear" adjustColumnWidth="0" connectionId="6" xr16:uid="{E4497600-64AD-6442-9825-14882CB37E2C}" autoFormatId="16" applyNumberFormats="0" applyBorderFormats="0" applyFontFormats="0" applyPatternFormats="0" applyAlignmentFormats="0" applyWidthHeightFormats="0">
  <queryTableRefresh nextId="213">
    <queryTableFields count="22">
      <queryTableField id="2" name="ageband" tableColumnId="2"/>
      <queryTableField id="3" name="gradeband" tableColumnId="3"/>
      <queryTableField id="4" name="report" tableColumnId="4"/>
      <queryTableField id="176" name="1" tableColumnId="52"/>
      <queryTableField id="177" name="2" tableColumnId="53"/>
      <queryTableField id="178" name="3" tableColumnId="54"/>
      <queryTableField id="179" name="4" tableColumnId="55"/>
      <queryTableField id="180" name="5" tableColumnId="56"/>
      <queryTableField id="197" name="AS" tableColumnId="67"/>
      <queryTableField id="198" name="BL" tableColumnId="68"/>
      <queryTableField id="199" name="HI" tableColumnId="69"/>
      <queryTableField id="200" name="OT" tableColumnId="70"/>
      <queryTableField id="201" name="WH" tableColumnId="71"/>
      <queryTableField id="14" name="MW" tableColumnId="14"/>
      <queryTableField id="15" name="NE" tableColumnId="15"/>
      <queryTableField id="16" name="SO" tableColumnId="16"/>
      <queryTableField id="17" name="WE" tableColumnId="17"/>
      <queryTableField id="202" name="F" tableColumnId="72"/>
      <queryTableField id="203" name="M" tableColumnId="73"/>
      <queryTableField id="211" name="OTHER" tableColumnId="5"/>
      <queryTableField id="20" name="Total" tableColumnId="20"/>
      <queryTableField id="127" name="LastRefreshed" tableColumnId="1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3" growShrinkType="overwriteClear" adjustColumnWidth="0" connectionId="4" xr16:uid="{E7F9EDD6-E79E-44B2-A70A-EB7DDD2A8CEF}" autoFormatId="16" applyNumberFormats="0" applyBorderFormats="0" applyFontFormats="0" applyPatternFormats="0" applyAlignmentFormats="0" applyWidthHeightFormats="0">
  <queryTableRefresh nextId="151">
    <queryTableFields count="22">
      <queryTableField id="2" name="ageband" tableColumnId="2"/>
      <queryTableField id="3" name="gradeband" tableColumnId="3"/>
      <queryTableField id="4" name="report" tableColumnId="4"/>
      <queryTableField id="129" name="1" tableColumnId="5"/>
      <queryTableField id="130" name="2" tableColumnId="6"/>
      <queryTableField id="131" name="3" tableColumnId="7"/>
      <queryTableField id="132" name="4" tableColumnId="8"/>
      <queryTableField id="133" name="5" tableColumnId="9"/>
      <queryTableField id="134" name="AS" tableColumnId="10"/>
      <queryTableField id="135" name="BL" tableColumnId="11"/>
      <queryTableField id="136" name="HI" tableColumnId="12"/>
      <queryTableField id="137" name="OT" tableColumnId="13"/>
      <queryTableField id="138" name="WH" tableColumnId="18"/>
      <queryTableField id="14" name="MW" tableColumnId="14"/>
      <queryTableField id="15" name="NE" tableColumnId="15"/>
      <queryTableField id="16" name="SO" tableColumnId="16"/>
      <queryTableField id="17" name="WE" tableColumnId="17"/>
      <queryTableField id="119" name="F" tableColumnId="50"/>
      <queryTableField id="120" name="M" tableColumnId="51"/>
      <queryTableField id="149" name="OTHER" tableColumnId="19"/>
      <queryTableField id="20" name="Total" tableColumnId="20"/>
      <queryTableField id="72" name="LastRefreshed" tableColumnId="1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0" growShrinkType="overwriteClear" adjustColumnWidth="0" connectionId="5" xr16:uid="{6A72D58A-7941-4EDA-BED4-FAD3FA63FDC6}" autoFormatId="16" applyNumberFormats="0" applyBorderFormats="0" applyFontFormats="0" applyPatternFormats="0" applyAlignmentFormats="0" applyWidthHeightFormats="0">
  <queryTableRefresh nextId="213">
    <queryTableFields count="22">
      <queryTableField id="2" name="ageband" tableColumnId="2"/>
      <queryTableField id="3" name="gradeband" tableColumnId="3"/>
      <queryTableField id="4" name="report" tableColumnId="4"/>
      <queryTableField id="176" name="1" tableColumnId="52"/>
      <queryTableField id="177" name="2" tableColumnId="53"/>
      <queryTableField id="178" name="3" tableColumnId="54"/>
      <queryTableField id="179" name="4" tableColumnId="55"/>
      <queryTableField id="180" name="5" tableColumnId="56"/>
      <queryTableField id="197" name="AS" tableColumnId="67"/>
      <queryTableField id="198" name="BL" tableColumnId="68"/>
      <queryTableField id="199" name="HI" tableColumnId="69"/>
      <queryTableField id="200" name="OT" tableColumnId="70"/>
      <queryTableField id="201" name="WH" tableColumnId="71"/>
      <queryTableField id="14" name="MW" tableColumnId="14"/>
      <queryTableField id="15" name="NE" tableColumnId="15"/>
      <queryTableField id="16" name="SO" tableColumnId="16"/>
      <queryTableField id="17" name="WE" tableColumnId="17"/>
      <queryTableField id="202" name="F" tableColumnId="72"/>
      <queryTableField id="203" name="M" tableColumnId="73"/>
      <queryTableField id="211" name="OTHER" tableColumnId="5"/>
      <queryTableField id="20" name="Total" tableColumnId="20"/>
      <queryTableField id="127" name="LastRefreshed" tableColumnId="1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5" growShrinkType="overwriteClear" adjustColumnWidth="0" connectionId="8" xr16:uid="{0301F7E2-07EC-4D63-892F-328E67AA3C3A}" autoFormatId="16" applyNumberFormats="0" applyBorderFormats="0" applyFontFormats="0" applyPatternFormats="0" applyAlignmentFormats="0" applyWidthHeightFormats="0">
  <queryTableRefresh nextId="213">
    <queryTableFields count="22">
      <queryTableField id="2" name="ageband" tableColumnId="2"/>
      <queryTableField id="3" name="gradeband" tableColumnId="3"/>
      <queryTableField id="4" name="report" tableColumnId="4"/>
      <queryTableField id="176" name="1" tableColumnId="52"/>
      <queryTableField id="177" name="2" tableColumnId="53"/>
      <queryTableField id="178" name="3" tableColumnId="54"/>
      <queryTableField id="179" name="4" tableColumnId="55"/>
      <queryTableField id="180" name="5" tableColumnId="56"/>
      <queryTableField id="197" name="AS" tableColumnId="67"/>
      <queryTableField id="198" name="BL" tableColumnId="68"/>
      <queryTableField id="199" name="HI" tableColumnId="69"/>
      <queryTableField id="200" name="OT" tableColumnId="70"/>
      <queryTableField id="201" name="WH" tableColumnId="71"/>
      <queryTableField id="14" name="MW" tableColumnId="14"/>
      <queryTableField id="15" name="NE" tableColumnId="15"/>
      <queryTableField id="16" name="SO" tableColumnId="16"/>
      <queryTableField id="17" name="WE" tableColumnId="17"/>
      <queryTableField id="202" name="F" tableColumnId="72"/>
      <queryTableField id="203" name="M" tableColumnId="73"/>
      <queryTableField id="211" name="OTHER" tableColumnId="5"/>
      <queryTableField id="20" name="Total" tableColumnId="20"/>
      <queryTableField id="127" name="LastRefreshed" tableColumnId="1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4" growShrinkType="overwriteClear" adjustColumnWidth="0" connectionId="3" xr16:uid="{A018E00A-E03D-4172-8FAA-E1CFC56EF462}" autoFormatId="16" applyNumberFormats="0" applyBorderFormats="0" applyFontFormats="0" applyPatternFormats="0" applyAlignmentFormats="0" applyWidthHeightFormats="0">
  <queryTableRefresh nextId="213">
    <queryTableFields count="22">
      <queryTableField id="2" name="ageband" tableColumnId="2"/>
      <queryTableField id="3" name="gradeband" tableColumnId="3"/>
      <queryTableField id="4" name="report" tableColumnId="4"/>
      <queryTableField id="176" name="1" tableColumnId="52"/>
      <queryTableField id="177" name="2" tableColumnId="53"/>
      <queryTableField id="178" name="3" tableColumnId="54"/>
      <queryTableField id="179" name="4" tableColumnId="55"/>
      <queryTableField id="180" name="5" tableColumnId="56"/>
      <queryTableField id="197" name="AS" tableColumnId="67"/>
      <queryTableField id="198" name="BL" tableColumnId="68"/>
      <queryTableField id="199" name="HI" tableColumnId="69"/>
      <queryTableField id="200" name="OT" tableColumnId="70"/>
      <queryTableField id="201" name="WH" tableColumnId="71"/>
      <queryTableField id="14" name="MW" tableColumnId="14"/>
      <queryTableField id="15" name="NE" tableColumnId="15"/>
      <queryTableField id="16" name="SO" tableColumnId="16"/>
      <queryTableField id="17" name="WE" tableColumnId="17"/>
      <queryTableField id="202" name="F" tableColumnId="72"/>
      <queryTableField id="203" name="M" tableColumnId="73"/>
      <queryTableField id="211" name="OTHER" tableColumnId="5"/>
      <queryTableField id="20" name="Total" tableColumnId="20"/>
      <queryTableField id="127" name="LastRefreshed" tableColumnId="1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02" growShrinkType="overwriteClear" adjustColumnWidth="0" connectionId="7" xr16:uid="{4D15DB80-A622-4337-A03F-5024B1F00AEC}" autoFormatId="16" applyNumberFormats="0" applyBorderFormats="0" applyFontFormats="0" applyPatternFormats="0" applyAlignmentFormats="0" applyWidthHeightFormats="0">
  <queryTableRefresh nextId="213">
    <queryTableFields count="22">
      <queryTableField id="2" name="ageband" tableColumnId="2"/>
      <queryTableField id="3" name="gradeband" tableColumnId="3"/>
      <queryTableField id="4" name="report" tableColumnId="4"/>
      <queryTableField id="176" name="1" tableColumnId="52"/>
      <queryTableField id="177" name="2" tableColumnId="53"/>
      <queryTableField id="178" name="3" tableColumnId="54"/>
      <queryTableField id="179" name="4" tableColumnId="55"/>
      <queryTableField id="180" name="5" tableColumnId="56"/>
      <queryTableField id="197" name="AS" tableColumnId="67"/>
      <queryTableField id="198" name="BL" tableColumnId="68"/>
      <queryTableField id="199" name="HI" tableColumnId="69"/>
      <queryTableField id="200" name="OT" tableColumnId="70"/>
      <queryTableField id="201" name="WH" tableColumnId="71"/>
      <queryTableField id="14" name="MW" tableColumnId="14"/>
      <queryTableField id="15" name="NE" tableColumnId="15"/>
      <queryTableField id="16" name="SO" tableColumnId="16"/>
      <queryTableField id="17" name="WE" tableColumnId="17"/>
      <queryTableField id="202" name="F" tableColumnId="72"/>
      <queryTableField id="203" name="M" tableColumnId="73"/>
      <queryTableField id="211" name="OTHER" tableColumnId="5"/>
      <queryTableField id="20" name="Total" tableColumnId="20"/>
      <queryTableField id="127" name="LastRefreshed" tableColumnId="1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05" growShrinkType="overwriteClear" adjustColumnWidth="0" connectionId="12" xr16:uid="{B73B657C-5195-41DB-9DAE-90B33051353E}" autoFormatId="16" applyNumberFormats="0" applyBorderFormats="0" applyFontFormats="0" applyPatternFormats="0" applyAlignmentFormats="0" applyWidthHeightFormats="0">
  <queryTableRefresh nextId="213">
    <queryTableFields count="22">
      <queryTableField id="2" name="ageband" tableColumnId="2"/>
      <queryTableField id="3" name="gradeband" tableColumnId="3"/>
      <queryTableField id="4" name="report" tableColumnId="4"/>
      <queryTableField id="176" name="1" tableColumnId="52"/>
      <queryTableField id="177" name="2" tableColumnId="53"/>
      <queryTableField id="178" name="3" tableColumnId="54"/>
      <queryTableField id="179" name="4" tableColumnId="55"/>
      <queryTableField id="180" name="5" tableColumnId="56"/>
      <queryTableField id="197" name="AS" tableColumnId="67"/>
      <queryTableField id="198" name="BL" tableColumnId="68"/>
      <queryTableField id="199" name="HI" tableColumnId="69"/>
      <queryTableField id="200" name="OT" tableColumnId="70"/>
      <queryTableField id="201" name="WH" tableColumnId="71"/>
      <queryTableField id="14" name="MW" tableColumnId="14"/>
      <queryTableField id="15" name="NE" tableColumnId="15"/>
      <queryTableField id="16" name="SO" tableColumnId="16"/>
      <queryTableField id="17" name="WE" tableColumnId="17"/>
      <queryTableField id="202" name="F" tableColumnId="72"/>
      <queryTableField id="203" name="M" tableColumnId="73"/>
      <queryTableField id="211" name="OTHER" tableColumnId="5"/>
      <queryTableField id="20" name="Total" tableColumnId="20"/>
      <queryTableField id="127" name="LastRefreshed" tableColumnId="1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06" growShrinkType="overwriteClear" adjustColumnWidth="0" connectionId="17" xr16:uid="{FE8BCB3A-5AB8-49AD-92D3-C60B05D2DB2A}" autoFormatId="16" applyNumberFormats="0" applyBorderFormats="0" applyFontFormats="0" applyPatternFormats="0" applyAlignmentFormats="0" applyWidthHeightFormats="0">
  <queryTableRefresh nextId="213">
    <queryTableFields count="22">
      <queryTableField id="2" name="ageband" tableColumnId="2"/>
      <queryTableField id="3" name="gradeband" tableColumnId="3"/>
      <queryTableField id="4" name="report" tableColumnId="4"/>
      <queryTableField id="176" name="1" tableColumnId="52"/>
      <queryTableField id="177" name="2" tableColumnId="53"/>
      <queryTableField id="178" name="3" tableColumnId="54"/>
      <queryTableField id="179" name="4" tableColumnId="55"/>
      <queryTableField id="180" name="5" tableColumnId="56"/>
      <queryTableField id="197" name="AS" tableColumnId="67"/>
      <queryTableField id="198" name="BL" tableColumnId="68"/>
      <queryTableField id="199" name="HI" tableColumnId="69"/>
      <queryTableField id="200" name="OT" tableColumnId="70"/>
      <queryTableField id="201" name="WH" tableColumnId="71"/>
      <queryTableField id="14" name="MW" tableColumnId="14"/>
      <queryTableField id="15" name="NE" tableColumnId="15"/>
      <queryTableField id="16" name="SO" tableColumnId="16"/>
      <queryTableField id="17" name="WE" tableColumnId="17"/>
      <queryTableField id="202" name="F" tableColumnId="72"/>
      <queryTableField id="203" name="M" tableColumnId="73"/>
      <queryTableField id="211" name="OTHER" tableColumnId="5"/>
      <queryTableField id="20" name="Total" tableColumnId="20"/>
      <queryTableField id="127" name="LastRefreshed" tableColumnId="1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08" growShrinkType="overwriteClear" adjustColumnWidth="0" connectionId="10" xr16:uid="{DD7B51E4-5806-4659-94C3-75A7EE302366}" autoFormatId="16" applyNumberFormats="0" applyBorderFormats="0" applyFontFormats="0" applyPatternFormats="0" applyAlignmentFormats="0" applyWidthHeightFormats="0">
  <queryTableRefresh nextId="213">
    <queryTableFields count="22">
      <queryTableField id="2" name="ageband" tableColumnId="2"/>
      <queryTableField id="3" name="gradeband" tableColumnId="3"/>
      <queryTableField id="4" name="report" tableColumnId="4"/>
      <queryTableField id="176" name="1" tableColumnId="52"/>
      <queryTableField id="177" name="2" tableColumnId="53"/>
      <queryTableField id="178" name="3" tableColumnId="54"/>
      <queryTableField id="179" name="4" tableColumnId="55"/>
      <queryTableField id="180" name="5" tableColumnId="56"/>
      <queryTableField id="197" name="AS" tableColumnId="67"/>
      <queryTableField id="198" name="BL" tableColumnId="68"/>
      <queryTableField id="199" name="HI" tableColumnId="69"/>
      <queryTableField id="200" name="OT" tableColumnId="70"/>
      <queryTableField id="201" name="WH" tableColumnId="71"/>
      <queryTableField id="14" name="MW" tableColumnId="14"/>
      <queryTableField id="15" name="NE" tableColumnId="15"/>
      <queryTableField id="16" name="SO" tableColumnId="16"/>
      <queryTableField id="17" name="WE" tableColumnId="17"/>
      <queryTableField id="202" name="F" tableColumnId="72"/>
      <queryTableField id="203" name="M" tableColumnId="73"/>
      <queryTableField id="211" name="OTHER" tableColumnId="5"/>
      <queryTableField id="20" name="Total" tableColumnId="20"/>
      <queryTableField id="127" name="LastRefreshed" tableColumnId="1"/>
    </queryTable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09" growShrinkType="overwriteClear" adjustColumnWidth="0" connectionId="9" xr16:uid="{60DADE29-1453-4A09-BAE3-11AF6141F2C2}" autoFormatId="16" applyNumberFormats="0" applyBorderFormats="0" applyFontFormats="0" applyPatternFormats="0" applyAlignmentFormats="0" applyWidthHeightFormats="0">
  <queryTableRefresh nextId="213">
    <queryTableFields count="22">
      <queryTableField id="2" name="ageband" tableColumnId="2"/>
      <queryTableField id="3" name="gradeband" tableColumnId="3"/>
      <queryTableField id="4" name="report" tableColumnId="4"/>
      <queryTableField id="176" name="1" tableColumnId="52"/>
      <queryTableField id="177" name="2" tableColumnId="53"/>
      <queryTableField id="178" name="3" tableColumnId="54"/>
      <queryTableField id="179" name="4" tableColumnId="55"/>
      <queryTableField id="180" name="5" tableColumnId="56"/>
      <queryTableField id="197" name="AS" tableColumnId="67"/>
      <queryTableField id="198" name="BL" tableColumnId="68"/>
      <queryTableField id="199" name="HI" tableColumnId="69"/>
      <queryTableField id="200" name="OT" tableColumnId="70"/>
      <queryTableField id="201" name="WH" tableColumnId="71"/>
      <queryTableField id="14" name="MW" tableColumnId="14"/>
      <queryTableField id="15" name="NE" tableColumnId="15"/>
      <queryTableField id="16" name="SO" tableColumnId="16"/>
      <queryTableField id="17" name="WE" tableColumnId="17"/>
      <queryTableField id="202" name="F" tableColumnId="72"/>
      <queryTableField id="203" name="M" tableColumnId="73"/>
      <queryTableField id="211" name="OTHER" tableColumnId="5"/>
      <queryTableField id="20" name="Total" tableColumnId="20"/>
      <queryTableField id="127" name="LastRefreshed" tableColumnId="1"/>
    </queryTableFields>
  </queryTableRefresh>
</queryTable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11" growShrinkType="overwriteClear" adjustColumnWidth="0" connectionId="14" xr16:uid="{5A59CE51-5729-46BE-9907-488133A58B5D}" autoFormatId="16" applyNumberFormats="0" applyBorderFormats="0" applyFontFormats="0" applyPatternFormats="0" applyAlignmentFormats="0" applyWidthHeightFormats="0">
  <queryTableRefresh nextId="213">
    <queryTableFields count="22">
      <queryTableField id="2" name="ageband" tableColumnId="2"/>
      <queryTableField id="3" name="gradeband" tableColumnId="3"/>
      <queryTableField id="4" name="report" tableColumnId="4"/>
      <queryTableField id="176" name="1" tableColumnId="52"/>
      <queryTableField id="177" name="2" tableColumnId="53"/>
      <queryTableField id="178" name="3" tableColumnId="54"/>
      <queryTableField id="179" name="4" tableColumnId="55"/>
      <queryTableField id="180" name="5" tableColumnId="56"/>
      <queryTableField id="197" name="AS" tableColumnId="67"/>
      <queryTableField id="198" name="BL" tableColumnId="68"/>
      <queryTableField id="199" name="HI" tableColumnId="69"/>
      <queryTableField id="200" name="OT" tableColumnId="70"/>
      <queryTableField id="201" name="WH" tableColumnId="71"/>
      <queryTableField id="14" name="MW" tableColumnId="14"/>
      <queryTableField id="15" name="NE" tableColumnId="15"/>
      <queryTableField id="16" name="SO" tableColumnId="16"/>
      <queryTableField id="17" name="WE" tableColumnId="17"/>
      <queryTableField id="202" name="F" tableColumnId="72"/>
      <queryTableField id="203" name="M" tableColumnId="73"/>
      <queryTableField id="211" name="OTHER" tableColumnId="5"/>
      <queryTableField id="20" name="Total" tableColumnId="20"/>
      <queryTableField id="127" name="LastRefreshed" tableColumnId="1"/>
    </queryTableFields>
  </queryTableRefresh>
</queryTable>
</file>

<file path=xl/queryTables/queryTable1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12" growShrinkType="overwriteClear" adjustColumnWidth="0" connectionId="13" xr16:uid="{96640F60-F508-4B7B-BD49-1E9BFB3A5FC7}" autoFormatId="16" applyNumberFormats="0" applyBorderFormats="0" applyFontFormats="0" applyPatternFormats="0" applyAlignmentFormats="0" applyWidthHeightFormats="0">
  <queryTableRefresh nextId="213">
    <queryTableFields count="22">
      <queryTableField id="2" name="ageband" tableColumnId="2"/>
      <queryTableField id="3" name="gradeband" tableColumnId="3"/>
      <queryTableField id="4" name="report" tableColumnId="4"/>
      <queryTableField id="176" name="1" tableColumnId="52"/>
      <queryTableField id="177" name="2" tableColumnId="53"/>
      <queryTableField id="178" name="3" tableColumnId="54"/>
      <queryTableField id="179" name="4" tableColumnId="55"/>
      <queryTableField id="180" name="5" tableColumnId="56"/>
      <queryTableField id="197" name="AS" tableColumnId="67"/>
      <queryTableField id="198" name="BL" tableColumnId="68"/>
      <queryTableField id="199" name="HI" tableColumnId="69"/>
      <queryTableField id="200" name="OT" tableColumnId="70"/>
      <queryTableField id="201" name="WH" tableColumnId="71"/>
      <queryTableField id="14" name="MW" tableColumnId="14"/>
      <queryTableField id="15" name="NE" tableColumnId="15"/>
      <queryTableField id="16" name="SO" tableColumnId="16"/>
      <queryTableField id="17" name="WE" tableColumnId="17"/>
      <queryTableField id="202" name="F" tableColumnId="72"/>
      <queryTableField id="203" name="M" tableColumnId="73"/>
      <queryTableField id="211" name="OTHER" tableColumnId="5"/>
      <queryTableField id="20" name="Total" tableColumnId="20"/>
      <queryTableField id="127" name="LastRefreshed" tableColumnId="1"/>
    </queryTableFields>
  </queryTableRefresh>
</queryTable>
</file>

<file path=xl/queryTables/queryTable1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13" growShrinkType="overwriteClear" adjustColumnWidth="0" connectionId="11" xr16:uid="{B1161BE5-234A-407F-B1B8-1E6F907D0883}" autoFormatId="16" applyNumberFormats="0" applyBorderFormats="0" applyFontFormats="0" applyPatternFormats="0" applyAlignmentFormats="0" applyWidthHeightFormats="0">
  <queryTableRefresh nextId="213">
    <queryTableFields count="22">
      <queryTableField id="2" name="ageband" tableColumnId="2"/>
      <queryTableField id="3" name="gradeband" tableColumnId="3"/>
      <queryTableField id="4" name="report" tableColumnId="4"/>
      <queryTableField id="176" name="1" tableColumnId="52"/>
      <queryTableField id="177" name="2" tableColumnId="53"/>
      <queryTableField id="178" name="3" tableColumnId="54"/>
      <queryTableField id="179" name="4" tableColumnId="55"/>
      <queryTableField id="180" name="5" tableColumnId="56"/>
      <queryTableField id="197" name="AS" tableColumnId="67"/>
      <queryTableField id="198" name="BL" tableColumnId="68"/>
      <queryTableField id="199" name="HI" tableColumnId="69"/>
      <queryTableField id="200" name="OT" tableColumnId="70"/>
      <queryTableField id="201" name="WH" tableColumnId="71"/>
      <queryTableField id="14" name="MW" tableColumnId="14"/>
      <queryTableField id="15" name="NE" tableColumnId="15"/>
      <queryTableField id="16" name="SO" tableColumnId="16"/>
      <queryTableField id="17" name="WE" tableColumnId="17"/>
      <queryTableField id="202" name="F" tableColumnId="72"/>
      <queryTableField id="203" name="M" tableColumnId="73"/>
      <queryTableField id="211" name="OTHER" tableColumnId="5"/>
      <queryTableField id="20" name="Total" tableColumnId="20"/>
      <queryTableField id="127" name="LastRefreshed" tableColumnId="1"/>
    </queryTableFields>
  </queryTableRefresh>
</queryTable>
</file>

<file path=xl/queryTables/queryTable1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14" growShrinkType="overwriteClear" adjustColumnWidth="0" connectionId="18" xr16:uid="{5FFE0FA3-2FF6-4103-95E5-87A63F9F2CE8}" autoFormatId="16" applyNumberFormats="0" applyBorderFormats="0" applyFontFormats="0" applyPatternFormats="0" applyAlignmentFormats="0" applyWidthHeightFormats="0">
  <queryTableRefresh nextId="213">
    <queryTableFields count="22">
      <queryTableField id="2" name="ageband" tableColumnId="2"/>
      <queryTableField id="3" name="gradeband" tableColumnId="3"/>
      <queryTableField id="4" name="report" tableColumnId="4"/>
      <queryTableField id="176" name="1" tableColumnId="52"/>
      <queryTableField id="177" name="2" tableColumnId="53"/>
      <queryTableField id="178" name="3" tableColumnId="54"/>
      <queryTableField id="179" name="4" tableColumnId="55"/>
      <queryTableField id="180" name="5" tableColumnId="56"/>
      <queryTableField id="197" name="AS" tableColumnId="67"/>
      <queryTableField id="198" name="BL" tableColumnId="68"/>
      <queryTableField id="199" name="HI" tableColumnId="69"/>
      <queryTableField id="200" name="OT" tableColumnId="70"/>
      <queryTableField id="201" name="WH" tableColumnId="71"/>
      <queryTableField id="14" name="MW" tableColumnId="14"/>
      <queryTableField id="15" name="NE" tableColumnId="15"/>
      <queryTableField id="16" name="SO" tableColumnId="16"/>
      <queryTableField id="17" name="WE" tableColumnId="17"/>
      <queryTableField id="202" name="F" tableColumnId="72"/>
      <queryTableField id="203" name="M" tableColumnId="73"/>
      <queryTableField id="211" name="OTHER" tableColumnId="5"/>
      <queryTableField id="20" name="Total" tableColumnId="20"/>
      <queryTableField id="127" name="LastRefreshed" tableColumnId="1"/>
    </queryTableFields>
  </queryTableRefresh>
</queryTable>
</file>

<file path=xl/queryTables/queryTable1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15" growShrinkType="overwriteClear" adjustColumnWidth="0" connectionId="16" xr16:uid="{68950465-7B11-42A4-A632-358C6015FCF5}" autoFormatId="16" applyNumberFormats="0" applyBorderFormats="0" applyFontFormats="0" applyPatternFormats="0" applyAlignmentFormats="0" applyWidthHeightFormats="0">
  <queryTableRefresh nextId="213">
    <queryTableFields count="22">
      <queryTableField id="2" name="ageband" tableColumnId="2"/>
      <queryTableField id="3" name="gradeband" tableColumnId="3"/>
      <queryTableField id="4" name="report" tableColumnId="4"/>
      <queryTableField id="176" name="1" tableColumnId="52"/>
      <queryTableField id="177" name="2" tableColumnId="53"/>
      <queryTableField id="178" name="3" tableColumnId="54"/>
      <queryTableField id="179" name="4" tableColumnId="55"/>
      <queryTableField id="180" name="5" tableColumnId="56"/>
      <queryTableField id="197" name="AS" tableColumnId="67"/>
      <queryTableField id="198" name="BL" tableColumnId="68"/>
      <queryTableField id="199" name="HI" tableColumnId="69"/>
      <queryTableField id="200" name="OT" tableColumnId="70"/>
      <queryTableField id="201" name="WH" tableColumnId="71"/>
      <queryTableField id="14" name="MW" tableColumnId="14"/>
      <queryTableField id="15" name="NE" tableColumnId="15"/>
      <queryTableField id="16" name="SO" tableColumnId="16"/>
      <queryTableField id="17" name="WE" tableColumnId="17"/>
      <queryTableField id="202" name="F" tableColumnId="72"/>
      <queryTableField id="203" name="M" tableColumnId="73"/>
      <queryTableField id="211" name="OTHER" tableColumnId="5"/>
      <queryTableField id="20" name="Total" tableColumnId="20"/>
      <queryTableField id="127" name="LastRefreshed" tableColumnId="1"/>
    </queryTableFields>
  </queryTableRefresh>
</queryTable>
</file>

<file path=xl/queryTables/queryTable1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16" growShrinkType="overwriteClear" adjustColumnWidth="0" connectionId="15" xr16:uid="{C9AF2B71-64A5-4537-B50A-116200B26B12}" autoFormatId="16" applyNumberFormats="0" applyBorderFormats="0" applyFontFormats="0" applyPatternFormats="0" applyAlignmentFormats="0" applyWidthHeightFormats="0">
  <queryTableRefresh nextId="213">
    <queryTableFields count="22">
      <queryTableField id="2" name="ageband" tableColumnId="2"/>
      <queryTableField id="3" name="gradeband" tableColumnId="3"/>
      <queryTableField id="4" name="report" tableColumnId="4"/>
      <queryTableField id="176" name="1" tableColumnId="52"/>
      <queryTableField id="177" name="2" tableColumnId="53"/>
      <queryTableField id="178" name="3" tableColumnId="54"/>
      <queryTableField id="179" name="4" tableColumnId="55"/>
      <queryTableField id="180" name="5" tableColumnId="56"/>
      <queryTableField id="197" name="AS" tableColumnId="67"/>
      <queryTableField id="198" name="BL" tableColumnId="68"/>
      <queryTableField id="199" name="HI" tableColumnId="69"/>
      <queryTableField id="200" name="OT" tableColumnId="70"/>
      <queryTableField id="201" name="WH" tableColumnId="71"/>
      <queryTableField id="14" name="MW" tableColumnId="14"/>
      <queryTableField id="15" name="NE" tableColumnId="15"/>
      <queryTableField id="16" name="SO" tableColumnId="16"/>
      <queryTableField id="17" name="WE" tableColumnId="17"/>
      <queryTableField id="202" name="F" tableColumnId="72"/>
      <queryTableField id="203" name="M" tableColumnId="73"/>
      <queryTableField id="211" name="OTHER" tableColumnId="5"/>
      <queryTableField id="20" name="Total" tableColumnId="20"/>
      <queryTableField id="127" name="LastRefreshed" tableColumnId="1"/>
    </queryTableFields>
  </queryTableRefresh>
</queryTable>
</file>

<file path=xl/queryTables/queryTable1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17" growShrinkType="overwriteClear" adjustColumnWidth="0" connectionId="20" xr16:uid="{DA63DE73-0F36-42F7-A3B5-80D59BA01A21}" autoFormatId="16" applyNumberFormats="0" applyBorderFormats="0" applyFontFormats="0" applyPatternFormats="0" applyAlignmentFormats="0" applyWidthHeightFormats="0">
  <queryTableRefresh nextId="213">
    <queryTableFields count="22">
      <queryTableField id="2" name="ageband" tableColumnId="2"/>
      <queryTableField id="3" name="gradeband" tableColumnId="3"/>
      <queryTableField id="4" name="report" tableColumnId="4"/>
      <queryTableField id="176" name="1" tableColumnId="52"/>
      <queryTableField id="177" name="2" tableColumnId="53"/>
      <queryTableField id="178" name="3" tableColumnId="54"/>
      <queryTableField id="179" name="4" tableColumnId="55"/>
      <queryTableField id="180" name="5" tableColumnId="56"/>
      <queryTableField id="197" name="AS" tableColumnId="67"/>
      <queryTableField id="198" name="BL" tableColumnId="68"/>
      <queryTableField id="199" name="HI" tableColumnId="69"/>
      <queryTableField id="200" name="OT" tableColumnId="70"/>
      <queryTableField id="201" name="WH" tableColumnId="71"/>
      <queryTableField id="14" name="MW" tableColumnId="14"/>
      <queryTableField id="15" name="NE" tableColumnId="15"/>
      <queryTableField id="16" name="SO" tableColumnId="16"/>
      <queryTableField id="17" name="WE" tableColumnId="17"/>
      <queryTableField id="202" name="F" tableColumnId="72"/>
      <queryTableField id="203" name="M" tableColumnId="73"/>
      <queryTableField id="211" name="OTHER" tableColumnId="5"/>
      <queryTableField id="20" name="Total" tableColumnId="20"/>
      <queryTableField id="127" name="LastRefreshed" tableColumnId="1"/>
    </queryTableFields>
  </queryTableRefresh>
</queryTable>
</file>

<file path=xl/queryTables/queryTable1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18" growShrinkType="overwriteClear" adjustColumnWidth="0" connectionId="19" xr16:uid="{3FEC5649-ED59-4380-A16D-6FCAA213DA39}" autoFormatId="16" applyNumberFormats="0" applyBorderFormats="0" applyFontFormats="0" applyPatternFormats="0" applyAlignmentFormats="0" applyWidthHeightFormats="0">
  <queryTableRefresh nextId="213">
    <queryTableFields count="22">
      <queryTableField id="2" name="ageband" tableColumnId="2"/>
      <queryTableField id="3" name="gradeband" tableColumnId="3"/>
      <queryTableField id="4" name="report" tableColumnId="4"/>
      <queryTableField id="176" name="1" tableColumnId="52"/>
      <queryTableField id="177" name="2" tableColumnId="53"/>
      <queryTableField id="178" name="3" tableColumnId="54"/>
      <queryTableField id="179" name="4" tableColumnId="55"/>
      <queryTableField id="180" name="5" tableColumnId="56"/>
      <queryTableField id="197" name="AS" tableColumnId="67"/>
      <queryTableField id="198" name="BL" tableColumnId="68"/>
      <queryTableField id="199" name="HI" tableColumnId="69"/>
      <queryTableField id="200" name="OT" tableColumnId="70"/>
      <queryTableField id="201" name="WH" tableColumnId="71"/>
      <queryTableField id="14" name="MW" tableColumnId="14"/>
      <queryTableField id="15" name="NE" tableColumnId="15"/>
      <queryTableField id="16" name="SO" tableColumnId="16"/>
      <queryTableField id="17" name="WE" tableColumnId="17"/>
      <queryTableField id="202" name="F" tableColumnId="72"/>
      <queryTableField id="203" name="M" tableColumnId="73"/>
      <queryTableField id="211" name="OTHER" tableColumnId="5"/>
      <queryTableField id="20" name="Total" tableColumnId="20"/>
      <queryTableField id="127" name="LastRefreshed" tableColumnId="1"/>
    </queryTableFields>
  </queryTableRefresh>
</queryTable>
</file>

<file path=xl/queryTables/queryTable2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20" growShrinkType="overwriteClear" adjustColumnWidth="0" connectionId="2" xr16:uid="{EE463159-1474-4880-BDAD-8B7A53596A6F}" autoFormatId="16" applyNumberFormats="0" applyBorderFormats="0" applyFontFormats="0" applyPatternFormats="0" applyAlignmentFormats="0" applyWidthHeightFormats="0">
  <queryTableRefresh nextId="213">
    <queryTableFields count="22">
      <queryTableField id="2" name="ageband" tableColumnId="2"/>
      <queryTableField id="3" name="gradeband" tableColumnId="3"/>
      <queryTableField id="4" name="report" tableColumnId="4"/>
      <queryTableField id="176" name="1" tableColumnId="52"/>
      <queryTableField id="177" name="2" tableColumnId="53"/>
      <queryTableField id="178" name="3" tableColumnId="54"/>
      <queryTableField id="179" name="4" tableColumnId="55"/>
      <queryTableField id="180" name="5" tableColumnId="56"/>
      <queryTableField id="197" name="AS" tableColumnId="67"/>
      <queryTableField id="198" name="BL" tableColumnId="68"/>
      <queryTableField id="199" name="HI" tableColumnId="69"/>
      <queryTableField id="200" name="OT" tableColumnId="70"/>
      <queryTableField id="201" name="WH" tableColumnId="71"/>
      <queryTableField id="14" name="MW" tableColumnId="14"/>
      <queryTableField id="15" name="NE" tableColumnId="15"/>
      <queryTableField id="16" name="SO" tableColumnId="16"/>
      <queryTableField id="17" name="WE" tableColumnId="17"/>
      <queryTableField id="202" name="F" tableColumnId="72"/>
      <queryTableField id="203" name="M" tableColumnId="73"/>
      <queryTableField id="211" name="OTHER" tableColumnId="5"/>
      <queryTableField id="20" name="Total" tableColumnId="20"/>
      <queryTableField id="127" name="LastRefreshed" tableColumnId="1"/>
    </queryTableFields>
  </queryTableRefresh>
</queryTable>
</file>

<file path=xl/queryTables/queryTable2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21" growShrinkType="overwriteClear" adjustColumnWidth="0" connectionId="1" xr16:uid="{69E46BB5-84C9-4B65-9050-D2129B25DFA3}" autoFormatId="16" applyNumberFormats="0" applyBorderFormats="0" applyFontFormats="0" applyPatternFormats="0" applyAlignmentFormats="0" applyWidthHeightFormats="0">
  <queryTableRefresh nextId="213">
    <queryTableFields count="22">
      <queryTableField id="2" name="ageband" tableColumnId="2"/>
      <queryTableField id="3" name="gradeband" tableColumnId="3"/>
      <queryTableField id="4" name="report" tableColumnId="4"/>
      <queryTableField id="176" name="1" tableColumnId="52"/>
      <queryTableField id="177" name="2" tableColumnId="53"/>
      <queryTableField id="178" name="3" tableColumnId="54"/>
      <queryTableField id="179" name="4" tableColumnId="55"/>
      <queryTableField id="180" name="5" tableColumnId="56"/>
      <queryTableField id="197" name="AS" tableColumnId="67"/>
      <queryTableField id="198" name="BL" tableColumnId="68"/>
      <queryTableField id="199" name="HI" tableColumnId="69"/>
      <queryTableField id="200" name="OT" tableColumnId="70"/>
      <queryTableField id="201" name="WH" tableColumnId="71"/>
      <queryTableField id="14" name="MW" tableColumnId="14"/>
      <queryTableField id="15" name="NE" tableColumnId="15"/>
      <queryTableField id="16" name="SO" tableColumnId="16"/>
      <queryTableField id="17" name="WE" tableColumnId="17"/>
      <queryTableField id="202" name="F" tableColumnId="72"/>
      <queryTableField id="203" name="M" tableColumnId="73"/>
      <queryTableField id="211" name="OTHER" tableColumnId="5"/>
      <queryTableField id="20" name="Total" tableColumnId="20"/>
      <queryTableField id="127" name="LastRefreshed" tableColumnId="1"/>
    </queryTableFields>
  </queryTableRefresh>
</queryTable>
</file>

<file path=xl/queryTables/queryTable2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growShrinkType="overwriteClear" adjustColumnWidth="0" connectionId="22" xr16:uid="{CEDF06D5-7BDD-554E-8F38-A7B52A075D7D}" autoFormatId="16" applyNumberFormats="0" applyBorderFormats="0" applyFontFormats="0" applyPatternFormats="0" applyAlignmentFormats="0" applyWidthHeightFormats="0">
  <queryTableRefresh nextId="33">
    <queryTableFields count="6">
      <queryTableField id="1" name="study_id" tableColumnId="1"/>
      <queryTableField id="24" name="study" tableColumnId="2"/>
      <queryTableField id="25" name="Target" tableColumnId="3"/>
      <queryTableField id="26" name="usablecount" tableColumnId="4"/>
      <queryTableField id="27" name="Percentage" tableColumnId="5"/>
      <queryTableField id="28" name="Refreshed_Date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2.xml"/></Relationships>
</file>

<file path=xl/tables/_rels/table1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3.xml"/></Relationships>
</file>

<file path=xl/tables/_rels/table1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4.xml"/></Relationships>
</file>

<file path=xl/tables/_rels/table1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5.xml"/></Relationships>
</file>

<file path=xl/tables/_rels/table1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6.xml"/></Relationships>
</file>

<file path=xl/tables/_rels/table1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7.xml"/></Relationships>
</file>

<file path=xl/tables/_rels/table1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8.xml"/></Relationships>
</file>

<file path=xl/tables/_rels/table1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9.xml"/></Relationships>
</file>

<file path=xl/tables/_rels/table2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0.xml"/></Relationships>
</file>

<file path=xl/tables/_rels/table2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1.xml"/></Relationships>
</file>

<file path=xl/tables/_rels/table2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6AC874BB-FBC6-F041-A70A-E2D6D38340CC}" name="Table_ExternalData_148" displayName="Table_ExternalData_148" ref="H15:M89" tableType="queryTable" totalsRowShown="0" headerRowDxfId="698" dataDxfId="697">
  <autoFilter ref="H15:M89" xr:uid="{6AC874BB-FBC6-F041-A70A-E2D6D38340CC}"/>
  <tableColumns count="6">
    <tableColumn id="1" xr3:uid="{61C3F18C-23B5-A242-A356-0041ED22AEBA}" uniqueName="1" name="study_id" queryTableFieldId="1" dataDxfId="696"/>
    <tableColumn id="2" xr3:uid="{CBBF5C4F-6130-B547-8AD2-2DE2699CB1C3}" uniqueName="2" name="study_type_description" queryTableFieldId="24" dataDxfId="695"/>
    <tableColumn id="3" xr3:uid="{BDD5250A-5E98-9442-87B2-69EF113F737F}" uniqueName="3" name="sort_order" queryTableFieldId="25" dataDxfId="694"/>
    <tableColumn id="4" xr3:uid="{3F7A1F2A-F419-AC47-B369-7C94A678A86E}" uniqueName="4" name="study_name" queryTableFieldId="26" dataDxfId="693"/>
    <tableColumn id="5" xr3:uid="{ACFAC623-EADC-DE42-9E18-3DCE33AABD11}" uniqueName="5" name="study_acronym" queryTableFieldId="27" dataDxfId="692"/>
    <tableColumn id="6" xr3:uid="{890E0F08-0F90-D748-B5BC-35064333F240}" uniqueName="6" name="study_status" queryTableFieldId="28" dataDxfId="69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AB44C12-2882-CD4E-9A85-B7D4E67FD1AC}" name="Table_ExternalData_1453467" displayName="Table_ExternalData_1453467" ref="A231:V271" tableType="queryTable" totalsRowShown="0">
  <autoFilter ref="A231:V271" xr:uid="{6AB44C12-2882-CD4E-9A85-B7D4E67FD1AC}"/>
  <tableColumns count="22">
    <tableColumn id="2" xr3:uid="{AE0912CC-7688-974B-A602-A8E00EB727F8}" uniqueName="2" name="ageband" queryTableFieldId="2"/>
    <tableColumn id="3" xr3:uid="{917B61C6-D00D-144D-970C-88CD5BE76A15}" uniqueName="3" name="gradeband" queryTableFieldId="3"/>
    <tableColumn id="4" xr3:uid="{FC6F89F5-5F78-CC46-900A-E83711E456E1}" uniqueName="4" name="report" queryTableFieldId="4"/>
    <tableColumn id="52" xr3:uid="{6B8D6C37-926D-3A46-A3BC-816EA19AF097}" uniqueName="52" name="1" queryTableFieldId="176" dataDxfId="690"/>
    <tableColumn id="53" xr3:uid="{F5E3F2BA-595A-0749-AF0F-9932F025488C}" uniqueName="53" name="2" queryTableFieldId="177" dataDxfId="689"/>
    <tableColumn id="54" xr3:uid="{709A9253-ADFC-5E4C-921F-151944AC3EC3}" uniqueName="54" name="3" queryTableFieldId="178" dataDxfId="688"/>
    <tableColumn id="55" xr3:uid="{008C6060-633F-8541-BFD5-833B9F3B44B3}" uniqueName="55" name="4" queryTableFieldId="179" dataDxfId="687"/>
    <tableColumn id="56" xr3:uid="{8BDD153C-E023-2843-87EC-2AD3E483D89C}" uniqueName="56" name="5" queryTableFieldId="180" dataDxfId="686"/>
    <tableColumn id="67" xr3:uid="{9D2866DB-320F-4E45-9663-3916703FC530}" uniqueName="67" name="AS" queryTableFieldId="197" dataDxfId="685"/>
    <tableColumn id="68" xr3:uid="{545CED6A-0D8F-2C47-BA24-53BEB90AC374}" uniqueName="68" name="BL" queryTableFieldId="198" dataDxfId="684"/>
    <tableColumn id="69" xr3:uid="{4432ABA5-FA63-6144-9C11-D3304EF9A430}" uniqueName="69" name="HI" queryTableFieldId="199" dataDxfId="683"/>
    <tableColumn id="70" xr3:uid="{849598A7-FC04-4F49-8724-BD4A7BDB4A07}" uniqueName="70" name="OT" queryTableFieldId="200" dataDxfId="682"/>
    <tableColumn id="71" xr3:uid="{1AA4AAF0-9513-2D4A-8F58-CB68911413D9}" uniqueName="71" name="WH" queryTableFieldId="201" dataDxfId="681"/>
    <tableColumn id="14" xr3:uid="{7A5B6748-353A-DD43-BDC3-D04045EA4FC7}" uniqueName="14" name="MW" queryTableFieldId="14" dataDxfId="680"/>
    <tableColumn id="15" xr3:uid="{46D75919-A5E7-8445-BA8C-23F732E63A72}" uniqueName="15" name="NE" queryTableFieldId="15" dataDxfId="679"/>
    <tableColumn id="16" xr3:uid="{08D0275F-1040-9449-9457-CC4D12E7954D}" uniqueName="16" name="SO" queryTableFieldId="16" dataDxfId="678"/>
    <tableColumn id="17" xr3:uid="{BB43B2E3-A146-0A42-83E9-AB6D8CAE3F6F}" uniqueName="17" name="WE" queryTableFieldId="17" dataDxfId="677"/>
    <tableColumn id="72" xr3:uid="{C0EB4EDD-1EC2-B544-BDC2-FC390F6F4E34}" uniqueName="72" name="F" queryTableFieldId="202" dataDxfId="676"/>
    <tableColumn id="73" xr3:uid="{7B2EA526-8318-3945-84AA-7D3B7122ABB9}" uniqueName="73" name="M" queryTableFieldId="203" dataDxfId="675"/>
    <tableColumn id="5" xr3:uid="{F8B4D32D-ECB0-45A9-B0B1-BA49A90DF6D5}" uniqueName="5" name="OTHER" queryTableFieldId="211" dataDxfId="674"/>
    <tableColumn id="20" xr3:uid="{1CFE8D3D-891E-E740-9C80-755582F98BF4}" uniqueName="20" name="Total" queryTableFieldId="20" dataDxfId="673"/>
    <tableColumn id="1" xr3:uid="{28A4E882-3E58-0F48-8BB4-E52192656164}" uniqueName="1" name="LastRefreshed" queryTableFieldId="127" dataDxfId="67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1CD7BB05-1E47-4739-9714-A7D79D6C8A55}" name="Table_ExternalData_145411" displayName="Table_ExternalData_145411" ref="A3:V99" tableType="queryTable" totalsRowShown="0">
  <autoFilter ref="A3:V99" xr:uid="{1CD7BB05-1E47-4739-9714-A7D79D6C8A55}"/>
  <tableColumns count="22">
    <tableColumn id="2" xr3:uid="{5F06B3F8-D876-4EC8-BA68-C782108FAD18}" uniqueName="2" name="ageband" queryTableFieldId="2"/>
    <tableColumn id="3" xr3:uid="{EAA3611E-5742-4E23-9B35-E8179507FCF1}" uniqueName="3" name="gradeband" queryTableFieldId="3"/>
    <tableColumn id="4" xr3:uid="{2D0CBC19-5219-4C15-B730-FAF03D349366}" uniqueName="4" name="report" queryTableFieldId="4"/>
    <tableColumn id="5" xr3:uid="{2268ED9D-F5CB-4A41-81F9-3D4539BA11A0}" uniqueName="5" name="1" queryTableFieldId="129"/>
    <tableColumn id="6" xr3:uid="{2C5CAD08-7440-4911-B753-6EF7135A7EFA}" uniqueName="6" name="2" queryTableFieldId="130"/>
    <tableColumn id="7" xr3:uid="{079D9583-6A83-4468-B093-F3629D393BD4}" uniqueName="7" name="3" queryTableFieldId="131"/>
    <tableColumn id="8" xr3:uid="{668561EA-FC2E-4BD7-90EA-5A12A0653280}" uniqueName="8" name="4" queryTableFieldId="132"/>
    <tableColumn id="9" xr3:uid="{1D472BBE-B96F-44D2-9939-42EAC81F8178}" uniqueName="9" name="5" queryTableFieldId="133"/>
    <tableColumn id="10" xr3:uid="{AE61572D-786F-4A5D-851C-2194E509D10D}" uniqueName="10" name="AS" queryTableFieldId="134"/>
    <tableColumn id="11" xr3:uid="{90CF99A0-7253-4AAF-BB23-419EA5ED548F}" uniqueName="11" name="BL" queryTableFieldId="135"/>
    <tableColumn id="12" xr3:uid="{37E3006E-7E33-4125-B47B-B3474021CEE4}" uniqueName="12" name="HI" queryTableFieldId="136"/>
    <tableColumn id="13" xr3:uid="{0236CE55-123E-470A-A8E3-9BD49752592F}" uniqueName="13" name="OT" queryTableFieldId="137"/>
    <tableColumn id="18" xr3:uid="{1C64A35B-4F10-456F-B056-8682F20A75E7}" uniqueName="18" name="WH" queryTableFieldId="138"/>
    <tableColumn id="14" xr3:uid="{C144D4BC-5158-4FCE-8D99-3511834CF983}" uniqueName="14" name="MW" queryTableFieldId="14"/>
    <tableColumn id="15" xr3:uid="{FB378010-00C5-48D1-8D10-D4646BA85F8B}" uniqueName="15" name="NE" queryTableFieldId="15"/>
    <tableColumn id="16" xr3:uid="{8F01A24D-8D2D-457B-9113-0D0A780432C3}" uniqueName="16" name="SO" queryTableFieldId="16"/>
    <tableColumn id="17" xr3:uid="{05577540-7AB0-4B2A-BB63-B9433A1F8D6D}" uniqueName="17" name="WE" queryTableFieldId="17"/>
    <tableColumn id="50" xr3:uid="{44D3A7C1-749C-48BD-B385-7A5196BC5233}" uniqueName="50" name="F" queryTableFieldId="119"/>
    <tableColumn id="51" xr3:uid="{19CDB2FF-CEF7-4DE9-875C-57470C3385AE}" uniqueName="51" name="M" queryTableFieldId="120"/>
    <tableColumn id="19" xr3:uid="{47976B00-7EAC-495A-9907-F4AB5159CA43}" uniqueName="19" name="OTHER" queryTableFieldId="149"/>
    <tableColumn id="20" xr3:uid="{786733AD-3C70-4AD8-BC80-382CD431A4E7}" uniqueName="20" name="Total" queryTableFieldId="20"/>
    <tableColumn id="1" xr3:uid="{CD4C0BF6-7FBB-4881-BD51-70ABC7EE9839}" uniqueName="1" name="LastRefreshed" queryTableFieldId="72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C4E858D1-52D4-4BFC-8E0E-D98C16CF473D}" name="Table_ExternalData_1453467625" displayName="Table_ExternalData_1453467625" ref="A331:V371" tableType="queryTable" totalsRowShown="0">
  <autoFilter ref="A331:V371" xr:uid="{C4E858D1-52D4-4BFC-8E0E-D98C16CF473D}"/>
  <tableColumns count="22">
    <tableColumn id="2" xr3:uid="{9F0AA1D7-AC74-4B88-9950-0463576CE78E}" uniqueName="2" name="ageband" queryTableFieldId="2"/>
    <tableColumn id="3" xr3:uid="{5E2A4F68-5875-42BF-9D87-A22107152C09}" uniqueName="3" name="gradeband" queryTableFieldId="3"/>
    <tableColumn id="4" xr3:uid="{B325F970-8DF5-459C-8A6B-643BB4FCA2BF}" uniqueName="4" name="report" queryTableFieldId="4"/>
    <tableColumn id="52" xr3:uid="{06DDB761-C76F-4CCD-ADEE-5D3B5E4B9C31}" uniqueName="52" name="1" queryTableFieldId="176" dataDxfId="671" totalsRowDxfId="670"/>
    <tableColumn id="53" xr3:uid="{0717C322-19EE-49E4-B4DC-5A9272098019}" uniqueName="53" name="2" queryTableFieldId="177" dataDxfId="669" totalsRowDxfId="668"/>
    <tableColumn id="54" xr3:uid="{C9BAD901-2324-49F7-8271-05EFE5828A74}" uniqueName="54" name="3" queryTableFieldId="178" dataDxfId="667" totalsRowDxfId="666"/>
    <tableColumn id="55" xr3:uid="{74C48570-FA6F-44BC-803D-B1EE87202971}" uniqueName="55" name="4" queryTableFieldId="179" dataDxfId="665" totalsRowDxfId="664"/>
    <tableColumn id="56" xr3:uid="{6F360C5C-9E59-4A77-B111-EAC55BAD9939}" uniqueName="56" name="5" queryTableFieldId="180" dataDxfId="663" totalsRowDxfId="662"/>
    <tableColumn id="67" xr3:uid="{77BD0E3D-2284-43AB-AD81-18DCDC75BD48}" uniqueName="67" name="AS" queryTableFieldId="197" dataDxfId="661" totalsRowDxfId="660"/>
    <tableColumn id="68" xr3:uid="{4E00A710-C8A1-4ADC-9A31-3D68464F7341}" uniqueName="68" name="BL" queryTableFieldId="198" dataDxfId="659" totalsRowDxfId="658"/>
    <tableColumn id="69" xr3:uid="{083FA821-C9CA-42CF-81B8-D8F67DBD0B4D}" uniqueName="69" name="HI" queryTableFieldId="199" dataDxfId="657" totalsRowDxfId="656"/>
    <tableColumn id="70" xr3:uid="{2D37F3DA-073B-409B-87EA-4DCD06B23ACD}" uniqueName="70" name="OT" queryTableFieldId="200" dataDxfId="655" totalsRowDxfId="654"/>
    <tableColumn id="71" xr3:uid="{D9D31D0B-69E1-4013-A243-FA111B02190A}" uniqueName="71" name="WH" queryTableFieldId="201" dataDxfId="653" totalsRowDxfId="652"/>
    <tableColumn id="14" xr3:uid="{BDA8CA1C-A586-4B4F-8091-C6600319A7AD}" uniqueName="14" name="MW" queryTableFieldId="14" dataDxfId="651" totalsRowDxfId="650"/>
    <tableColumn id="15" xr3:uid="{9B5E2070-D085-4E46-8CC3-0B1D24D549CA}" uniqueName="15" name="NE" queryTableFieldId="15" dataDxfId="649" totalsRowDxfId="648"/>
    <tableColumn id="16" xr3:uid="{CED53F2B-A545-4F86-8018-525999BF0415}" uniqueName="16" name="SO" queryTableFieldId="16" dataDxfId="647" totalsRowDxfId="646"/>
    <tableColumn id="17" xr3:uid="{E320C0CA-2188-41AD-98BC-F2B968F72DFF}" uniqueName="17" name="WE" queryTableFieldId="17" dataDxfId="645" totalsRowDxfId="644"/>
    <tableColumn id="72" xr3:uid="{CD2EAF78-ECF4-4EC3-9D6D-8A7AA608DAA5}" uniqueName="72" name="F" queryTableFieldId="202" dataDxfId="643" totalsRowDxfId="642"/>
    <tableColumn id="73" xr3:uid="{20B8E24B-09B4-49FC-B77F-4C2B4421874A}" uniqueName="73" name="M" queryTableFieldId="203" dataDxfId="641" totalsRowDxfId="640"/>
    <tableColumn id="5" xr3:uid="{3DD767B7-F436-4945-861A-E8A940E3379D}" uniqueName="5" name="OTHER" queryTableFieldId="211" dataDxfId="639" totalsRowDxfId="638"/>
    <tableColumn id="20" xr3:uid="{06A96F92-E01A-46EB-B49C-9172A7D19C28}" uniqueName="20" name="Total" queryTableFieldId="20" dataDxfId="637" totalsRowDxfId="636"/>
    <tableColumn id="1" xr3:uid="{AFF07906-B87B-4314-9607-930A13FD35A8}" uniqueName="1" name="LastRefreshed" queryTableFieldId="127" dataDxfId="635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8FED9C73-21E9-48E0-BA0A-71C65DC585FC}" name="Table_ExternalData_145346762641" displayName="Table_ExternalData_145346762641" ref="A431:V527" tableType="queryTable" totalsRowShown="0">
  <autoFilter ref="A431:V527" xr:uid="{8FED9C73-21E9-48E0-BA0A-71C65DC585FC}"/>
  <tableColumns count="22">
    <tableColumn id="2" xr3:uid="{DB0C311B-065D-4F6B-9484-569CC69062E0}" uniqueName="2" name="ageband" queryTableFieldId="2"/>
    <tableColumn id="3" xr3:uid="{591F97CB-D877-4147-A24A-F60E69D4C633}" uniqueName="3" name="gradeband" queryTableFieldId="3"/>
    <tableColumn id="4" xr3:uid="{ADF3CAEE-5697-4F97-9457-ABE619371094}" uniqueName="4" name="report" queryTableFieldId="4"/>
    <tableColumn id="52" xr3:uid="{F3A0997A-64BF-425B-B069-BD7C344542BC}" uniqueName="52" name="1" queryTableFieldId="176" dataDxfId="634"/>
    <tableColumn id="53" xr3:uid="{93C4C8F4-3C05-4703-B9D6-6B655605F980}" uniqueName="53" name="2" queryTableFieldId="177" dataDxfId="633"/>
    <tableColumn id="54" xr3:uid="{8502F203-7D6A-40B0-8D4A-DBFF8B043E7E}" uniqueName="54" name="3" queryTableFieldId="178" dataDxfId="632"/>
    <tableColumn id="55" xr3:uid="{6A6F5A17-AC79-4CBE-9EAC-98B0EECD0C8A}" uniqueName="55" name="4" queryTableFieldId="179" dataDxfId="631"/>
    <tableColumn id="56" xr3:uid="{E55504DA-4B6F-4057-9570-E6A87B11D5A9}" uniqueName="56" name="5" queryTableFieldId="180" dataDxfId="630"/>
    <tableColumn id="67" xr3:uid="{4A9008A4-51BD-4C0A-AF38-BF1E2E2FF8EC}" uniqueName="67" name="AS" queryTableFieldId="197" dataDxfId="629"/>
    <tableColumn id="68" xr3:uid="{A49F3443-6EE9-4E8F-993F-CE2B31B28A1E}" uniqueName="68" name="BL" queryTableFieldId="198" dataDxfId="628"/>
    <tableColumn id="69" xr3:uid="{60ABFAF1-32F7-4F5C-B428-3FE2D1CEB517}" uniqueName="69" name="HI" queryTableFieldId="199" dataDxfId="627"/>
    <tableColumn id="70" xr3:uid="{CC139C96-4877-4D11-B60E-85949B520654}" uniqueName="70" name="OT" queryTableFieldId="200" dataDxfId="626"/>
    <tableColumn id="71" xr3:uid="{0DF9AD5F-330E-458D-BDBA-03EDDB11FDD4}" uniqueName="71" name="WH" queryTableFieldId="201" dataDxfId="625"/>
    <tableColumn id="14" xr3:uid="{759F4341-5EC1-4ADA-B613-C63AEE6D0B1D}" uniqueName="14" name="MW" queryTableFieldId="14" dataDxfId="624"/>
    <tableColumn id="15" xr3:uid="{E93BEC63-E16D-4AD3-BCD7-6CAFC4B1147A}" uniqueName="15" name="NE" queryTableFieldId="15" dataDxfId="623"/>
    <tableColumn id="16" xr3:uid="{B333536F-3464-4C42-B4AD-2926585201C2}" uniqueName="16" name="SO" queryTableFieldId="16" dataDxfId="622"/>
    <tableColumn id="17" xr3:uid="{B62D9600-3ABA-4137-A69B-02D120C1F331}" uniqueName="17" name="WE" queryTableFieldId="17" dataDxfId="621"/>
    <tableColumn id="72" xr3:uid="{E70F6818-D741-47DC-A4EF-12E2D38D6332}" uniqueName="72" name="F" queryTableFieldId="202" dataDxfId="620"/>
    <tableColumn id="73" xr3:uid="{E2B3321D-3355-4694-8C04-A6E1B075DF5E}" uniqueName="73" name="M" queryTableFieldId="203" dataDxfId="619"/>
    <tableColumn id="5" xr3:uid="{50A57F86-169C-4DAA-8CA3-4A0890C97343}" uniqueName="5" name="OTHER" queryTableFieldId="211" dataDxfId="618"/>
    <tableColumn id="20" xr3:uid="{D787E23A-41BC-4738-BD51-CC8642C21B7E}" uniqueName="20" name="Total" queryTableFieldId="20" dataDxfId="617"/>
    <tableColumn id="1" xr3:uid="{B7ADB340-FF41-4174-A6EA-D979BC4E2559}" uniqueName="1" name="LastRefreshed" queryTableFieldId="127" dataDxfId="616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84EFD539-452E-4B29-BC60-7635B064969E}" name="Table_ExternalData_145346791011242" displayName="Table_ExternalData_145346791011242" ref="A131:V227" tableType="queryTable" totalsRowShown="0">
  <autoFilter ref="A131:V227" xr:uid="{84EFD539-452E-4B29-BC60-7635B064969E}"/>
  <tableColumns count="22">
    <tableColumn id="2" xr3:uid="{E4C2EDEE-17C0-49D9-B390-D6A7F758BFA4}" uniqueName="2" name="ageband" queryTableFieldId="2"/>
    <tableColumn id="3" xr3:uid="{506D4403-CD84-4C45-9E36-817CFFB88F22}" uniqueName="3" name="gradeband" queryTableFieldId="3"/>
    <tableColumn id="4" xr3:uid="{4856830C-9CA8-44BD-8E4D-13B574654A22}" uniqueName="4" name="report" queryTableFieldId="4"/>
    <tableColumn id="52" xr3:uid="{BA75F067-C909-4E8E-8A00-C337883116DF}" uniqueName="52" name="1" queryTableFieldId="176" dataDxfId="615"/>
    <tableColumn id="53" xr3:uid="{0A0588F6-328F-43E5-9C22-C22161CC83B9}" uniqueName="53" name="2" queryTableFieldId="177" dataDxfId="614"/>
    <tableColumn id="54" xr3:uid="{CA0FFE8C-5AC5-4139-95F6-FACD7FC65972}" uniqueName="54" name="3" queryTableFieldId="178" dataDxfId="613"/>
    <tableColumn id="55" xr3:uid="{182DA66A-FC1A-4497-B87A-7CD0D2CF9CEC}" uniqueName="55" name="4" queryTableFieldId="179" dataDxfId="612"/>
    <tableColumn id="56" xr3:uid="{F17A8289-C181-4C40-BED1-D202BA894901}" uniqueName="56" name="5" queryTableFieldId="180" dataDxfId="611"/>
    <tableColumn id="67" xr3:uid="{E82C7657-18DA-41D5-B9F4-A112A610CF63}" uniqueName="67" name="AS" queryTableFieldId="197" dataDxfId="610"/>
    <tableColumn id="68" xr3:uid="{BAA53B5B-4EE2-4E58-B061-19ED1CF98A88}" uniqueName="68" name="BL" queryTableFieldId="198" dataDxfId="609"/>
    <tableColumn id="69" xr3:uid="{1F1CCFAD-2631-4382-B512-9DAFAAC0C8A4}" uniqueName="69" name="HI" queryTableFieldId="199" dataDxfId="608"/>
    <tableColumn id="70" xr3:uid="{EC944D84-2446-4086-AA8C-68FBA23FA936}" uniqueName="70" name="OT" queryTableFieldId="200" dataDxfId="607"/>
    <tableColumn id="71" xr3:uid="{5E471B0C-3651-4417-9C8C-1650696115AC}" uniqueName="71" name="WH" queryTableFieldId="201" dataDxfId="606"/>
    <tableColumn id="14" xr3:uid="{134602FA-A199-4DDD-890F-A7552DF33A28}" uniqueName="14" name="MW" queryTableFieldId="14" dataDxfId="605"/>
    <tableColumn id="15" xr3:uid="{EC14D1C7-81BD-402B-92BC-4E015EBCA664}" uniqueName="15" name="NE" queryTableFieldId="15" dataDxfId="604"/>
    <tableColumn id="16" xr3:uid="{D6A2D7FE-E6E5-4FE1-A79F-1F6B5ED677CA}" uniqueName="16" name="SO" queryTableFieldId="16" dataDxfId="603"/>
    <tableColumn id="17" xr3:uid="{5637EAA7-2F6C-4C0D-B77C-C96C6F4E4E31}" uniqueName="17" name="WE" queryTableFieldId="17" dataDxfId="602"/>
    <tableColumn id="72" xr3:uid="{430C3422-8090-452A-BC8B-D49D794C6103}" uniqueName="72" name="F" queryTableFieldId="202" dataDxfId="601"/>
    <tableColumn id="73" xr3:uid="{E268C1F8-D216-4AC0-849F-9431B9182CD1}" uniqueName="73" name="M" queryTableFieldId="203" dataDxfId="600"/>
    <tableColumn id="5" xr3:uid="{C404DD3E-F8EF-4965-A798-5290E9450E25}" uniqueName="5" name="OTHER" queryTableFieldId="211" dataDxfId="599"/>
    <tableColumn id="20" xr3:uid="{7AD460E0-016A-40FD-9FFF-12197CC26C1B}" uniqueName="20" name="Total" queryTableFieldId="20" dataDxfId="598"/>
    <tableColumn id="1" xr3:uid="{D4BC5D01-EDAE-4102-83B6-388A2D7CAA04}" uniqueName="1" name="LastRefreshed" queryTableFieldId="127" dataDxfId="597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9EF7566-FE2C-46F6-8626-FCA241AE56DD}" name="Table_ExternalData_1453467626413" displayName="Table_ExternalData_1453467626413" ref="A631:V647" tableType="queryTable" totalsRowShown="0">
  <autoFilter ref="A631:V647" xr:uid="{E9EF7566-FE2C-46F6-8626-FCA241AE56DD}"/>
  <tableColumns count="22">
    <tableColumn id="2" xr3:uid="{57669314-9E2C-4885-A948-7402FD2126E0}" uniqueName="2" name="ageband" queryTableFieldId="2"/>
    <tableColumn id="3" xr3:uid="{F66D1420-D1CE-40B1-86F7-71B79B87D1C0}" uniqueName="3" name="gradeband" queryTableFieldId="3"/>
    <tableColumn id="4" xr3:uid="{D0197032-8B89-4329-A881-0693544C886A}" uniqueName="4" name="report" queryTableFieldId="4"/>
    <tableColumn id="52" xr3:uid="{D400BB6F-4085-4576-ACA2-03EA9E932211}" uniqueName="52" name="1" queryTableFieldId="176" dataDxfId="596"/>
    <tableColumn id="53" xr3:uid="{2BBE483F-2290-4581-AB18-C86EC074F9C5}" uniqueName="53" name="2" queryTableFieldId="177" dataDxfId="595"/>
    <tableColumn id="54" xr3:uid="{B051314B-264B-4AF8-BCED-750AC9664E27}" uniqueName="54" name="3" queryTableFieldId="178" dataDxfId="594"/>
    <tableColumn id="55" xr3:uid="{125D1E2F-E1DF-45E8-8EDE-340FFDDB8D6A}" uniqueName="55" name="4" queryTableFieldId="179" dataDxfId="593"/>
    <tableColumn id="56" xr3:uid="{0C753F5E-02A6-4111-B61B-424F4F155685}" uniqueName="56" name="5" queryTableFieldId="180" dataDxfId="592"/>
    <tableColumn id="67" xr3:uid="{1E9E9D15-4F29-4C1F-836B-43AF543CECD8}" uniqueName="67" name="AS" queryTableFieldId="197" dataDxfId="591"/>
    <tableColumn id="68" xr3:uid="{77D20A9C-93A5-4BF9-BAE6-F898E5CC24A1}" uniqueName="68" name="BL" queryTableFieldId="198" dataDxfId="590"/>
    <tableColumn id="69" xr3:uid="{98FCDD40-E08F-402D-813A-975D2FE9F7C0}" uniqueName="69" name="HI" queryTableFieldId="199" dataDxfId="589"/>
    <tableColumn id="70" xr3:uid="{8582F0D4-D150-4AC2-9DDB-E3A368D39D9A}" uniqueName="70" name="OT" queryTableFieldId="200" dataDxfId="588"/>
    <tableColumn id="71" xr3:uid="{B877C1CD-0A49-4EB2-A5EA-9232C85DD95F}" uniqueName="71" name="WH" queryTableFieldId="201" dataDxfId="587"/>
    <tableColumn id="14" xr3:uid="{1CDE0161-1013-46E9-BF44-B6C5A2735A8F}" uniqueName="14" name="MW" queryTableFieldId="14" dataDxfId="586"/>
    <tableColumn id="15" xr3:uid="{4AF2227A-6709-4A05-900E-7290AD669305}" uniqueName="15" name="NE" queryTableFieldId="15" dataDxfId="585"/>
    <tableColumn id="16" xr3:uid="{7238B02F-07E6-4B65-82E1-962F95681FF3}" uniqueName="16" name="SO" queryTableFieldId="16" dataDxfId="584"/>
    <tableColumn id="17" xr3:uid="{4EBE5CF8-9849-497E-A33B-B67BEFD8070F}" uniqueName="17" name="WE" queryTableFieldId="17" dataDxfId="583"/>
    <tableColumn id="72" xr3:uid="{00296BF3-61A0-4893-8FF5-7A8E3C5EF22E}" uniqueName="72" name="F" queryTableFieldId="202" dataDxfId="582"/>
    <tableColumn id="73" xr3:uid="{8F6AD7B8-9DA1-40C1-B547-AC05780E23CD}" uniqueName="73" name="M" queryTableFieldId="203" dataDxfId="581"/>
    <tableColumn id="5" xr3:uid="{4BFE8B3C-F54C-4653-870A-3064C21B2DEC}" uniqueName="5" name="OTHER" queryTableFieldId="211" dataDxfId="580"/>
    <tableColumn id="20" xr3:uid="{983F243D-04B2-44C9-B324-1023A4D282F8}" uniqueName="20" name="Total" queryTableFieldId="20" dataDxfId="579"/>
    <tableColumn id="1" xr3:uid="{B49BCB29-928F-433B-BEAE-7809D829296E}" uniqueName="1" name="LastRefreshed" queryTableFieldId="127" dataDxfId="578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2FDF633-B995-4528-8DC1-80133186824A}" name="Table_ExternalData_1453467626413592" displayName="Table_ExternalData_1453467626413592" ref="A1131:V1227" tableType="queryTable" totalsRowShown="0">
  <autoFilter ref="A1131:V1227" xr:uid="{62FDF633-B995-4528-8DC1-80133186824A}"/>
  <tableColumns count="22">
    <tableColumn id="2" xr3:uid="{A7CF4100-40DC-4088-AADA-08F1F345C0CC}" uniqueName="2" name="ageband" queryTableFieldId="2"/>
    <tableColumn id="3" xr3:uid="{AEF897E5-6B3A-4408-8657-528FA4822519}" uniqueName="3" name="gradeband" queryTableFieldId="3"/>
    <tableColumn id="4" xr3:uid="{9F211E08-7324-4C87-90E9-4864BF3BBBB1}" uniqueName="4" name="report" queryTableFieldId="4"/>
    <tableColumn id="52" xr3:uid="{BCA76436-CBB6-4634-A00A-766CE49B6432}" uniqueName="52" name="1" queryTableFieldId="176" dataDxfId="577"/>
    <tableColumn id="53" xr3:uid="{1DAC0677-6415-4510-9D70-0415F63049C7}" uniqueName="53" name="2" queryTableFieldId="177" dataDxfId="576"/>
    <tableColumn id="54" xr3:uid="{A76242FE-4839-41B5-82DF-BDD6044A9E10}" uniqueName="54" name="3" queryTableFieldId="178" dataDxfId="575"/>
    <tableColumn id="55" xr3:uid="{7E8A67A5-460A-4E0F-BA96-02EECE07CB78}" uniqueName="55" name="4" queryTableFieldId="179" dataDxfId="574"/>
    <tableColumn id="56" xr3:uid="{19F04624-6D25-4756-B874-275951E0A842}" uniqueName="56" name="5" queryTableFieldId="180" dataDxfId="573"/>
    <tableColumn id="67" xr3:uid="{54AA362B-1B57-45C2-A120-C65C969F7097}" uniqueName="67" name="AS" queryTableFieldId="197" dataDxfId="572"/>
    <tableColumn id="68" xr3:uid="{0303CA8E-0B86-46E2-AF88-4F752E4524AB}" uniqueName="68" name="BL" queryTableFieldId="198" dataDxfId="571"/>
    <tableColumn id="69" xr3:uid="{476CF160-BBD7-4ABF-9B7E-8E023823B975}" uniqueName="69" name="HI" queryTableFieldId="199" dataDxfId="570"/>
    <tableColumn id="70" xr3:uid="{1216D0C0-5BD8-432F-8E09-492DB789DB2B}" uniqueName="70" name="OT" queryTableFieldId="200" dataDxfId="569"/>
    <tableColumn id="71" xr3:uid="{DBFD0241-E2A0-4AAF-BE0D-A16958F9476C}" uniqueName="71" name="WH" queryTableFieldId="201" dataDxfId="568"/>
    <tableColumn id="14" xr3:uid="{48A40059-D4E0-48F6-B567-BE1AD04C1088}" uniqueName="14" name="MW" queryTableFieldId="14" dataDxfId="567"/>
    <tableColumn id="15" xr3:uid="{97B5465C-8D00-4593-83A3-98CE0AE9266E}" uniqueName="15" name="NE" queryTableFieldId="15" dataDxfId="566"/>
    <tableColumn id="16" xr3:uid="{B9BBA25B-AFEF-4958-9951-4365F4F1B4FB}" uniqueName="16" name="SO" queryTableFieldId="16" dataDxfId="565"/>
    <tableColumn id="17" xr3:uid="{A21B30E8-DBB8-4AB8-BCC1-E46453E518AE}" uniqueName="17" name="WE" queryTableFieldId="17" dataDxfId="564"/>
    <tableColumn id="72" xr3:uid="{2BE44019-DAF4-4773-AFDF-4A4A1C9D90FC}" uniqueName="72" name="F" queryTableFieldId="202" dataDxfId="563"/>
    <tableColumn id="73" xr3:uid="{316BE6DE-0455-4F0B-B60D-5EFCA820AFD7}" uniqueName="73" name="M" queryTableFieldId="203" dataDxfId="562"/>
    <tableColumn id="5" xr3:uid="{E76F6725-7CF8-4EEF-B5F2-475946EDAD47}" uniqueName="5" name="OTHER" queryTableFieldId="211" dataDxfId="561"/>
    <tableColumn id="20" xr3:uid="{E1CFAF46-A494-42D4-87FA-5AD4631132E8}" uniqueName="20" name="Total" queryTableFieldId="20" dataDxfId="560"/>
    <tableColumn id="1" xr3:uid="{C586A8D2-883F-45CB-9271-13BA1E63981C}" uniqueName="1" name="LastRefreshed" queryTableFieldId="127" dataDxfId="559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6771823-FB3C-44B5-95A7-59577715B111}" name="Table_ExternalData_14534676264135924" displayName="Table_ExternalData_14534676264135924" ref="A1431:V1527" tableType="queryTable" totalsRowShown="0">
  <autoFilter ref="A1431:V1527" xr:uid="{76771823-FB3C-44B5-95A7-59577715B111}"/>
  <tableColumns count="22">
    <tableColumn id="2" xr3:uid="{7E188E6D-511F-4F3E-AF7C-B2AB0010BF76}" uniqueName="2" name="ageband" queryTableFieldId="2"/>
    <tableColumn id="3" xr3:uid="{44ECBC1D-D2EA-4C0E-BC47-84ACC8021CD5}" uniqueName="3" name="gradeband" queryTableFieldId="3"/>
    <tableColumn id="4" xr3:uid="{B9AB7FBC-D556-4C73-9586-05B3DD308E8B}" uniqueName="4" name="report" queryTableFieldId="4"/>
    <tableColumn id="52" xr3:uid="{0005E3CB-AD24-4940-B509-F4D9012CC2A8}" uniqueName="52" name="1" queryTableFieldId="176" dataDxfId="558"/>
    <tableColumn id="53" xr3:uid="{352A3F35-C138-48F0-8012-2AAEE5014017}" uniqueName="53" name="2" queryTableFieldId="177" dataDxfId="557"/>
    <tableColumn id="54" xr3:uid="{8D35A67A-C83C-444E-BBBE-2AC0122E4570}" uniqueName="54" name="3" queryTableFieldId="178" dataDxfId="556"/>
    <tableColumn id="55" xr3:uid="{51BE460E-D3EA-4784-BE3F-819922390909}" uniqueName="55" name="4" queryTableFieldId="179" dataDxfId="555"/>
    <tableColumn id="56" xr3:uid="{FCCA61C6-B6BE-4F8A-BBA3-DC94CDB19917}" uniqueName="56" name="5" queryTableFieldId="180" dataDxfId="554"/>
    <tableColumn id="67" xr3:uid="{A8512304-96D1-43A4-8325-B60D11630890}" uniqueName="67" name="AS" queryTableFieldId="197" dataDxfId="553"/>
    <tableColumn id="68" xr3:uid="{79B273B8-91C7-4F0F-872F-A61753D02189}" uniqueName="68" name="BL" queryTableFieldId="198" dataDxfId="552"/>
    <tableColumn id="69" xr3:uid="{6BCC9CE3-BD59-408D-B142-BF4E2E936571}" uniqueName="69" name="HI" queryTableFieldId="199" dataDxfId="551"/>
    <tableColumn id="70" xr3:uid="{3BA7728E-52CC-417F-B5EC-A08E7E0D9256}" uniqueName="70" name="OT" queryTableFieldId="200" dataDxfId="550"/>
    <tableColumn id="71" xr3:uid="{F45AA27C-0D94-4540-B944-B845B4F72AAC}" uniqueName="71" name="WH" queryTableFieldId="201" dataDxfId="549"/>
    <tableColumn id="14" xr3:uid="{514434D7-E1C5-4A9A-B3B6-5A7F2D9AF0F2}" uniqueName="14" name="MW" queryTableFieldId="14" dataDxfId="548"/>
    <tableColumn id="15" xr3:uid="{7FC41B82-E844-476E-9526-241902F0D7AB}" uniqueName="15" name="NE" queryTableFieldId="15" dataDxfId="547"/>
    <tableColumn id="16" xr3:uid="{DD31A9BA-3845-4EFA-990F-CD4DA28453EE}" uniqueName="16" name="SO" queryTableFieldId="16" dataDxfId="546"/>
    <tableColumn id="17" xr3:uid="{5FC7B390-1663-420C-B86F-D64A83FA76A3}" uniqueName="17" name="WE" queryTableFieldId="17" dataDxfId="545"/>
    <tableColumn id="72" xr3:uid="{C65B24C1-2C55-4F44-8371-0E92B515D59C}" uniqueName="72" name="F" queryTableFieldId="202" dataDxfId="544"/>
    <tableColumn id="73" xr3:uid="{BDAF3118-2BB6-43CD-89BE-BCFA3E174B67}" uniqueName="73" name="M" queryTableFieldId="203" dataDxfId="543"/>
    <tableColumn id="5" xr3:uid="{793E4005-A011-4292-A831-DEB0BBD93156}" uniqueName="5" name="OTHER" queryTableFieldId="211" dataDxfId="542"/>
    <tableColumn id="20" xr3:uid="{ADF7F27B-05E5-4E72-ADA2-BB24B2ECE24D}" uniqueName="20" name="Total" queryTableFieldId="20" dataDxfId="541"/>
    <tableColumn id="1" xr3:uid="{ABBB4752-036F-4FCA-B67F-88B3A18E8498}" uniqueName="1" name="LastRefreshed" queryTableFieldId="127" dataDxfId="540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C8E9020-D334-41DD-8684-4E81503BC868}" name="Table_ExternalData_14534676264135" displayName="Table_ExternalData_14534676264135" ref="A731:V747" tableType="queryTable" totalsRowShown="0">
  <autoFilter ref="A731:V747" xr:uid="{2C8E9020-D334-41DD-8684-4E81503BC868}"/>
  <tableColumns count="22">
    <tableColumn id="2" xr3:uid="{F29F4FCB-164B-4023-BFC1-50777A58F1F0}" uniqueName="2" name="ageband" queryTableFieldId="2"/>
    <tableColumn id="3" xr3:uid="{498031A7-02DA-42E9-8FBE-044159058DE8}" uniqueName="3" name="gradeband" queryTableFieldId="3"/>
    <tableColumn id="4" xr3:uid="{C8A94E81-DA20-42FA-8CCC-46FA21A9DC7F}" uniqueName="4" name="report" queryTableFieldId="4"/>
    <tableColumn id="52" xr3:uid="{76A329A6-8AB4-4575-8837-BCDAC1A76506}" uniqueName="52" name="1" queryTableFieldId="176" dataDxfId="539"/>
    <tableColumn id="53" xr3:uid="{4512579B-7674-4626-91C3-A7CA2E21207B}" uniqueName="53" name="2" queryTableFieldId="177" dataDxfId="538"/>
    <tableColumn id="54" xr3:uid="{54AE0D31-364B-4AD9-A379-846D80743632}" uniqueName="54" name="3" queryTableFieldId="178" dataDxfId="537"/>
    <tableColumn id="55" xr3:uid="{CB28D896-C231-43A8-BDC2-1B8C5FA0AFCF}" uniqueName="55" name="4" queryTableFieldId="179" dataDxfId="536"/>
    <tableColumn id="56" xr3:uid="{3C398D46-EAF7-4909-8D26-A68985E48B57}" uniqueName="56" name="5" queryTableFieldId="180" dataDxfId="535"/>
    <tableColumn id="67" xr3:uid="{76CB1862-CF3D-40E4-A417-FE96D8F0E0BC}" uniqueName="67" name="AS" queryTableFieldId="197" dataDxfId="534"/>
    <tableColumn id="68" xr3:uid="{A9903651-FFA1-49BC-8241-6368E99D556D}" uniqueName="68" name="BL" queryTableFieldId="198" dataDxfId="533"/>
    <tableColumn id="69" xr3:uid="{D70EAE82-C80A-4FA0-BF9A-0392B52E4FAB}" uniqueName="69" name="HI" queryTableFieldId="199" dataDxfId="532"/>
    <tableColumn id="70" xr3:uid="{9FFF87EC-B2E1-46B2-9792-0E7A5BB2BF9B}" uniqueName="70" name="OT" queryTableFieldId="200" dataDxfId="531"/>
    <tableColumn id="71" xr3:uid="{AECF2542-B137-4FD8-89D0-8FE27BDDAD7A}" uniqueName="71" name="WH" queryTableFieldId="201" dataDxfId="530"/>
    <tableColumn id="14" xr3:uid="{583EA337-8B0A-4932-A9DF-8DEDCBABC190}" uniqueName="14" name="MW" queryTableFieldId="14" dataDxfId="529"/>
    <tableColumn id="15" xr3:uid="{3AE4C5A2-E797-4361-B5E3-3F6722C1BE83}" uniqueName="15" name="NE" queryTableFieldId="15" dataDxfId="528"/>
    <tableColumn id="16" xr3:uid="{40D4A435-7184-465C-96C1-37902AD92B5D}" uniqueName="16" name="SO" queryTableFieldId="16" dataDxfId="527"/>
    <tableColumn id="17" xr3:uid="{25C2D561-5E99-4D27-8E2F-551A542B08CA}" uniqueName="17" name="WE" queryTableFieldId="17" dataDxfId="526"/>
    <tableColumn id="72" xr3:uid="{A7266A68-117D-49FC-B720-C293F0A0445F}" uniqueName="72" name="F" queryTableFieldId="202" dataDxfId="525"/>
    <tableColumn id="73" xr3:uid="{49C01209-590C-416C-B285-C836F2FA3A98}" uniqueName="73" name="M" queryTableFieldId="203" dataDxfId="524"/>
    <tableColumn id="5" xr3:uid="{B195DAC7-4F26-40BA-916B-134496686541}" uniqueName="5" name="OTHER" queryTableFieldId="211" dataDxfId="523"/>
    <tableColumn id="20" xr3:uid="{EAC26637-50B7-4583-8A9B-55DE24406EF0}" uniqueName="20" name="Total" queryTableFieldId="20" dataDxfId="522"/>
    <tableColumn id="1" xr3:uid="{3F167908-4DC4-4DE2-8078-FC1020F3C943}" uniqueName="1" name="LastRefreshed" queryTableFieldId="127" dataDxfId="521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29E689C-E346-411F-AE7C-F0AD704C4779}" name="Table_ExternalData_145346762641359" displayName="Table_ExternalData_145346762641359" ref="A831:V847" tableType="queryTable" totalsRowShown="0">
  <autoFilter ref="A831:V847" xr:uid="{D29E689C-E346-411F-AE7C-F0AD704C4779}"/>
  <tableColumns count="22">
    <tableColumn id="2" xr3:uid="{685E5D99-F82C-4E06-9C06-CF3942E5C8FF}" uniqueName="2" name="ageband" queryTableFieldId="2"/>
    <tableColumn id="3" xr3:uid="{3206F535-CD93-442B-B92D-55154B0A9905}" uniqueName="3" name="gradeband" queryTableFieldId="3"/>
    <tableColumn id="4" xr3:uid="{3CDC1416-70DA-4491-905F-B66D289EEC3C}" uniqueName="4" name="report" queryTableFieldId="4"/>
    <tableColumn id="52" xr3:uid="{035BBF23-C0AE-4BE6-B5F9-6CB91878CF5C}" uniqueName="52" name="1" queryTableFieldId="176" dataDxfId="520"/>
    <tableColumn id="53" xr3:uid="{543E3925-C35A-4742-B709-FA65088C5DAA}" uniqueName="53" name="2" queryTableFieldId="177" dataDxfId="519"/>
    <tableColumn id="54" xr3:uid="{EA7CB569-CB43-49C2-AB44-0A2A76BE4564}" uniqueName="54" name="3" queryTableFieldId="178" dataDxfId="518"/>
    <tableColumn id="55" xr3:uid="{A28216AC-33AD-43BB-B7EE-8D29C0DB535F}" uniqueName="55" name="4" queryTableFieldId="179" dataDxfId="517"/>
    <tableColumn id="56" xr3:uid="{1EF2ABD1-E257-48FD-8D20-1F3E6F5E48EC}" uniqueName="56" name="5" queryTableFieldId="180" dataDxfId="516"/>
    <tableColumn id="67" xr3:uid="{3CE16A14-102F-4312-A0C4-94D7BEE27FA4}" uniqueName="67" name="AS" queryTableFieldId="197" dataDxfId="515"/>
    <tableColumn id="68" xr3:uid="{F2E0D589-139A-46A7-935E-D62CB9C11386}" uniqueName="68" name="BL" queryTableFieldId="198" dataDxfId="514"/>
    <tableColumn id="69" xr3:uid="{AA57F5BC-D59E-49C2-9B8B-04A7E8301E2B}" uniqueName="69" name="HI" queryTableFieldId="199" dataDxfId="513"/>
    <tableColumn id="70" xr3:uid="{F5B77C22-E428-445A-AFCD-5C303D2C6B67}" uniqueName="70" name="OT" queryTableFieldId="200" dataDxfId="512"/>
    <tableColumn id="71" xr3:uid="{D0A1435D-8F75-42D1-9EAB-21ABE08FF2B5}" uniqueName="71" name="WH" queryTableFieldId="201" dataDxfId="511"/>
    <tableColumn id="14" xr3:uid="{09C93681-238D-40A9-96AE-B61ADA15FBE4}" uniqueName="14" name="MW" queryTableFieldId="14" dataDxfId="510"/>
    <tableColumn id="15" xr3:uid="{C2730D7F-E0B0-4D28-915F-FC175628304D}" uniqueName="15" name="NE" queryTableFieldId="15" dataDxfId="509"/>
    <tableColumn id="16" xr3:uid="{06A81993-90A2-4296-ACFF-1F05369AECEF}" uniqueName="16" name="SO" queryTableFieldId="16" dataDxfId="508"/>
    <tableColumn id="17" xr3:uid="{07D98BF3-BBA2-4187-BC1E-601EBA23666F}" uniqueName="17" name="WE" queryTableFieldId="17" dataDxfId="507"/>
    <tableColumn id="72" xr3:uid="{E1004CB2-6AE7-4D5B-8066-A4C8D1F2CCDA}" uniqueName="72" name="F" queryTableFieldId="202" dataDxfId="506"/>
    <tableColumn id="73" xr3:uid="{E7F7EAD7-13E6-4138-9340-79D7EC3C5992}" uniqueName="73" name="M" queryTableFieldId="203" dataDxfId="505"/>
    <tableColumn id="5" xr3:uid="{35F60B81-AC5D-4CFB-83D6-348E2E2EFFA8}" uniqueName="5" name="OTHER" queryTableFieldId="211" dataDxfId="504"/>
    <tableColumn id="20" xr3:uid="{1E4171F9-5EAA-4F48-BB1D-D3550D731A84}" uniqueName="20" name="Total" queryTableFieldId="20" dataDxfId="503"/>
    <tableColumn id="1" xr3:uid="{81227939-04A9-4A7F-AF65-62C9B96E4FAD}" uniqueName="1" name="LastRefreshed" queryTableFieldId="127" dataDxfId="502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3A9A52E3-8A8A-46FB-998E-D6722AB508D9}" name="Table_ExternalData_14534676264135910" displayName="Table_ExternalData_14534676264135910" ref="A931:V947" tableType="queryTable" totalsRowShown="0">
  <autoFilter ref="A931:V947" xr:uid="{3A9A52E3-8A8A-46FB-998E-D6722AB508D9}"/>
  <tableColumns count="22">
    <tableColumn id="2" xr3:uid="{ADF130FE-0267-4800-8B90-206E23BB8B91}" uniqueName="2" name="ageband" queryTableFieldId="2"/>
    <tableColumn id="3" xr3:uid="{9ED24992-1383-4EA2-A369-671A2F36C1C8}" uniqueName="3" name="gradeband" queryTableFieldId="3"/>
    <tableColumn id="4" xr3:uid="{6D5EEF81-F1FC-4DC8-A699-B8B85281F421}" uniqueName="4" name="report" queryTableFieldId="4"/>
    <tableColumn id="52" xr3:uid="{F5877FC6-2C48-4315-AF61-2A2479132136}" uniqueName="52" name="1" queryTableFieldId="176" dataDxfId="501"/>
    <tableColumn id="53" xr3:uid="{5B3ADD4E-C214-4DCB-B5DB-14CD0ECE1234}" uniqueName="53" name="2" queryTableFieldId="177" dataDxfId="500"/>
    <tableColumn id="54" xr3:uid="{9BF537C0-04A4-4873-AE19-B286BCB23F82}" uniqueName="54" name="3" queryTableFieldId="178" dataDxfId="499"/>
    <tableColumn id="55" xr3:uid="{48C01A6D-0F63-4A98-83C4-1E099F7A0438}" uniqueName="55" name="4" queryTableFieldId="179" dataDxfId="498"/>
    <tableColumn id="56" xr3:uid="{E3B1C106-8D60-49A8-9777-A5C226D10665}" uniqueName="56" name="5" queryTableFieldId="180" dataDxfId="497"/>
    <tableColumn id="67" xr3:uid="{509A2C8E-B414-432F-AAA3-FD975D83A72B}" uniqueName="67" name="AS" queryTableFieldId="197" dataDxfId="496"/>
    <tableColumn id="68" xr3:uid="{417B424F-5FA6-4DA2-852C-C4B906AC0A7F}" uniqueName="68" name="BL" queryTableFieldId="198" dataDxfId="495"/>
    <tableColumn id="69" xr3:uid="{326FA501-C63B-4949-9627-C03F4CD11405}" uniqueName="69" name="HI" queryTableFieldId="199" dataDxfId="494"/>
    <tableColumn id="70" xr3:uid="{5EC7B14A-F3C4-4CD0-A341-14A7E42619F0}" uniqueName="70" name="OT" queryTableFieldId="200" dataDxfId="493"/>
    <tableColumn id="71" xr3:uid="{1FA43F79-466A-48FB-BA0E-06BD2D967490}" uniqueName="71" name="WH" queryTableFieldId="201" dataDxfId="492"/>
    <tableColumn id="14" xr3:uid="{C43E5DC7-9339-486F-A7E5-93A6F3F42EEA}" uniqueName="14" name="MW" queryTableFieldId="14" dataDxfId="491"/>
    <tableColumn id="15" xr3:uid="{847E69D8-9C1F-4CB6-AB94-98ADD262BD01}" uniqueName="15" name="NE" queryTableFieldId="15" dataDxfId="490"/>
    <tableColumn id="16" xr3:uid="{29D94FAC-F5C6-402D-8049-F3AB331B1763}" uniqueName="16" name="SO" queryTableFieldId="16" dataDxfId="489"/>
    <tableColumn id="17" xr3:uid="{76160440-D998-4CD6-A55C-1DA9B4BE195C}" uniqueName="17" name="WE" queryTableFieldId="17" dataDxfId="488"/>
    <tableColumn id="72" xr3:uid="{0D09567A-4A95-4B45-BB00-030F25D259D9}" uniqueName="72" name="F" queryTableFieldId="202" dataDxfId="487"/>
    <tableColumn id="73" xr3:uid="{506D709B-5893-4380-9CEA-04532363B3FD}" uniqueName="73" name="M" queryTableFieldId="203" dataDxfId="486"/>
    <tableColumn id="5" xr3:uid="{9A0F1576-00F4-4B7E-826C-6288B2192D02}" uniqueName="5" name="OTHER" queryTableFieldId="211" dataDxfId="485"/>
    <tableColumn id="20" xr3:uid="{F1D0ADDF-3AB5-47A4-B10B-C43505BDC5B2}" uniqueName="20" name="Total" queryTableFieldId="20" dataDxfId="484"/>
    <tableColumn id="1" xr3:uid="{E4599735-8972-4AFB-8B37-960A8F8148D3}" uniqueName="1" name="LastRefreshed" queryTableFieldId="127" dataDxfId="483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AB6DC9DE-4D37-4893-AE19-8A555B9BD2F3}" name="Table_ExternalData_1453467626413591012" displayName="Table_ExternalData_1453467626413591012" ref="A1031:V1047" tableType="queryTable" totalsRowShown="0">
  <autoFilter ref="A1031:V1047" xr:uid="{AB6DC9DE-4D37-4893-AE19-8A555B9BD2F3}"/>
  <tableColumns count="22">
    <tableColumn id="2" xr3:uid="{4DE17ED1-051B-456B-AAE9-BA39798891D4}" uniqueName="2" name="ageband" queryTableFieldId="2"/>
    <tableColumn id="3" xr3:uid="{B41B0AC4-E602-4F8D-806D-ABA28BC77DF6}" uniqueName="3" name="gradeband" queryTableFieldId="3"/>
    <tableColumn id="4" xr3:uid="{D7E0429C-7155-4D3D-B5DA-B7C586D9ABB2}" uniqueName="4" name="report" queryTableFieldId="4"/>
    <tableColumn id="52" xr3:uid="{5A7E7DB9-F47B-4CBA-A05C-7824E67058BB}" uniqueName="52" name="1" queryTableFieldId="176" dataDxfId="482"/>
    <tableColumn id="53" xr3:uid="{94C7F8C5-329C-4482-845F-21B57B1CB7C8}" uniqueName="53" name="2" queryTableFieldId="177" dataDxfId="481"/>
    <tableColumn id="54" xr3:uid="{2F681597-3192-431F-8920-051FE61FE54D}" uniqueName="54" name="3" queryTableFieldId="178" dataDxfId="480"/>
    <tableColumn id="55" xr3:uid="{9925EEE8-9798-4D37-9F97-93B9C4D59915}" uniqueName="55" name="4" queryTableFieldId="179" dataDxfId="479"/>
    <tableColumn id="56" xr3:uid="{86FED503-9FF1-46DA-B9F5-29088061C5F3}" uniqueName="56" name="5" queryTableFieldId="180" dataDxfId="478"/>
    <tableColumn id="67" xr3:uid="{2E9256CF-47EB-49B8-890E-C3F3E09236CD}" uniqueName="67" name="AS" queryTableFieldId="197" dataDxfId="477"/>
    <tableColumn id="68" xr3:uid="{8A5F702C-D123-461D-BAA3-F6C6C0E90070}" uniqueName="68" name="BL" queryTableFieldId="198" dataDxfId="476"/>
    <tableColumn id="69" xr3:uid="{06FBB9F5-A018-4357-A238-8DA034720D50}" uniqueName="69" name="HI" queryTableFieldId="199" dataDxfId="475"/>
    <tableColumn id="70" xr3:uid="{9AE71348-0157-487F-804E-7F50CB491595}" uniqueName="70" name="OT" queryTableFieldId="200" dataDxfId="474"/>
    <tableColumn id="71" xr3:uid="{9EBF6D3C-6CE7-4BFB-B1F3-7CD5A9DC2FE3}" uniqueName="71" name="WH" queryTableFieldId="201" dataDxfId="473"/>
    <tableColumn id="14" xr3:uid="{E78CDB98-AA73-4E1F-99A1-215D798EDFF2}" uniqueName="14" name="MW" queryTableFieldId="14" dataDxfId="472"/>
    <tableColumn id="15" xr3:uid="{93C6D503-00EF-43DF-84CB-763EE171CC72}" uniqueName="15" name="NE" queryTableFieldId="15" dataDxfId="471"/>
    <tableColumn id="16" xr3:uid="{7F5F2756-B15D-4CFC-B9CC-2AA096DB7065}" uniqueName="16" name="SO" queryTableFieldId="16" dataDxfId="470"/>
    <tableColumn id="17" xr3:uid="{B0103F14-9E49-4C53-97BF-3A9297C403D8}" uniqueName="17" name="WE" queryTableFieldId="17" dataDxfId="469"/>
    <tableColumn id="72" xr3:uid="{A6762B8F-C100-4E1C-9FE6-899A78F82D1B}" uniqueName="72" name="F" queryTableFieldId="202" dataDxfId="468"/>
    <tableColumn id="73" xr3:uid="{8ABF5F68-23F6-4FEB-BF74-046A44BC4D9A}" uniqueName="73" name="M" queryTableFieldId="203" dataDxfId="467"/>
    <tableColumn id="5" xr3:uid="{1989FA33-C37F-4A42-995F-1C6DD39F65CC}" uniqueName="5" name="OTHER" queryTableFieldId="211" dataDxfId="466"/>
    <tableColumn id="20" xr3:uid="{3132553F-D22C-453A-BDE6-75956C63D8B9}" uniqueName="20" name="Total" queryTableFieldId="20" dataDxfId="465"/>
    <tableColumn id="1" xr3:uid="{9CFF2ED7-D5C8-40F0-9FE0-2998E0A6F603}" uniqueName="1" name="LastRefreshed" queryTableFieldId="127" dataDxfId="464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A1E264FA-29D8-44AB-BF23-F39CBCC5FC42}" name="Table_ExternalData_145346762641359213" displayName="Table_ExternalData_145346762641359213" ref="A1231:V1327" tableType="queryTable" totalsRowShown="0">
  <autoFilter ref="A1231:V1327" xr:uid="{A1E264FA-29D8-44AB-BF23-F39CBCC5FC42}"/>
  <tableColumns count="22">
    <tableColumn id="2" xr3:uid="{C3BE400E-6DF7-41D3-9276-B1BBCFD7F9AA}" uniqueName="2" name="ageband" queryTableFieldId="2"/>
    <tableColumn id="3" xr3:uid="{BF771D8A-2A3E-452C-BF77-31EB08199CEB}" uniqueName="3" name="gradeband" queryTableFieldId="3"/>
    <tableColumn id="4" xr3:uid="{24AA7061-E967-4CAF-88E4-542BA5008F66}" uniqueName="4" name="report" queryTableFieldId="4"/>
    <tableColumn id="52" xr3:uid="{009E1F2E-C9C1-4A48-B8AB-D4664E9C8F06}" uniqueName="52" name="1" queryTableFieldId="176" dataDxfId="463"/>
    <tableColumn id="53" xr3:uid="{70BD5C53-CDC1-4159-B7AD-4A7B3DDB58E3}" uniqueName="53" name="2" queryTableFieldId="177" dataDxfId="462"/>
    <tableColumn id="54" xr3:uid="{357F77FF-5575-4989-8882-1E9759509A26}" uniqueName="54" name="3" queryTableFieldId="178" dataDxfId="461"/>
    <tableColumn id="55" xr3:uid="{9437E40F-626D-4423-AA36-0D7233FA0DF4}" uniqueName="55" name="4" queryTableFieldId="179" dataDxfId="460"/>
    <tableColumn id="56" xr3:uid="{53AA774C-07AD-4196-8567-3D67558853A3}" uniqueName="56" name="5" queryTableFieldId="180" dataDxfId="459"/>
    <tableColumn id="67" xr3:uid="{2E1D87F3-B87C-41F3-9AF8-11A31BEA0795}" uniqueName="67" name="AS" queryTableFieldId="197" dataDxfId="458"/>
    <tableColumn id="68" xr3:uid="{AFE2839B-5AA7-47BC-B958-14939C03FEB0}" uniqueName="68" name="BL" queryTableFieldId="198" dataDxfId="457"/>
    <tableColumn id="69" xr3:uid="{A27FD3FF-6186-4379-92F6-3FAE0D2B0A2C}" uniqueName="69" name="HI" queryTableFieldId="199" dataDxfId="456"/>
    <tableColumn id="70" xr3:uid="{D6EE2A03-D5A3-4532-8E1C-D6C7AFC6624A}" uniqueName="70" name="OT" queryTableFieldId="200" dataDxfId="455"/>
    <tableColumn id="71" xr3:uid="{886EA88B-ABB0-4BC9-AA40-7E829D4D4A4F}" uniqueName="71" name="WH" queryTableFieldId="201" dataDxfId="454"/>
    <tableColumn id="14" xr3:uid="{1A4D4327-8079-4CD1-8CC6-51C95155FF0A}" uniqueName="14" name="MW" queryTableFieldId="14" dataDxfId="453"/>
    <tableColumn id="15" xr3:uid="{D7A8E3A8-E043-415D-9BBE-9099C0AE8F38}" uniqueName="15" name="NE" queryTableFieldId="15" dataDxfId="452"/>
    <tableColumn id="16" xr3:uid="{2ACADCEC-EF9D-4395-9685-97D7CE7947DA}" uniqueName="16" name="SO" queryTableFieldId="16" dataDxfId="451"/>
    <tableColumn id="17" xr3:uid="{CDF9676F-E8F9-417D-B19E-7716E5D9F66C}" uniqueName="17" name="WE" queryTableFieldId="17" dataDxfId="450"/>
    <tableColumn id="72" xr3:uid="{1850AE6F-FF16-49AB-BF48-A1F4C15BE922}" uniqueName="72" name="F" queryTableFieldId="202" dataDxfId="449"/>
    <tableColumn id="73" xr3:uid="{63E5790E-03A6-4E67-A0C2-935A509B9F26}" uniqueName="73" name="M" queryTableFieldId="203" dataDxfId="448"/>
    <tableColumn id="5" xr3:uid="{B69B4614-BD42-4FD8-AFB1-CB556503DB35}" uniqueName="5" name="OTHER" queryTableFieldId="211" dataDxfId="447"/>
    <tableColumn id="20" xr3:uid="{87B85370-4F47-4540-8594-144DBA63FF5E}" uniqueName="20" name="Total" queryTableFieldId="20" dataDxfId="446"/>
    <tableColumn id="1" xr3:uid="{8D55F81C-821A-43AD-9517-F19CC550D605}" uniqueName="1" name="LastRefreshed" queryTableFieldId="127" dataDxfId="445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5331375-55C3-401F-9E64-D32E43168CBE}" name="Table_ExternalData_1453467626413592136" displayName="Table_ExternalData_1453467626413592136" ref="A1331:V1427" tableType="queryTable" totalsRowShown="0">
  <autoFilter ref="A1331:V1427" xr:uid="{A5331375-55C3-401F-9E64-D32E43168CBE}"/>
  <tableColumns count="22">
    <tableColumn id="2" xr3:uid="{6CDD75D4-37A4-4F58-B4CF-A0E5EFAA0C4F}" uniqueName="2" name="ageband" queryTableFieldId="2"/>
    <tableColumn id="3" xr3:uid="{B2600549-50D1-41DA-9548-94A366FFF21D}" uniqueName="3" name="gradeband" queryTableFieldId="3"/>
    <tableColumn id="4" xr3:uid="{2895DB38-FA36-4F0F-9B7F-1B3AB2CA9EF3}" uniqueName="4" name="report" queryTableFieldId="4"/>
    <tableColumn id="52" xr3:uid="{B1DFC282-931D-423D-B2C4-28F3EAEDF9A0}" uniqueName="52" name="1" queryTableFieldId="176" dataDxfId="444"/>
    <tableColumn id="53" xr3:uid="{24A37BB4-1306-4A85-9276-7B7D269E214B}" uniqueName="53" name="2" queryTableFieldId="177" dataDxfId="443"/>
    <tableColumn id="54" xr3:uid="{8738D6B3-BD92-40EB-A375-F43A613BAF3D}" uniqueName="54" name="3" queryTableFieldId="178" dataDxfId="442"/>
    <tableColumn id="55" xr3:uid="{74E27B90-003C-491F-A5B8-DD3C6A6DD503}" uniqueName="55" name="4" queryTableFieldId="179" dataDxfId="441"/>
    <tableColumn id="56" xr3:uid="{FE8CF032-355B-475C-BBC2-C633E0500F72}" uniqueName="56" name="5" queryTableFieldId="180" dataDxfId="440"/>
    <tableColumn id="67" xr3:uid="{A20D4FC6-5F3B-4A13-8771-9B7D6ECD4F62}" uniqueName="67" name="AS" queryTableFieldId="197" dataDxfId="439"/>
    <tableColumn id="68" xr3:uid="{90E4A727-99BF-4599-86C4-79646AE4D94E}" uniqueName="68" name="BL" queryTableFieldId="198" dataDxfId="438"/>
    <tableColumn id="69" xr3:uid="{D8E7F383-B597-4583-8D50-4C620A9424E1}" uniqueName="69" name="HI" queryTableFieldId="199" dataDxfId="437"/>
    <tableColumn id="70" xr3:uid="{2BD75FD8-F569-4719-BF03-26E7615B3B07}" uniqueName="70" name="OT" queryTableFieldId="200" dataDxfId="436"/>
    <tableColumn id="71" xr3:uid="{0A2D531F-3C5D-42AD-AD92-6FFE8B66B117}" uniqueName="71" name="WH" queryTableFieldId="201" dataDxfId="435"/>
    <tableColumn id="14" xr3:uid="{686B7336-8B26-4DC7-B4D6-0F7CE235FA53}" uniqueName="14" name="MW" queryTableFieldId="14" dataDxfId="434"/>
    <tableColumn id="15" xr3:uid="{CA21C583-B7E0-4CF7-8BFE-345C28CDF5E1}" uniqueName="15" name="NE" queryTableFieldId="15" dataDxfId="433"/>
    <tableColumn id="16" xr3:uid="{E297584C-AD66-4CAD-9CA1-89207E2DE848}" uniqueName="16" name="SO" queryTableFieldId="16" dataDxfId="432"/>
    <tableColumn id="17" xr3:uid="{871182E8-7AAF-4BEA-8AF6-8782326880AA}" uniqueName="17" name="WE" queryTableFieldId="17" dataDxfId="431"/>
    <tableColumn id="72" xr3:uid="{3A0B1428-029C-4402-BA3E-135D2F2564C5}" uniqueName="72" name="F" queryTableFieldId="202" dataDxfId="430"/>
    <tableColumn id="73" xr3:uid="{1F1C4281-5454-4E1D-9641-FACA3256EFBD}" uniqueName="73" name="M" queryTableFieldId="203" dataDxfId="429"/>
    <tableColumn id="5" xr3:uid="{C8A04FE4-5983-48CC-913D-0FA8D9816464}" uniqueName="5" name="OTHER" queryTableFieldId="211" dataDxfId="428"/>
    <tableColumn id="20" xr3:uid="{99A6E67A-8DB8-4DA1-82A6-CE8DE1956B78}" uniqueName="20" name="Total" queryTableFieldId="20" dataDxfId="427"/>
    <tableColumn id="1" xr3:uid="{78A6301B-9002-4A6F-81C5-E3049C3EA825}" uniqueName="1" name="LastRefreshed" queryTableFieldId="127" dataDxfId="426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D217AA45-BB2A-41AF-86C5-379B0A3D3C24}" name="Table_ExternalData_1453467626413592414" displayName="Table_ExternalData_1453467626413592414" ref="A1531:V1627" tableType="queryTable" totalsRowShown="0">
  <autoFilter ref="A1531:V1627" xr:uid="{D217AA45-BB2A-41AF-86C5-379B0A3D3C24}"/>
  <tableColumns count="22">
    <tableColumn id="2" xr3:uid="{E6FC7937-479F-484D-ADA7-6A99A899AF47}" uniqueName="2" name="ageband" queryTableFieldId="2"/>
    <tableColumn id="3" xr3:uid="{84074DF6-3EBD-47A7-B2C1-1839F930C2A6}" uniqueName="3" name="gradeband" queryTableFieldId="3"/>
    <tableColumn id="4" xr3:uid="{066B8CD6-F0AF-47C1-933B-C76B0A4635D9}" uniqueName="4" name="report" queryTableFieldId="4"/>
    <tableColumn id="52" xr3:uid="{51C93852-9E0B-47AB-9CD1-CE7DC5116AB2}" uniqueName="52" name="1" queryTableFieldId="176" dataDxfId="425"/>
    <tableColumn id="53" xr3:uid="{EE874BA6-6258-4CC0-ADD7-A5A97BC12180}" uniqueName="53" name="2" queryTableFieldId="177" dataDxfId="424"/>
    <tableColumn id="54" xr3:uid="{908F6EDA-155A-4F43-8AF3-E367F0F17016}" uniqueName="54" name="3" queryTableFieldId="178" dataDxfId="423"/>
    <tableColumn id="55" xr3:uid="{7C87B84E-557E-44B0-B433-02B64EF9C5D4}" uniqueName="55" name="4" queryTableFieldId="179" dataDxfId="422"/>
    <tableColumn id="56" xr3:uid="{26960D87-809C-4456-ABFB-9F53A1192D67}" uniqueName="56" name="5" queryTableFieldId="180" dataDxfId="421"/>
    <tableColumn id="67" xr3:uid="{788363A7-611E-44C1-B617-49B076FB6450}" uniqueName="67" name="AS" queryTableFieldId="197" dataDxfId="420"/>
    <tableColumn id="68" xr3:uid="{49FE62B2-8D81-4772-8D4C-31B9E8AD7CBD}" uniqueName="68" name="BL" queryTableFieldId="198" dataDxfId="419"/>
    <tableColumn id="69" xr3:uid="{2CB6B5E3-F2A9-4731-8C0D-D31E7F2384AD}" uniqueName="69" name="HI" queryTableFieldId="199" dataDxfId="418"/>
    <tableColumn id="70" xr3:uid="{BA1EF4DB-A7EF-4BB6-B85D-94599E5B9B57}" uniqueName="70" name="OT" queryTableFieldId="200" dataDxfId="417"/>
    <tableColumn id="71" xr3:uid="{0D2F0AD0-0F88-4AC7-80C6-D7083253CB53}" uniqueName="71" name="WH" queryTableFieldId="201" dataDxfId="416"/>
    <tableColumn id="14" xr3:uid="{F969AFEC-C034-459E-8749-63A6CA9852F1}" uniqueName="14" name="MW" queryTableFieldId="14" dataDxfId="415"/>
    <tableColumn id="15" xr3:uid="{EF93734F-A8C3-48AF-B169-35971548367B}" uniqueName="15" name="NE" queryTableFieldId="15" dataDxfId="414"/>
    <tableColumn id="16" xr3:uid="{02596C9E-CA1E-4DFB-A141-D69A6BE8E199}" uniqueName="16" name="SO" queryTableFieldId="16" dataDxfId="413"/>
    <tableColumn id="17" xr3:uid="{FAB11A8D-7BEB-48A3-B25A-6C1923C0C273}" uniqueName="17" name="WE" queryTableFieldId="17" dataDxfId="412"/>
    <tableColumn id="72" xr3:uid="{D8EB2BED-50C8-48F9-9A46-FCD029B9DA88}" uniqueName="72" name="F" queryTableFieldId="202" dataDxfId="411"/>
    <tableColumn id="73" xr3:uid="{3925F006-6271-4C32-A654-2D6D5FDF16B7}" uniqueName="73" name="M" queryTableFieldId="203" dataDxfId="410"/>
    <tableColumn id="5" xr3:uid="{D49BDD05-F82D-4027-89BF-02098C332D82}" uniqueName="5" name="OTHER" queryTableFieldId="211" dataDxfId="409"/>
    <tableColumn id="20" xr3:uid="{EB379ACD-9BA2-403B-914D-12157F92D0A0}" uniqueName="20" name="Total" queryTableFieldId="20" dataDxfId="408"/>
    <tableColumn id="1" xr3:uid="{753FEA50-969A-4AD9-9AE5-E4BA890FAD0D}" uniqueName="1" name="LastRefreshed" queryTableFieldId="127" dataDxfId="407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60D7BB51-6A81-44ED-943E-DB539EA0186F}" name="Table_ExternalData_145346762641359241418" displayName="Table_ExternalData_145346762641359241418" ref="A1631:V1727" tableType="queryTable" totalsRowShown="0">
  <autoFilter ref="A1631:V1727" xr:uid="{60D7BB51-6A81-44ED-943E-DB539EA0186F}"/>
  <tableColumns count="22">
    <tableColumn id="2" xr3:uid="{4CDDF46A-5C8C-4627-993A-C4C61119B412}" uniqueName="2" name="ageband" queryTableFieldId="2"/>
    <tableColumn id="3" xr3:uid="{822BE2CE-35B7-4D8B-9FEC-5DAE85E70065}" uniqueName="3" name="gradeband" queryTableFieldId="3"/>
    <tableColumn id="4" xr3:uid="{7D90CF22-0189-420B-9C25-491CA329F16F}" uniqueName="4" name="report" queryTableFieldId="4"/>
    <tableColumn id="52" xr3:uid="{1558C058-8456-43FD-8921-C2BC42E5433E}" uniqueName="52" name="1" queryTableFieldId="176" dataDxfId="406"/>
    <tableColumn id="53" xr3:uid="{58630311-84A1-42AE-8268-4F139D307577}" uniqueName="53" name="2" queryTableFieldId="177" dataDxfId="405"/>
    <tableColumn id="54" xr3:uid="{006A822A-0B72-4E41-94DE-BC8513CC66FF}" uniqueName="54" name="3" queryTableFieldId="178" dataDxfId="404"/>
    <tableColumn id="55" xr3:uid="{88C9B718-2B65-4FD8-8545-CF94F1004862}" uniqueName="55" name="4" queryTableFieldId="179" dataDxfId="403"/>
    <tableColumn id="56" xr3:uid="{2744EF08-DB17-440A-8C67-BCE7994BBAC4}" uniqueName="56" name="5" queryTableFieldId="180" dataDxfId="402"/>
    <tableColumn id="67" xr3:uid="{54C35917-50A8-46E3-A5CB-8A6BF6A3623C}" uniqueName="67" name="AS" queryTableFieldId="197" dataDxfId="401"/>
    <tableColumn id="68" xr3:uid="{B4B60573-C1AF-48E4-BE51-F5077FEDB85C}" uniqueName="68" name="BL" queryTableFieldId="198" dataDxfId="400"/>
    <tableColumn id="69" xr3:uid="{94B34780-3E6E-4C51-BB04-821829B65B13}" uniqueName="69" name="HI" queryTableFieldId="199" dataDxfId="399"/>
    <tableColumn id="70" xr3:uid="{D7D01477-7A03-4E03-9458-C20AD051D685}" uniqueName="70" name="OT" queryTableFieldId="200" dataDxfId="398"/>
    <tableColumn id="71" xr3:uid="{610BB926-6AA4-46AB-867C-70BD27B0C8C9}" uniqueName="71" name="WH" queryTableFieldId="201" dataDxfId="397"/>
    <tableColumn id="14" xr3:uid="{7629AB60-E6BF-405B-8ADE-6C74E61B2938}" uniqueName="14" name="MW" queryTableFieldId="14" dataDxfId="396"/>
    <tableColumn id="15" xr3:uid="{44AE7E5B-D390-40AC-AF40-B8A96C0E74D9}" uniqueName="15" name="NE" queryTableFieldId="15" dataDxfId="395"/>
    <tableColumn id="16" xr3:uid="{6364C9FA-711E-4DB2-9843-7638717BF715}" uniqueName="16" name="SO" queryTableFieldId="16" dataDxfId="394"/>
    <tableColumn id="17" xr3:uid="{31EFF4C0-EA03-4309-8F69-BDDC17FA6C49}" uniqueName="17" name="WE" queryTableFieldId="17" dataDxfId="393"/>
    <tableColumn id="72" xr3:uid="{297EC73B-2FE5-40E5-85EA-8DABE70F4617}" uniqueName="72" name="F" queryTableFieldId="202" dataDxfId="392"/>
    <tableColumn id="73" xr3:uid="{33028104-A807-406F-A5C9-4C42F69AA6F9}" uniqueName="73" name="M" queryTableFieldId="203" dataDxfId="391"/>
    <tableColumn id="5" xr3:uid="{BB24B480-1C7F-483C-AE47-50B766FC3B96}" uniqueName="5" name="OTHER" queryTableFieldId="211" dataDxfId="390"/>
    <tableColumn id="20" xr3:uid="{9265797A-D9B5-406D-841A-C59C2FB97E50}" uniqueName="20" name="Total" queryTableFieldId="20" dataDxfId="389"/>
    <tableColumn id="1" xr3:uid="{645202B2-FF06-4C59-9D28-0B11DEAD2718}" uniqueName="1" name="LastRefreshed" queryTableFieldId="127" dataDxfId="388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231B3B23-C9B2-43D2-8D51-779360F85928}" name="Table_ExternalData_14534676264135924141819" displayName="Table_ExternalData_14534676264135924141819" ref="A1731:V1747" tableType="queryTable" totalsRowShown="0">
  <autoFilter ref="A1731:V1747" xr:uid="{231B3B23-C9B2-43D2-8D51-779360F85928}"/>
  <tableColumns count="22">
    <tableColumn id="2" xr3:uid="{D3926275-7261-4D58-8DA7-92CE1058DD18}" uniqueName="2" name="ageband" queryTableFieldId="2"/>
    <tableColumn id="3" xr3:uid="{E48401AF-3769-4968-B14A-DE44CA8ABD99}" uniqueName="3" name="gradeband" queryTableFieldId="3"/>
    <tableColumn id="4" xr3:uid="{1242ABBA-7C29-48AD-B7D7-3C445BCEEE9C}" uniqueName="4" name="report" queryTableFieldId="4"/>
    <tableColumn id="52" xr3:uid="{B6969759-C991-48F9-8A61-9CE2E33B10CA}" uniqueName="52" name="1" queryTableFieldId="176" dataDxfId="387"/>
    <tableColumn id="53" xr3:uid="{0D2F0625-8177-4342-A133-252A55BF2C36}" uniqueName="53" name="2" queryTableFieldId="177" dataDxfId="386"/>
    <tableColumn id="54" xr3:uid="{083E83ED-F050-4C56-BD89-41F465D8B2FE}" uniqueName="54" name="3" queryTableFieldId="178" dataDxfId="385"/>
    <tableColumn id="55" xr3:uid="{924B30B3-7CB4-48FC-9C38-D2AED477FCE1}" uniqueName="55" name="4" queryTableFieldId="179" dataDxfId="384"/>
    <tableColumn id="56" xr3:uid="{173CFFD0-A3DB-4495-9C9C-C6036917F782}" uniqueName="56" name="5" queryTableFieldId="180" dataDxfId="383"/>
    <tableColumn id="67" xr3:uid="{747EC3EF-0932-45FE-B58F-D5F3980958CE}" uniqueName="67" name="AS" queryTableFieldId="197" dataDxfId="382"/>
    <tableColumn id="68" xr3:uid="{CE3D73D9-A0A7-4F2E-B8DB-4B8E701B188D}" uniqueName="68" name="BL" queryTableFieldId="198" dataDxfId="381"/>
    <tableColumn id="69" xr3:uid="{B926875D-9367-45E2-BB3F-C2EC40AA27E5}" uniqueName="69" name="HI" queryTableFieldId="199" dataDxfId="380"/>
    <tableColumn id="70" xr3:uid="{A3B0E432-508F-4699-934B-50457462E8E0}" uniqueName="70" name="OT" queryTableFieldId="200" dataDxfId="379"/>
    <tableColumn id="71" xr3:uid="{A0AC7494-4758-48E3-9761-B2A78D893D77}" uniqueName="71" name="WH" queryTableFieldId="201" dataDxfId="378"/>
    <tableColumn id="14" xr3:uid="{B9DBA57E-F291-4B71-BA16-91474AF5982B}" uniqueName="14" name="MW" queryTableFieldId="14" dataDxfId="377"/>
    <tableColumn id="15" xr3:uid="{D6546480-21F8-4AA3-B6A0-1266680D9892}" uniqueName="15" name="NE" queryTableFieldId="15" dataDxfId="376"/>
    <tableColumn id="16" xr3:uid="{02A01862-4F36-48FA-B44F-3F0379E960E4}" uniqueName="16" name="SO" queryTableFieldId="16" dataDxfId="375"/>
    <tableColumn id="17" xr3:uid="{7CA3AC78-2A19-4229-AB00-D860B0F7ECC3}" uniqueName="17" name="WE" queryTableFieldId="17" dataDxfId="374"/>
    <tableColumn id="72" xr3:uid="{79F49647-915B-44BA-983E-659C688C69F5}" uniqueName="72" name="F" queryTableFieldId="202" dataDxfId="373"/>
    <tableColumn id="73" xr3:uid="{BCC475E1-B10F-43D1-A852-5F1E03DA46F4}" uniqueName="73" name="M" queryTableFieldId="203" dataDxfId="372"/>
    <tableColumn id="5" xr3:uid="{995A774D-75C2-4695-8B41-D1142BF9589C}" uniqueName="5" name="OTHER" queryTableFieldId="211" dataDxfId="371"/>
    <tableColumn id="20" xr3:uid="{D3F4F65E-0E0F-4875-8A50-11138BB489A6}" uniqueName="20" name="Total" queryTableFieldId="20" dataDxfId="370"/>
    <tableColumn id="1" xr3:uid="{191B3ED6-0978-42BE-8006-77D05571EC8C}" uniqueName="1" name="LastRefreshed" queryTableFieldId="127" dataDxfId="369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5739ABEE-49B8-42D1-8DB7-7FD69964794C}" name="Table_ExternalData_1453467626413592414181920" displayName="Table_ExternalData_1453467626413592414181920" ref="A1831:V1847" tableType="queryTable" totalsRowShown="0">
  <autoFilter ref="A1831:V1847" xr:uid="{5739ABEE-49B8-42D1-8DB7-7FD69964794C}"/>
  <tableColumns count="22">
    <tableColumn id="2" xr3:uid="{E5CFD71C-136C-40FA-B3D5-77FCBB340713}" uniqueName="2" name="ageband" queryTableFieldId="2"/>
    <tableColumn id="3" xr3:uid="{71A954A1-267A-44C7-BD68-B9FD377DE501}" uniqueName="3" name="gradeband" queryTableFieldId="3"/>
    <tableColumn id="4" xr3:uid="{AE919A1A-EF3F-45F7-9E7C-C8DF25F23198}" uniqueName="4" name="report" queryTableFieldId="4"/>
    <tableColumn id="52" xr3:uid="{B3DF54BB-B556-4689-8C00-51CCA99088E2}" uniqueName="52" name="1" queryTableFieldId="176" dataDxfId="368"/>
    <tableColumn id="53" xr3:uid="{7E111602-4280-49E0-8A33-38715DA5691D}" uniqueName="53" name="2" queryTableFieldId="177" dataDxfId="367"/>
    <tableColumn id="54" xr3:uid="{B606C0C9-C6A3-4B94-9F70-57BF39C95A9C}" uniqueName="54" name="3" queryTableFieldId="178" dataDxfId="366"/>
    <tableColumn id="55" xr3:uid="{18262CF3-77DB-4380-9803-94F3478B6496}" uniqueName="55" name="4" queryTableFieldId="179" dataDxfId="365"/>
    <tableColumn id="56" xr3:uid="{0762BBC8-FB56-4941-A6AA-EB498758B0A2}" uniqueName="56" name="5" queryTableFieldId="180" dataDxfId="364"/>
    <tableColumn id="67" xr3:uid="{3F15A80C-9195-4326-AA44-6F8D08AF6BCF}" uniqueName="67" name="AS" queryTableFieldId="197" dataDxfId="363"/>
    <tableColumn id="68" xr3:uid="{6A51C728-E7A0-43D6-A7CE-64EAE83F03C3}" uniqueName="68" name="BL" queryTableFieldId="198" dataDxfId="362"/>
    <tableColumn id="69" xr3:uid="{45DF1FD8-938F-4998-83C6-A7F7171D507C}" uniqueName="69" name="HI" queryTableFieldId="199" dataDxfId="361"/>
    <tableColumn id="70" xr3:uid="{4A0474C4-E630-4043-82F8-777FE057F5E3}" uniqueName="70" name="OT" queryTableFieldId="200" dataDxfId="360"/>
    <tableColumn id="71" xr3:uid="{A291D8F2-5E68-4CFC-8D66-E38E005F402C}" uniqueName="71" name="WH" queryTableFieldId="201" dataDxfId="359"/>
    <tableColumn id="14" xr3:uid="{38F94D92-AEC6-49C1-A087-F1CC6C6252BF}" uniqueName="14" name="MW" queryTableFieldId="14" dataDxfId="358"/>
    <tableColumn id="15" xr3:uid="{5CF92860-1DC7-4EB1-AA54-543C732D7FDA}" uniqueName="15" name="NE" queryTableFieldId="15" dataDxfId="357"/>
    <tableColumn id="16" xr3:uid="{28B05E2B-08F4-4F38-A2EE-166A07506E35}" uniqueName="16" name="SO" queryTableFieldId="16" dataDxfId="356"/>
    <tableColumn id="17" xr3:uid="{2FA964A5-C1FC-419F-B64B-FE8266A0655E}" uniqueName="17" name="WE" queryTableFieldId="17" dataDxfId="355"/>
    <tableColumn id="72" xr3:uid="{D0874915-262C-4241-A23F-C878154894BB}" uniqueName="72" name="F" queryTableFieldId="202" dataDxfId="354"/>
    <tableColumn id="73" xr3:uid="{BAD16AF5-9DAE-4930-B162-F9F9507B20E5}" uniqueName="73" name="M" queryTableFieldId="203" dataDxfId="353"/>
    <tableColumn id="5" xr3:uid="{D98B3C88-7797-4218-AEE4-AB218656616A}" uniqueName="5" name="OTHER" queryTableFieldId="211" dataDxfId="352"/>
    <tableColumn id="20" xr3:uid="{97D95676-B4D0-4E0B-8C36-4C881446343E}" uniqueName="20" name="Total" queryTableFieldId="20" dataDxfId="351"/>
    <tableColumn id="1" xr3:uid="{A4F25D1D-FB3C-460C-AAE9-2C157E4C33DF}" uniqueName="1" name="LastRefreshed" queryTableFieldId="127" dataDxfId="350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EF372FF-4D9E-4229-B940-0641DCA94EC9}" name="Table_ExternalData_145346762641359241418192016" displayName="Table_ExternalData_145346762641359241418192016" ref="A1931:V2027" tableType="queryTable" totalsRowShown="0">
  <autoFilter ref="A1931:V2027" xr:uid="{0EF372FF-4D9E-4229-B940-0641DCA94EC9}"/>
  <tableColumns count="22">
    <tableColumn id="2" xr3:uid="{A166BDCF-B7AF-4954-B78C-3598A5C1B8EA}" uniqueName="2" name="ageband" queryTableFieldId="2"/>
    <tableColumn id="3" xr3:uid="{4B36FC21-66D5-4081-BCA9-6A09E1F0E576}" uniqueName="3" name="gradeband" queryTableFieldId="3"/>
    <tableColumn id="4" xr3:uid="{60035CF5-95C7-4045-93C1-E889484DC41F}" uniqueName="4" name="report" queryTableFieldId="4"/>
    <tableColumn id="52" xr3:uid="{9C06B4FD-F6B2-45F6-8905-569941AB3774}" uniqueName="52" name="1" queryTableFieldId="176" dataDxfId="349"/>
    <tableColumn id="53" xr3:uid="{5D7C6FF9-E59C-4AED-98C9-051FADE3B892}" uniqueName="53" name="2" queryTableFieldId="177" dataDxfId="348"/>
    <tableColumn id="54" xr3:uid="{F42035CA-EFFC-45BB-A60C-82747433751C}" uniqueName="54" name="3" queryTableFieldId="178" dataDxfId="347"/>
    <tableColumn id="55" xr3:uid="{DBEAA063-1631-40D4-B84F-610BDA39EA49}" uniqueName="55" name="4" queryTableFieldId="179" dataDxfId="346"/>
    <tableColumn id="56" xr3:uid="{E3E557F6-B90E-4C2D-B3D0-FA4BF4D6095F}" uniqueName="56" name="5" queryTableFieldId="180" dataDxfId="345"/>
    <tableColumn id="67" xr3:uid="{87974D61-B042-4CC8-A36B-4DFFC565426F}" uniqueName="67" name="AS" queryTableFieldId="197" dataDxfId="344"/>
    <tableColumn id="68" xr3:uid="{D034AEC3-B3AF-4ABC-9D1A-8534C6B60605}" uniqueName="68" name="BL" queryTableFieldId="198" dataDxfId="343"/>
    <tableColumn id="69" xr3:uid="{B06170E3-8E8D-43F7-A0B5-6705096DB10B}" uniqueName="69" name="HI" queryTableFieldId="199" dataDxfId="342"/>
    <tableColumn id="70" xr3:uid="{967AF596-3F97-4D9E-AA60-7955AC1E6D11}" uniqueName="70" name="OT" queryTableFieldId="200" dataDxfId="341"/>
    <tableColumn id="71" xr3:uid="{7F1CDCB8-1E2D-4D90-9A91-8BE38B804653}" uniqueName="71" name="WH" queryTableFieldId="201" dataDxfId="340"/>
    <tableColumn id="14" xr3:uid="{F7ECDE67-5A63-4AF7-A824-EC3345F8110E}" uniqueName="14" name="MW" queryTableFieldId="14" dataDxfId="339"/>
    <tableColumn id="15" xr3:uid="{742E4C01-ED6D-462F-9F9E-3DEE71EEB372}" uniqueName="15" name="NE" queryTableFieldId="15" dataDxfId="338"/>
    <tableColumn id="16" xr3:uid="{5D16E5B6-18B1-4E7A-AB1E-76DA1EC30F49}" uniqueName="16" name="SO" queryTableFieldId="16" dataDxfId="337"/>
    <tableColumn id="17" xr3:uid="{6784A504-4002-4932-9A8E-16A9558DB5A9}" uniqueName="17" name="WE" queryTableFieldId="17" dataDxfId="336"/>
    <tableColumn id="72" xr3:uid="{6DCB13B8-0B60-49A0-AC10-66200CDFF5C1}" uniqueName="72" name="F" queryTableFieldId="202" dataDxfId="335"/>
    <tableColumn id="73" xr3:uid="{94CC6083-DA55-44C1-8C45-1A1E4F548240}" uniqueName="73" name="M" queryTableFieldId="203" dataDxfId="334"/>
    <tableColumn id="5" xr3:uid="{E65D828D-8BAD-4C3E-A618-BDAB8204750A}" uniqueName="5" name="OTHER" queryTableFieldId="211" dataDxfId="333"/>
    <tableColumn id="20" xr3:uid="{20478753-7188-44DD-9A8C-83CD872B7B48}" uniqueName="20" name="Total" queryTableFieldId="20" dataDxfId="332"/>
    <tableColumn id="1" xr3:uid="{E0927FAA-7842-441F-85BB-4BBC0FB47637}" uniqueName="1" name="LastRefreshed" queryTableFieldId="127" dataDxfId="331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99236407-D786-4C7F-A3C5-031A92239736}" name="Table_ExternalData_14534676264135924141819201615" displayName="Table_ExternalData_14534676264135924141819201615" ref="A2031:V2127" tableType="queryTable" totalsRowShown="0">
  <autoFilter ref="A2031:V2127" xr:uid="{99236407-D786-4C7F-A3C5-031A92239736}"/>
  <tableColumns count="22">
    <tableColumn id="2" xr3:uid="{B018118B-2429-4358-886F-E65B08F47B17}" uniqueName="2" name="ageband" queryTableFieldId="2"/>
    <tableColumn id="3" xr3:uid="{0A61D419-EE83-4F2E-8FE7-AE8CF1A073AA}" uniqueName="3" name="gradeband" queryTableFieldId="3"/>
    <tableColumn id="4" xr3:uid="{7025DACA-F416-4C4A-9BB9-BAD38CA5D9A9}" uniqueName="4" name="report" queryTableFieldId="4"/>
    <tableColumn id="52" xr3:uid="{FA06677F-F655-475C-9A18-9EAF257B364A}" uniqueName="52" name="1" queryTableFieldId="176" dataDxfId="330"/>
    <tableColumn id="53" xr3:uid="{91680CC9-7F27-4313-870A-1CB59590AEAF}" uniqueName="53" name="2" queryTableFieldId="177" dataDxfId="329"/>
    <tableColumn id="54" xr3:uid="{EFAB4FDB-9C25-4320-A756-6C7C60BF3F68}" uniqueName="54" name="3" queryTableFieldId="178" dataDxfId="328"/>
    <tableColumn id="55" xr3:uid="{BC4AAB2A-E51C-4DAE-813E-D1B34A013485}" uniqueName="55" name="4" queryTableFieldId="179" dataDxfId="327"/>
    <tableColumn id="56" xr3:uid="{896FF066-E13F-45A5-A183-8F0C4A4C6097}" uniqueName="56" name="5" queryTableFieldId="180" dataDxfId="326"/>
    <tableColumn id="67" xr3:uid="{27761782-FD49-46BC-B66B-E37EB123C1F8}" uniqueName="67" name="AS" queryTableFieldId="197" dataDxfId="325"/>
    <tableColumn id="68" xr3:uid="{EE7684C4-A576-4A48-A7E1-8A2B64FB999D}" uniqueName="68" name="BL" queryTableFieldId="198" dataDxfId="324"/>
    <tableColumn id="69" xr3:uid="{2615176E-8910-4D73-821D-6F706D8C3D9B}" uniqueName="69" name="HI" queryTableFieldId="199" dataDxfId="323"/>
    <tableColumn id="70" xr3:uid="{75AD614E-5401-4589-93C9-9B2148A780F2}" uniqueName="70" name="OT" queryTableFieldId="200" dataDxfId="322"/>
    <tableColumn id="71" xr3:uid="{083823CC-FB1B-4943-AB55-9B1C6EC94B37}" uniqueName="71" name="WH" queryTableFieldId="201" dataDxfId="321"/>
    <tableColumn id="14" xr3:uid="{5743AD22-DEAC-4743-A9CD-9B38F0ABAADA}" uniqueName="14" name="MW" queryTableFieldId="14" dataDxfId="320"/>
    <tableColumn id="15" xr3:uid="{01899E6F-24D4-4051-847B-767AD2762F0B}" uniqueName="15" name="NE" queryTableFieldId="15" dataDxfId="319"/>
    <tableColumn id="16" xr3:uid="{B7B15AEB-252D-46DD-AB03-6C1113F68E3E}" uniqueName="16" name="SO" queryTableFieldId="16" dataDxfId="318"/>
    <tableColumn id="17" xr3:uid="{EC78EBB0-77E2-411D-BA01-F5E491B9EAD4}" uniqueName="17" name="WE" queryTableFieldId="17" dataDxfId="317"/>
    <tableColumn id="72" xr3:uid="{27231ADB-6395-458D-9B60-FBAC8C73A6E2}" uniqueName="72" name="F" queryTableFieldId="202" dataDxfId="316"/>
    <tableColumn id="73" xr3:uid="{5E11815C-9F79-49DC-8949-C1B9A55611EF}" uniqueName="73" name="M" queryTableFieldId="203" dataDxfId="315"/>
    <tableColumn id="5" xr3:uid="{0DC272C1-85E6-4F0E-9DA1-E3D9D7F4F29E}" uniqueName="5" name="OTHER" queryTableFieldId="211" dataDxfId="314"/>
    <tableColumn id="20" xr3:uid="{AA56251D-FC90-44BB-A24E-5EE6EE70A11A}" uniqueName="20" name="Total" queryTableFieldId="20" dataDxfId="313"/>
    <tableColumn id="1" xr3:uid="{AF6260BB-F50A-48D0-AAF6-9BF4FB01BD73}" uniqueName="1" name="LastRefreshed" queryTableFieldId="127" dataDxfId="312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" xr:uid="{002ADB6E-FCD7-F44D-8BBF-68FE57D36E36}" name="Table_ExternalData_1444" displayName="Table_ExternalData_1444" ref="A2:F23" tableType="queryTable" totalsRowShown="0" headerRowDxfId="706" dataDxfId="705">
  <tableColumns count="6">
    <tableColumn id="1" xr3:uid="{878297B3-6257-084F-BA46-8E648E959B33}" uniqueName="1" name="study_id" queryTableFieldId="1" dataDxfId="704"/>
    <tableColumn id="2" xr3:uid="{D218CE57-3961-BD4E-9AFE-D1C3A6332961}" uniqueName="2" name="study" queryTableFieldId="24" dataDxfId="703" dataCellStyle="Hyperlink"/>
    <tableColumn id="3" xr3:uid="{E3B4DDD7-9341-5447-B648-0E30E4D057D9}" uniqueName="3" name="Target" queryTableFieldId="25" dataDxfId="702"/>
    <tableColumn id="4" xr3:uid="{C453F167-7C13-924B-AD2A-A77BFE82D392}" uniqueName="4" name="usableCount" queryTableFieldId="26" dataDxfId="701"/>
    <tableColumn id="5" xr3:uid="{D6194872-A874-3541-9A5E-AEE54DEDDDD1}" uniqueName="5" name="Percentage" queryTableFieldId="27" dataDxfId="700" dataCellStyle="Percent"/>
    <tableColumn id="6" xr3:uid="{D42F6023-79CC-404A-BA03-97E311060DF2}" uniqueName="6" name="Refreshed_Date" queryTableFieldId="28" dataDxfId="699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13" Type="http://schemas.openxmlformats.org/officeDocument/2006/relationships/table" Target="../tables/table13.xml"/><Relationship Id="rId18" Type="http://schemas.openxmlformats.org/officeDocument/2006/relationships/table" Target="../tables/table18.xml"/><Relationship Id="rId3" Type="http://schemas.openxmlformats.org/officeDocument/2006/relationships/table" Target="../tables/table3.xml"/><Relationship Id="rId21" Type="http://schemas.openxmlformats.org/officeDocument/2006/relationships/table" Target="../tables/table21.xml"/><Relationship Id="rId7" Type="http://schemas.openxmlformats.org/officeDocument/2006/relationships/table" Target="../tables/table7.xml"/><Relationship Id="rId12" Type="http://schemas.openxmlformats.org/officeDocument/2006/relationships/table" Target="../tables/table12.xml"/><Relationship Id="rId17" Type="http://schemas.openxmlformats.org/officeDocument/2006/relationships/table" Target="../tables/table17.xml"/><Relationship Id="rId2" Type="http://schemas.openxmlformats.org/officeDocument/2006/relationships/table" Target="../tables/table2.xml"/><Relationship Id="rId16" Type="http://schemas.openxmlformats.org/officeDocument/2006/relationships/table" Target="../tables/table16.xml"/><Relationship Id="rId20" Type="http://schemas.openxmlformats.org/officeDocument/2006/relationships/table" Target="../tables/table20.xml"/><Relationship Id="rId1" Type="http://schemas.openxmlformats.org/officeDocument/2006/relationships/printerSettings" Target="../printerSettings/printerSettings2.bin"/><Relationship Id="rId6" Type="http://schemas.openxmlformats.org/officeDocument/2006/relationships/table" Target="../tables/table6.xml"/><Relationship Id="rId11" Type="http://schemas.openxmlformats.org/officeDocument/2006/relationships/table" Target="../tables/table11.xml"/><Relationship Id="rId5" Type="http://schemas.openxmlformats.org/officeDocument/2006/relationships/table" Target="../tables/table5.xml"/><Relationship Id="rId15" Type="http://schemas.openxmlformats.org/officeDocument/2006/relationships/table" Target="../tables/table15.xml"/><Relationship Id="rId10" Type="http://schemas.openxmlformats.org/officeDocument/2006/relationships/table" Target="../tables/table10.xml"/><Relationship Id="rId19" Type="http://schemas.openxmlformats.org/officeDocument/2006/relationships/table" Target="../tables/table19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Relationship Id="rId14" Type="http://schemas.openxmlformats.org/officeDocument/2006/relationships/table" Target="../tables/table14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205117-5F2C-6547-A501-44AD618D4D1C}">
  <sheetPr codeName="Sheet1">
    <tabColor rgb="FFFFC000"/>
  </sheetPr>
  <dimension ref="A1:V154"/>
  <sheetViews>
    <sheetView topLeftCell="A14" zoomScaleNormal="100" workbookViewId="0">
      <selection activeCell="F35" sqref="F35"/>
    </sheetView>
  </sheetViews>
  <sheetFormatPr defaultColWidth="11" defaultRowHeight="15.75"/>
  <cols>
    <col min="1" max="1" width="3.5" customWidth="1"/>
    <col min="2" max="2" width="15.875" style="5" customWidth="1"/>
    <col min="3" max="3" width="13.5" style="10" customWidth="1"/>
    <col min="4" max="4" width="52" style="10" customWidth="1"/>
    <col min="5" max="5" width="23.375" style="10" bestFit="1" customWidth="1"/>
    <col min="6" max="6" width="23.375" style="10" customWidth="1"/>
    <col min="7" max="7" width="3.5" style="2" customWidth="1"/>
    <col min="8" max="8" width="10.625" style="1" bestFit="1" customWidth="1"/>
    <col min="9" max="9" width="14.125" style="1" customWidth="1"/>
    <col min="10" max="10" width="0.125" style="1" customWidth="1"/>
    <col min="11" max="11" width="41.625" customWidth="1"/>
    <col min="12" max="12" width="37.125" bestFit="1" customWidth="1"/>
    <col min="13" max="13" width="9.375" customWidth="1"/>
    <col min="14" max="22" width="10.875" style="2"/>
  </cols>
  <sheetData>
    <row r="1" spans="1:22">
      <c r="B1" s="14"/>
      <c r="C1" s="15"/>
      <c r="D1" s="15"/>
      <c r="E1" s="15"/>
      <c r="F1" s="15"/>
      <c r="H1" s="4"/>
      <c r="I1" s="16"/>
      <c r="J1" s="4"/>
      <c r="K1" s="2"/>
      <c r="L1" s="2"/>
      <c r="M1" s="2"/>
    </row>
    <row r="2" spans="1:22">
      <c r="B2" s="14"/>
      <c r="C2" s="15"/>
      <c r="D2" s="15"/>
      <c r="E2" s="46"/>
      <c r="F2" s="15"/>
      <c r="G2" s="45"/>
      <c r="H2" s="47"/>
      <c r="I2" s="49"/>
      <c r="J2" s="4"/>
      <c r="K2" s="2"/>
      <c r="L2" s="55"/>
      <c r="M2" s="2"/>
      <c r="N2" s="52"/>
    </row>
    <row r="3" spans="1:22">
      <c r="B3" s="145" t="s">
        <v>0</v>
      </c>
      <c r="C3" s="145"/>
      <c r="D3" s="145"/>
      <c r="E3" s="145"/>
      <c r="F3" s="111"/>
      <c r="H3" s="42"/>
      <c r="I3" s="48"/>
      <c r="J3" s="4"/>
      <c r="K3" s="50"/>
      <c r="L3" s="45"/>
      <c r="M3" s="50"/>
      <c r="N3" s="51"/>
    </row>
    <row r="4" spans="1:22">
      <c r="B4" s="14" t="s">
        <v>1</v>
      </c>
      <c r="C4" s="146">
        <v>405</v>
      </c>
      <c r="D4" s="146"/>
      <c r="E4" s="146"/>
      <c r="F4" s="112"/>
      <c r="H4" s="58"/>
      <c r="I4" s="48"/>
      <c r="J4" s="4"/>
      <c r="K4" s="52"/>
      <c r="L4" s="53"/>
      <c r="M4" s="56"/>
      <c r="N4" s="54"/>
    </row>
    <row r="5" spans="1:22" ht="5.0999999999999996" customHeight="1">
      <c r="B5" s="14"/>
      <c r="C5" s="15"/>
      <c r="D5" s="15"/>
      <c r="E5" s="15"/>
      <c r="F5" s="15"/>
      <c r="H5" s="4"/>
      <c r="I5" s="48"/>
      <c r="J5" s="4"/>
      <c r="K5" s="2"/>
      <c r="L5" s="45"/>
      <c r="M5" s="2"/>
    </row>
    <row r="6" spans="1:22">
      <c r="B6" s="145" t="s">
        <v>2</v>
      </c>
      <c r="C6" s="145"/>
      <c r="D6" s="145"/>
      <c r="E6" s="145"/>
      <c r="F6" s="111"/>
      <c r="H6" s="145" t="s">
        <v>3</v>
      </c>
      <c r="I6" s="145"/>
      <c r="J6" s="4"/>
      <c r="K6" s="147" t="s">
        <v>4</v>
      </c>
      <c r="L6" s="145"/>
      <c r="M6" s="2"/>
      <c r="N6" s="45"/>
    </row>
    <row r="7" spans="1:22">
      <c r="B7" s="13"/>
      <c r="C7" s="20" t="s">
        <v>5</v>
      </c>
      <c r="D7" s="13" t="s">
        <v>6</v>
      </c>
      <c r="E7" s="13" t="s">
        <v>7</v>
      </c>
      <c r="F7" s="13"/>
      <c r="H7" s="146" t="s">
        <v>8</v>
      </c>
      <c r="I7" s="146"/>
      <c r="J7" s="4"/>
      <c r="K7" s="148" t="s">
        <v>9</v>
      </c>
      <c r="L7" s="149"/>
      <c r="M7" s="2"/>
      <c r="N7" s="57"/>
    </row>
    <row r="8" spans="1:22">
      <c r="B8" s="19" t="s">
        <v>10</v>
      </c>
      <c r="C8" s="21">
        <v>50</v>
      </c>
      <c r="D8" s="22">
        <v>3037</v>
      </c>
      <c r="E8" s="23">
        <v>1</v>
      </c>
      <c r="F8" s="113"/>
      <c r="H8" s="146" t="s">
        <v>11</v>
      </c>
      <c r="I8" s="146"/>
      <c r="J8" s="4"/>
      <c r="K8" s="150"/>
      <c r="L8" s="146"/>
      <c r="M8" s="2"/>
      <c r="N8" s="57"/>
    </row>
    <row r="9" spans="1:22" ht="17.100000000000001" customHeight="1">
      <c r="B9" s="19" t="s">
        <v>12</v>
      </c>
      <c r="C9" s="21">
        <v>50</v>
      </c>
      <c r="D9" s="22">
        <v>3037</v>
      </c>
      <c r="E9" s="23">
        <v>2</v>
      </c>
      <c r="F9" s="113"/>
      <c r="H9" s="146" t="s">
        <v>13</v>
      </c>
      <c r="I9" s="146"/>
      <c r="J9" s="4"/>
      <c r="K9" s="150"/>
      <c r="L9" s="146"/>
      <c r="M9" s="2"/>
      <c r="N9" s="57"/>
    </row>
    <row r="10" spans="1:22" ht="17.100000000000001" customHeight="1">
      <c r="B10" s="19" t="s">
        <v>10</v>
      </c>
      <c r="C10" s="21">
        <v>100</v>
      </c>
      <c r="D10" s="22">
        <v>3037</v>
      </c>
      <c r="E10" s="23">
        <v>1</v>
      </c>
      <c r="F10" s="113"/>
      <c r="G10"/>
      <c r="H10"/>
      <c r="I10"/>
      <c r="J10"/>
      <c r="N10"/>
      <c r="O10"/>
      <c r="P10"/>
      <c r="Q10"/>
      <c r="R10"/>
      <c r="S10"/>
      <c r="T10"/>
      <c r="U10"/>
      <c r="V10"/>
    </row>
    <row r="11" spans="1:22" ht="17.100000000000001" customHeight="1">
      <c r="B11" s="19" t="s">
        <v>12</v>
      </c>
      <c r="C11" s="21">
        <v>100</v>
      </c>
      <c r="D11" s="22">
        <v>3037</v>
      </c>
      <c r="E11" s="23">
        <v>2</v>
      </c>
      <c r="F11" s="113"/>
      <c r="G11"/>
      <c r="H11"/>
      <c r="I11"/>
      <c r="J11"/>
      <c r="N11"/>
      <c r="O11"/>
      <c r="P11"/>
      <c r="Q11"/>
      <c r="R11"/>
      <c r="S11"/>
      <c r="T11"/>
      <c r="U11"/>
      <c r="V11"/>
    </row>
    <row r="12" spans="1:22" ht="24.75">
      <c r="B12" s="19" t="s">
        <v>14</v>
      </c>
      <c r="C12" s="21">
        <v>100</v>
      </c>
      <c r="D12" s="22">
        <v>3037</v>
      </c>
      <c r="E12" s="23">
        <v>3</v>
      </c>
      <c r="F12" s="113"/>
      <c r="H12" s="47"/>
      <c r="I12" s="16"/>
      <c r="J12" s="4"/>
      <c r="K12" s="2"/>
      <c r="L12" s="2"/>
      <c r="M12" s="2"/>
      <c r="N12" s="57"/>
    </row>
    <row r="13" spans="1:22">
      <c r="B13" s="145" t="s">
        <v>15</v>
      </c>
      <c r="C13" s="145"/>
      <c r="D13" s="145"/>
      <c r="E13" s="145"/>
      <c r="F13" s="111"/>
      <c r="G13" s="57"/>
      <c r="H13" s="120" t="s">
        <v>16</v>
      </c>
      <c r="I13" s="121"/>
      <c r="J13" s="4"/>
      <c r="K13" s="122">
        <f>COUNTIF(M:M, "Active") - COUNTIFS(L:L, "OSEP*",M:M, "Active") - COUNTIFS(L:L,"C_*",M:M, "Active") +2</f>
        <v>36</v>
      </c>
      <c r="L13" s="56"/>
      <c r="M13" s="56"/>
      <c r="N13" s="45"/>
    </row>
    <row r="14" spans="1:22" ht="33" customHeight="1">
      <c r="B14" s="143" t="s">
        <v>17</v>
      </c>
      <c r="C14" s="143"/>
      <c r="D14" s="143"/>
      <c r="E14" s="144"/>
      <c r="F14" s="114"/>
      <c r="G14" s="57"/>
      <c r="H14" s="142" t="s">
        <v>18</v>
      </c>
      <c r="I14" s="142"/>
      <c r="J14" s="142"/>
      <c r="K14" s="142"/>
      <c r="L14" s="142"/>
      <c r="M14" s="142"/>
      <c r="N14" s="45"/>
    </row>
    <row r="15" spans="1:22" ht="21">
      <c r="B15" s="9" t="s">
        <v>19</v>
      </c>
      <c r="C15" s="9" t="s">
        <v>20</v>
      </c>
      <c r="D15" s="9" t="s">
        <v>21</v>
      </c>
      <c r="E15" s="9" t="s">
        <v>22</v>
      </c>
      <c r="F15" s="9" t="s">
        <v>23</v>
      </c>
      <c r="H15" s="6" t="s">
        <v>24</v>
      </c>
      <c r="I15" s="6" t="s">
        <v>25</v>
      </c>
      <c r="J15" s="6" t="s">
        <v>26</v>
      </c>
      <c r="K15" s="6" t="s">
        <v>27</v>
      </c>
      <c r="L15" s="6" t="s">
        <v>28</v>
      </c>
      <c r="M15" s="6" t="s">
        <v>29</v>
      </c>
    </row>
    <row r="16" spans="1:22">
      <c r="A16">
        <f>LEN(C16) - LEN(SUBSTITUTE(C16, "!", "")) + 1</f>
        <v>1</v>
      </c>
      <c r="B16" s="7">
        <v>1</v>
      </c>
      <c r="C16" s="126">
        <v>3817</v>
      </c>
      <c r="D16" s="127" t="s">
        <v>208</v>
      </c>
      <c r="E16" s="128" t="s">
        <v>209</v>
      </c>
      <c r="F16" s="5">
        <f>aurora_data!U98</f>
        <v>22</v>
      </c>
      <c r="H16" s="8">
        <v>3767</v>
      </c>
      <c r="I16" s="8" t="s">
        <v>30</v>
      </c>
      <c r="J16" s="8">
        <v>1</v>
      </c>
      <c r="K16" s="7" t="s">
        <v>183</v>
      </c>
      <c r="L16" s="7" t="s">
        <v>184</v>
      </c>
      <c r="M16" s="7" t="s">
        <v>31</v>
      </c>
    </row>
    <row r="17" spans="1:13">
      <c r="A17">
        <f t="shared" ref="A17:A33" si="0">LEN(C17) - LEN(SUBSTITUTE(C17, "!", "")) + 1</f>
        <v>1</v>
      </c>
      <c r="B17" s="7">
        <v>2</v>
      </c>
      <c r="C17" s="126">
        <v>3829</v>
      </c>
      <c r="D17" s="127" t="s">
        <v>240</v>
      </c>
      <c r="E17" s="128" t="s">
        <v>241</v>
      </c>
      <c r="F17" s="5">
        <f>aurora_data!U226</f>
        <v>6</v>
      </c>
      <c r="H17" s="8">
        <v>3766</v>
      </c>
      <c r="I17" s="8" t="s">
        <v>30</v>
      </c>
      <c r="J17" s="8">
        <v>1</v>
      </c>
      <c r="K17" s="7" t="s">
        <v>102</v>
      </c>
      <c r="L17" s="7" t="s">
        <v>103</v>
      </c>
      <c r="M17" s="7" t="s">
        <v>31</v>
      </c>
    </row>
    <row r="18" spans="1:13">
      <c r="A18">
        <f t="shared" si="0"/>
        <v>1</v>
      </c>
      <c r="B18" s="7">
        <v>3</v>
      </c>
      <c r="C18" s="126">
        <v>3818</v>
      </c>
      <c r="D18" s="127" t="s">
        <v>206</v>
      </c>
      <c r="E18" s="128" t="s">
        <v>207</v>
      </c>
      <c r="F18" s="5">
        <f>aurora_data!U270</f>
        <v>1</v>
      </c>
      <c r="H18" s="8">
        <v>3822</v>
      </c>
      <c r="I18" s="8" t="s">
        <v>32</v>
      </c>
      <c r="J18" s="8">
        <v>2</v>
      </c>
      <c r="K18" s="7" t="s">
        <v>198</v>
      </c>
      <c r="L18" s="7" t="s">
        <v>199</v>
      </c>
      <c r="M18" s="7" t="s">
        <v>31</v>
      </c>
    </row>
    <row r="19" spans="1:13">
      <c r="A19">
        <f t="shared" si="0"/>
        <v>1</v>
      </c>
      <c r="B19" s="7">
        <v>4</v>
      </c>
      <c r="C19" s="126">
        <v>3830</v>
      </c>
      <c r="D19" s="127" t="s">
        <v>238</v>
      </c>
      <c r="E19" s="128" t="s">
        <v>239</v>
      </c>
      <c r="F19" s="5">
        <f>aurora_data!U370</f>
        <v>0</v>
      </c>
      <c r="H19" s="8">
        <v>3806</v>
      </c>
      <c r="I19" s="8" t="s">
        <v>32</v>
      </c>
      <c r="J19" s="8">
        <v>2</v>
      </c>
      <c r="K19" s="7" t="s">
        <v>122</v>
      </c>
      <c r="L19" s="7" t="s">
        <v>123</v>
      </c>
      <c r="M19" s="7" t="s">
        <v>31</v>
      </c>
    </row>
    <row r="20" spans="1:13">
      <c r="A20">
        <f t="shared" si="0"/>
        <v>1</v>
      </c>
      <c r="B20" s="7">
        <v>5</v>
      </c>
      <c r="C20" s="126">
        <v>3819</v>
      </c>
      <c r="D20" s="127" t="s">
        <v>204</v>
      </c>
      <c r="E20" s="128" t="s">
        <v>205</v>
      </c>
      <c r="F20" s="5">
        <f>aurora_data!U526</f>
        <v>0</v>
      </c>
      <c r="H20" s="8">
        <v>3821</v>
      </c>
      <c r="I20" s="8" t="s">
        <v>32</v>
      </c>
      <c r="J20" s="8">
        <v>2</v>
      </c>
      <c r="K20" s="7" t="s">
        <v>200</v>
      </c>
      <c r="L20" s="7" t="s">
        <v>201</v>
      </c>
      <c r="M20" s="7" t="s">
        <v>31</v>
      </c>
    </row>
    <row r="21" spans="1:13">
      <c r="A21">
        <f t="shared" si="0"/>
        <v>1</v>
      </c>
      <c r="B21" s="7">
        <v>6</v>
      </c>
      <c r="C21" s="126">
        <v>3831</v>
      </c>
      <c r="D21" s="127" t="s">
        <v>236</v>
      </c>
      <c r="E21" s="128" t="s">
        <v>237</v>
      </c>
      <c r="F21" s="5">
        <f>aurora_data!U646</f>
        <v>0</v>
      </c>
      <c r="H21" s="8">
        <v>3820</v>
      </c>
      <c r="I21" s="8" t="s">
        <v>32</v>
      </c>
      <c r="J21" s="8">
        <v>2</v>
      </c>
      <c r="K21" s="7" t="s">
        <v>202</v>
      </c>
      <c r="L21" s="7" t="s">
        <v>203</v>
      </c>
      <c r="M21" s="7" t="s">
        <v>31</v>
      </c>
    </row>
    <row r="22" spans="1:13">
      <c r="A22">
        <f t="shared" si="0"/>
        <v>1</v>
      </c>
      <c r="B22" s="7">
        <v>7</v>
      </c>
      <c r="C22" s="126">
        <v>3820</v>
      </c>
      <c r="D22" s="127" t="s">
        <v>202</v>
      </c>
      <c r="E22" s="128" t="s">
        <v>203</v>
      </c>
      <c r="F22" s="5">
        <f>aurora_data!U746</f>
        <v>1</v>
      </c>
      <c r="H22" s="8">
        <v>3819</v>
      </c>
      <c r="I22" s="8" t="s">
        <v>32</v>
      </c>
      <c r="J22" s="8">
        <v>2</v>
      </c>
      <c r="K22" s="7" t="s">
        <v>204</v>
      </c>
      <c r="L22" s="7" t="s">
        <v>205</v>
      </c>
      <c r="M22" s="7" t="s">
        <v>31</v>
      </c>
    </row>
    <row r="23" spans="1:13">
      <c r="A23">
        <f t="shared" si="0"/>
        <v>1</v>
      </c>
      <c r="B23" s="7">
        <v>8</v>
      </c>
      <c r="C23" s="126">
        <v>3832</v>
      </c>
      <c r="D23" s="127" t="s">
        <v>234</v>
      </c>
      <c r="E23" s="128" t="s">
        <v>235</v>
      </c>
      <c r="F23" s="123">
        <f>aurora_data!U846</f>
        <v>0</v>
      </c>
      <c r="H23" s="8">
        <v>3818</v>
      </c>
      <c r="I23" s="8" t="s">
        <v>32</v>
      </c>
      <c r="J23" s="8">
        <v>2</v>
      </c>
      <c r="K23" s="7" t="s">
        <v>206</v>
      </c>
      <c r="L23" s="7" t="s">
        <v>207</v>
      </c>
      <c r="M23" s="7" t="s">
        <v>31</v>
      </c>
    </row>
    <row r="24" spans="1:13">
      <c r="A24">
        <f t="shared" si="0"/>
        <v>1</v>
      </c>
      <c r="B24" s="7">
        <v>9</v>
      </c>
      <c r="C24" s="126">
        <v>3821</v>
      </c>
      <c r="D24" s="127" t="s">
        <v>200</v>
      </c>
      <c r="E24" s="128" t="s">
        <v>201</v>
      </c>
      <c r="F24" s="123">
        <f>aurora_data!U946</f>
        <v>2</v>
      </c>
      <c r="H24" s="8">
        <v>3817</v>
      </c>
      <c r="I24" s="8" t="s">
        <v>32</v>
      </c>
      <c r="J24" s="8">
        <v>2</v>
      </c>
      <c r="K24" s="7" t="s">
        <v>208</v>
      </c>
      <c r="L24" s="7" t="s">
        <v>209</v>
      </c>
      <c r="M24" s="7" t="s">
        <v>31</v>
      </c>
    </row>
    <row r="25" spans="1:13">
      <c r="A25">
        <f t="shared" si="0"/>
        <v>1</v>
      </c>
      <c r="B25" s="7">
        <v>10</v>
      </c>
      <c r="C25" s="126">
        <v>3833</v>
      </c>
      <c r="D25" s="127" t="s">
        <v>232</v>
      </c>
      <c r="E25" s="128" t="s">
        <v>233</v>
      </c>
      <c r="F25" s="123">
        <f>aurora_data!U1046</f>
        <v>0</v>
      </c>
      <c r="H25" s="8">
        <v>3816</v>
      </c>
      <c r="I25" s="8" t="s">
        <v>32</v>
      </c>
      <c r="J25" s="8">
        <v>2</v>
      </c>
      <c r="K25" s="7" t="s">
        <v>106</v>
      </c>
      <c r="L25" s="7" t="s">
        <v>107</v>
      </c>
      <c r="M25" s="7" t="s">
        <v>31</v>
      </c>
    </row>
    <row r="26" spans="1:13">
      <c r="A26">
        <f t="shared" si="0"/>
        <v>1</v>
      </c>
      <c r="B26" s="7">
        <v>11</v>
      </c>
      <c r="C26" s="126">
        <v>3822</v>
      </c>
      <c r="D26" s="127" t="s">
        <v>198</v>
      </c>
      <c r="E26" s="128" t="s">
        <v>199</v>
      </c>
      <c r="F26" s="123">
        <f>aurora_data!U1226</f>
        <v>0</v>
      </c>
      <c r="H26" s="8">
        <v>3815</v>
      </c>
      <c r="I26" s="8" t="s">
        <v>32</v>
      </c>
      <c r="J26" s="8">
        <v>2</v>
      </c>
      <c r="K26" s="7" t="s">
        <v>140</v>
      </c>
      <c r="L26" s="7" t="s">
        <v>141</v>
      </c>
      <c r="M26" s="7" t="s">
        <v>31</v>
      </c>
    </row>
    <row r="27" spans="1:13">
      <c r="A27">
        <f t="shared" si="0"/>
        <v>1</v>
      </c>
      <c r="B27" s="7">
        <v>12</v>
      </c>
      <c r="C27" s="126">
        <v>3834</v>
      </c>
      <c r="D27" s="127" t="s">
        <v>212</v>
      </c>
      <c r="E27" s="128" t="s">
        <v>213</v>
      </c>
      <c r="F27" s="123">
        <f>aurora_data!U1326</f>
        <v>0</v>
      </c>
      <c r="H27" s="8">
        <v>3814</v>
      </c>
      <c r="I27" s="8" t="s">
        <v>32</v>
      </c>
      <c r="J27" s="8">
        <v>2</v>
      </c>
      <c r="K27" s="7" t="s">
        <v>138</v>
      </c>
      <c r="L27" s="7" t="s">
        <v>139</v>
      </c>
      <c r="M27" s="7" t="s">
        <v>31</v>
      </c>
    </row>
    <row r="28" spans="1:13">
      <c r="A28">
        <f t="shared" si="0"/>
        <v>1</v>
      </c>
      <c r="B28" s="7">
        <v>13</v>
      </c>
      <c r="C28" s="126">
        <v>3823</v>
      </c>
      <c r="D28" s="127" t="s">
        <v>230</v>
      </c>
      <c r="E28" s="128" t="s">
        <v>231</v>
      </c>
      <c r="F28" s="123">
        <f>aurora_data!U1426</f>
        <v>19</v>
      </c>
      <c r="H28" s="8">
        <v>3813</v>
      </c>
      <c r="I28" s="8" t="s">
        <v>32</v>
      </c>
      <c r="J28" s="8">
        <v>2</v>
      </c>
      <c r="K28" s="7" t="s">
        <v>136</v>
      </c>
      <c r="L28" s="7" t="s">
        <v>137</v>
      </c>
      <c r="M28" s="7" t="s">
        <v>31</v>
      </c>
    </row>
    <row r="29" spans="1:13">
      <c r="A29">
        <f t="shared" si="0"/>
        <v>1</v>
      </c>
      <c r="B29" s="7">
        <v>14</v>
      </c>
      <c r="C29" s="126">
        <v>3835</v>
      </c>
      <c r="D29" s="127" t="s">
        <v>228</v>
      </c>
      <c r="E29" s="128" t="s">
        <v>229</v>
      </c>
      <c r="F29" s="123">
        <f>aurora_data!U1526</f>
        <v>1</v>
      </c>
      <c r="H29" s="8">
        <v>3812</v>
      </c>
      <c r="I29" s="8" t="s">
        <v>32</v>
      </c>
      <c r="J29" s="8">
        <v>2</v>
      </c>
      <c r="K29" s="7" t="s">
        <v>134</v>
      </c>
      <c r="L29" s="7" t="s">
        <v>135</v>
      </c>
      <c r="M29" s="7" t="s">
        <v>31</v>
      </c>
    </row>
    <row r="30" spans="1:13">
      <c r="A30">
        <f t="shared" si="0"/>
        <v>1</v>
      </c>
      <c r="B30" s="7">
        <v>15</v>
      </c>
      <c r="C30" s="126">
        <v>3824</v>
      </c>
      <c r="D30" s="127" t="s">
        <v>246</v>
      </c>
      <c r="E30" s="128" t="s">
        <v>247</v>
      </c>
      <c r="F30" s="123">
        <f>aurora_data!U1626</f>
        <v>4</v>
      </c>
      <c r="H30" s="8">
        <v>3811</v>
      </c>
      <c r="I30" s="8" t="s">
        <v>32</v>
      </c>
      <c r="J30" s="8">
        <v>2</v>
      </c>
      <c r="K30" s="7" t="s">
        <v>132</v>
      </c>
      <c r="L30" s="7" t="s">
        <v>133</v>
      </c>
      <c r="M30" s="7" t="s">
        <v>31</v>
      </c>
    </row>
    <row r="31" spans="1:13">
      <c r="A31">
        <f t="shared" si="0"/>
        <v>1</v>
      </c>
      <c r="B31" s="7">
        <v>16</v>
      </c>
      <c r="C31" s="126">
        <v>3836</v>
      </c>
      <c r="D31" s="127" t="s">
        <v>226</v>
      </c>
      <c r="E31" s="128" t="s">
        <v>227</v>
      </c>
      <c r="F31" s="123">
        <f>aurora_data!U1726</f>
        <v>0</v>
      </c>
      <c r="H31" s="8">
        <v>3810</v>
      </c>
      <c r="I31" s="8" t="s">
        <v>32</v>
      </c>
      <c r="J31" s="8">
        <v>2</v>
      </c>
      <c r="K31" s="7" t="s">
        <v>130</v>
      </c>
      <c r="L31" s="7" t="s">
        <v>131</v>
      </c>
      <c r="M31" s="7" t="s">
        <v>31</v>
      </c>
    </row>
    <row r="32" spans="1:13">
      <c r="A32">
        <f t="shared" si="0"/>
        <v>1</v>
      </c>
      <c r="B32" s="7">
        <v>17</v>
      </c>
      <c r="C32" s="126">
        <v>3825</v>
      </c>
      <c r="D32" s="127" t="s">
        <v>244</v>
      </c>
      <c r="E32" s="128" t="s">
        <v>245</v>
      </c>
      <c r="F32" s="123">
        <f>aurora_data!U1746</f>
        <v>0</v>
      </c>
      <c r="H32" s="8">
        <v>3809</v>
      </c>
      <c r="I32" s="8" t="s">
        <v>32</v>
      </c>
      <c r="J32" s="8">
        <v>2</v>
      </c>
      <c r="K32" s="7" t="s">
        <v>128</v>
      </c>
      <c r="L32" s="7" t="s">
        <v>129</v>
      </c>
      <c r="M32" s="7" t="s">
        <v>31</v>
      </c>
    </row>
    <row r="33" spans="1:13">
      <c r="A33">
        <f t="shared" si="0"/>
        <v>1</v>
      </c>
      <c r="B33" s="7">
        <v>18</v>
      </c>
      <c r="C33" s="126">
        <v>3837</v>
      </c>
      <c r="D33" s="127" t="s">
        <v>224</v>
      </c>
      <c r="E33" s="128" t="s">
        <v>225</v>
      </c>
      <c r="F33" s="123">
        <f>aurora_data!U1846</f>
        <v>0</v>
      </c>
      <c r="H33" s="8">
        <v>3808</v>
      </c>
      <c r="I33" s="8" t="s">
        <v>32</v>
      </c>
      <c r="J33" s="8">
        <v>2</v>
      </c>
      <c r="K33" s="7" t="s">
        <v>126</v>
      </c>
      <c r="L33" s="7" t="s">
        <v>127</v>
      </c>
      <c r="M33" s="7" t="s">
        <v>31</v>
      </c>
    </row>
    <row r="34" spans="1:13">
      <c r="A34">
        <f t="shared" ref="A34:A35" si="1">LEN(C33) - LEN(SUBSTITUTE(C33, "!", "")) + 1</f>
        <v>1</v>
      </c>
      <c r="B34" s="7">
        <v>19</v>
      </c>
      <c r="C34" s="126">
        <v>3827</v>
      </c>
      <c r="D34" s="127" t="s">
        <v>242</v>
      </c>
      <c r="E34" s="128" t="s">
        <v>243</v>
      </c>
      <c r="F34" s="123">
        <f>aurora_data!U2026</f>
        <v>117</v>
      </c>
      <c r="H34" s="8">
        <v>3807</v>
      </c>
      <c r="I34" s="8" t="s">
        <v>32</v>
      </c>
      <c r="J34" s="8">
        <v>2</v>
      </c>
      <c r="K34" s="7" t="s">
        <v>124</v>
      </c>
      <c r="L34" s="7" t="s">
        <v>125</v>
      </c>
      <c r="M34" s="7" t="s">
        <v>31</v>
      </c>
    </row>
    <row r="35" spans="1:13">
      <c r="A35">
        <f t="shared" si="1"/>
        <v>1</v>
      </c>
      <c r="B35" s="7">
        <v>20</v>
      </c>
      <c r="C35" s="126">
        <v>3838</v>
      </c>
      <c r="D35" s="127" t="s">
        <v>222</v>
      </c>
      <c r="E35" s="128" t="s">
        <v>223</v>
      </c>
      <c r="F35" s="123">
        <f>aurora_data!U2126</f>
        <v>19</v>
      </c>
      <c r="H35" s="8">
        <v>3843</v>
      </c>
      <c r="I35" s="8" t="s">
        <v>32</v>
      </c>
      <c r="J35" s="8">
        <v>2</v>
      </c>
      <c r="K35" s="7" t="s">
        <v>210</v>
      </c>
      <c r="L35" s="7" t="s">
        <v>211</v>
      </c>
      <c r="M35" s="7" t="s">
        <v>31</v>
      </c>
    </row>
    <row r="36" spans="1:13">
      <c r="H36" s="8">
        <v>3834</v>
      </c>
      <c r="I36" s="8" t="s">
        <v>32</v>
      </c>
      <c r="J36" s="8">
        <v>2</v>
      </c>
      <c r="K36" s="7" t="s">
        <v>212</v>
      </c>
      <c r="L36" s="7" t="s">
        <v>213</v>
      </c>
      <c r="M36" s="7" t="s">
        <v>31</v>
      </c>
    </row>
    <row r="37" spans="1:13">
      <c r="H37" s="8">
        <v>3842</v>
      </c>
      <c r="I37" s="8" t="s">
        <v>32</v>
      </c>
      <c r="J37" s="8">
        <v>2</v>
      </c>
      <c r="K37" s="7" t="s">
        <v>214</v>
      </c>
      <c r="L37" s="7" t="s">
        <v>215</v>
      </c>
      <c r="M37" s="7" t="s">
        <v>31</v>
      </c>
    </row>
    <row r="38" spans="1:13">
      <c r="H38" s="8">
        <v>3841</v>
      </c>
      <c r="I38" s="8" t="s">
        <v>32</v>
      </c>
      <c r="J38" s="8">
        <v>2</v>
      </c>
      <c r="K38" s="7" t="s">
        <v>216</v>
      </c>
      <c r="L38" s="7" t="s">
        <v>217</v>
      </c>
      <c r="M38" s="7" t="s">
        <v>31</v>
      </c>
    </row>
    <row r="39" spans="1:13">
      <c r="H39" s="8">
        <v>3840</v>
      </c>
      <c r="I39" s="8" t="s">
        <v>32</v>
      </c>
      <c r="J39" s="8">
        <v>2</v>
      </c>
      <c r="K39" s="7" t="s">
        <v>218</v>
      </c>
      <c r="L39" s="7" t="s">
        <v>219</v>
      </c>
      <c r="M39" s="7" t="s">
        <v>31</v>
      </c>
    </row>
    <row r="40" spans="1:13">
      <c r="H40" s="8">
        <v>3839</v>
      </c>
      <c r="I40" s="8" t="s">
        <v>32</v>
      </c>
      <c r="J40" s="8">
        <v>2</v>
      </c>
      <c r="K40" s="7" t="s">
        <v>220</v>
      </c>
      <c r="L40" s="7" t="s">
        <v>221</v>
      </c>
      <c r="M40" s="7" t="s">
        <v>31</v>
      </c>
    </row>
    <row r="41" spans="1:13">
      <c r="H41" s="8">
        <v>3838</v>
      </c>
      <c r="I41" s="8" t="s">
        <v>32</v>
      </c>
      <c r="J41" s="8">
        <v>2</v>
      </c>
      <c r="K41" s="7" t="s">
        <v>222</v>
      </c>
      <c r="L41" s="7" t="s">
        <v>223</v>
      </c>
      <c r="M41" s="7" t="s">
        <v>31</v>
      </c>
    </row>
    <row r="42" spans="1:13">
      <c r="H42" s="8">
        <v>3837</v>
      </c>
      <c r="I42" s="8" t="s">
        <v>32</v>
      </c>
      <c r="J42" s="8">
        <v>2</v>
      </c>
      <c r="K42" s="7" t="s">
        <v>224</v>
      </c>
      <c r="L42" s="7" t="s">
        <v>225</v>
      </c>
      <c r="M42" s="7" t="s">
        <v>31</v>
      </c>
    </row>
    <row r="43" spans="1:13">
      <c r="H43" s="8">
        <v>3836</v>
      </c>
      <c r="I43" s="8" t="s">
        <v>32</v>
      </c>
      <c r="J43" s="8">
        <v>2</v>
      </c>
      <c r="K43" s="7" t="s">
        <v>226</v>
      </c>
      <c r="L43" s="7" t="s">
        <v>227</v>
      </c>
      <c r="M43" s="7" t="s">
        <v>31</v>
      </c>
    </row>
    <row r="44" spans="1:13">
      <c r="H44" s="8">
        <v>3835</v>
      </c>
      <c r="I44" s="8" t="s">
        <v>32</v>
      </c>
      <c r="J44" s="8">
        <v>2</v>
      </c>
      <c r="K44" s="7" t="s">
        <v>228</v>
      </c>
      <c r="L44" s="7" t="s">
        <v>229</v>
      </c>
      <c r="M44" s="7" t="s">
        <v>31</v>
      </c>
    </row>
    <row r="45" spans="1:13">
      <c r="H45" s="8">
        <v>3823</v>
      </c>
      <c r="I45" s="8" t="s">
        <v>32</v>
      </c>
      <c r="J45" s="8">
        <v>2</v>
      </c>
      <c r="K45" s="7" t="s">
        <v>230</v>
      </c>
      <c r="L45" s="7" t="s">
        <v>231</v>
      </c>
      <c r="M45" s="7" t="s">
        <v>31</v>
      </c>
    </row>
    <row r="46" spans="1:13">
      <c r="H46" s="8">
        <v>3833</v>
      </c>
      <c r="I46" s="8" t="s">
        <v>32</v>
      </c>
      <c r="J46" s="8">
        <v>2</v>
      </c>
      <c r="K46" s="7" t="s">
        <v>232</v>
      </c>
      <c r="L46" s="7" t="s">
        <v>233</v>
      </c>
      <c r="M46" s="7" t="s">
        <v>31</v>
      </c>
    </row>
    <row r="47" spans="1:13">
      <c r="H47" s="8">
        <v>3832</v>
      </c>
      <c r="I47" s="8" t="s">
        <v>32</v>
      </c>
      <c r="J47" s="8">
        <v>2</v>
      </c>
      <c r="K47" s="7" t="s">
        <v>234</v>
      </c>
      <c r="L47" s="7" t="s">
        <v>235</v>
      </c>
      <c r="M47" s="7" t="s">
        <v>31</v>
      </c>
    </row>
    <row r="48" spans="1:13">
      <c r="H48" s="8">
        <v>3831</v>
      </c>
      <c r="I48" s="8" t="s">
        <v>32</v>
      </c>
      <c r="J48" s="8">
        <v>2</v>
      </c>
      <c r="K48" s="7" t="s">
        <v>236</v>
      </c>
      <c r="L48" s="7" t="s">
        <v>237</v>
      </c>
      <c r="M48" s="7" t="s">
        <v>31</v>
      </c>
    </row>
    <row r="49" spans="8:13">
      <c r="H49" s="8">
        <v>3830</v>
      </c>
      <c r="I49" s="8" t="s">
        <v>32</v>
      </c>
      <c r="J49" s="8">
        <v>2</v>
      </c>
      <c r="K49" s="7" t="s">
        <v>238</v>
      </c>
      <c r="L49" s="7" t="s">
        <v>239</v>
      </c>
      <c r="M49" s="7" t="s">
        <v>31</v>
      </c>
    </row>
    <row r="50" spans="8:13">
      <c r="H50" s="8">
        <v>3829</v>
      </c>
      <c r="I50" s="8" t="s">
        <v>32</v>
      </c>
      <c r="J50" s="8">
        <v>2</v>
      </c>
      <c r="K50" s="7" t="s">
        <v>240</v>
      </c>
      <c r="L50" s="7" t="s">
        <v>241</v>
      </c>
      <c r="M50" s="7" t="s">
        <v>31</v>
      </c>
    </row>
    <row r="51" spans="8:13">
      <c r="H51" s="8">
        <v>3827</v>
      </c>
      <c r="I51" s="8" t="s">
        <v>32</v>
      </c>
      <c r="J51" s="8">
        <v>2</v>
      </c>
      <c r="K51" s="7" t="s">
        <v>242</v>
      </c>
      <c r="L51" s="7" t="s">
        <v>243</v>
      </c>
      <c r="M51" s="7" t="s">
        <v>31</v>
      </c>
    </row>
    <row r="52" spans="8:13">
      <c r="H52" s="8">
        <v>3825</v>
      </c>
      <c r="I52" s="8" t="s">
        <v>32</v>
      </c>
      <c r="J52" s="8">
        <v>2</v>
      </c>
      <c r="K52" s="7" t="s">
        <v>244</v>
      </c>
      <c r="L52" s="7" t="s">
        <v>245</v>
      </c>
      <c r="M52" s="7" t="s">
        <v>31</v>
      </c>
    </row>
    <row r="53" spans="8:13">
      <c r="H53" s="8">
        <v>3824</v>
      </c>
      <c r="I53" s="8" t="s">
        <v>32</v>
      </c>
      <c r="J53" s="8">
        <v>2</v>
      </c>
      <c r="K53" s="7" t="s">
        <v>246</v>
      </c>
      <c r="L53" s="7" t="s">
        <v>247</v>
      </c>
      <c r="M53" s="7" t="s">
        <v>31</v>
      </c>
    </row>
    <row r="54" spans="8:13">
      <c r="H54" s="8">
        <v>3804</v>
      </c>
      <c r="I54" s="8" t="s">
        <v>32</v>
      </c>
      <c r="J54" s="8">
        <v>2</v>
      </c>
      <c r="K54" s="7" t="s">
        <v>118</v>
      </c>
      <c r="L54" s="7" t="s">
        <v>119</v>
      </c>
      <c r="M54" s="7" t="s">
        <v>31</v>
      </c>
    </row>
    <row r="55" spans="8:13">
      <c r="H55" s="8">
        <v>3779</v>
      </c>
      <c r="I55" s="8" t="s">
        <v>32</v>
      </c>
      <c r="J55" s="8">
        <v>2</v>
      </c>
      <c r="K55" s="7" t="s">
        <v>144</v>
      </c>
      <c r="L55" s="7" t="s">
        <v>145</v>
      </c>
      <c r="M55" s="7" t="s">
        <v>31</v>
      </c>
    </row>
    <row r="56" spans="8:13">
      <c r="H56" s="8">
        <v>3780</v>
      </c>
      <c r="I56" s="8" t="s">
        <v>32</v>
      </c>
      <c r="J56" s="8">
        <v>2</v>
      </c>
      <c r="K56" s="7" t="s">
        <v>248</v>
      </c>
      <c r="L56" s="7" t="s">
        <v>146</v>
      </c>
      <c r="M56" s="7" t="s">
        <v>31</v>
      </c>
    </row>
    <row r="57" spans="8:13">
      <c r="H57" s="8">
        <v>3781</v>
      </c>
      <c r="I57" s="8" t="s">
        <v>32</v>
      </c>
      <c r="J57" s="8">
        <v>2</v>
      </c>
      <c r="K57" s="7" t="s">
        <v>147</v>
      </c>
      <c r="L57" s="7" t="s">
        <v>148</v>
      </c>
      <c r="M57" s="7" t="s">
        <v>31</v>
      </c>
    </row>
    <row r="58" spans="8:13">
      <c r="H58" s="8">
        <v>3783</v>
      </c>
      <c r="I58" s="8" t="s">
        <v>32</v>
      </c>
      <c r="J58" s="8">
        <v>2</v>
      </c>
      <c r="K58" s="7" t="s">
        <v>149</v>
      </c>
      <c r="L58" s="7" t="s">
        <v>150</v>
      </c>
      <c r="M58" s="7" t="s">
        <v>31</v>
      </c>
    </row>
    <row r="59" spans="8:13">
      <c r="H59" s="8">
        <v>3784</v>
      </c>
      <c r="I59" s="8" t="s">
        <v>32</v>
      </c>
      <c r="J59" s="8">
        <v>2</v>
      </c>
      <c r="K59" s="7" t="s">
        <v>249</v>
      </c>
      <c r="L59" s="7" t="s">
        <v>151</v>
      </c>
      <c r="M59" s="7" t="s">
        <v>31</v>
      </c>
    </row>
    <row r="60" spans="8:13">
      <c r="H60" s="8">
        <v>3785</v>
      </c>
      <c r="I60" s="8" t="s">
        <v>32</v>
      </c>
      <c r="J60" s="8">
        <v>2</v>
      </c>
      <c r="K60" s="7" t="s">
        <v>250</v>
      </c>
      <c r="L60" s="7" t="s">
        <v>164</v>
      </c>
      <c r="M60" s="7" t="s">
        <v>31</v>
      </c>
    </row>
    <row r="61" spans="8:13">
      <c r="H61" s="8">
        <v>3786</v>
      </c>
      <c r="I61" s="8" t="s">
        <v>32</v>
      </c>
      <c r="J61" s="8">
        <v>2</v>
      </c>
      <c r="K61" s="7" t="s">
        <v>152</v>
      </c>
      <c r="L61" s="7" t="s">
        <v>153</v>
      </c>
      <c r="M61" s="7" t="s">
        <v>31</v>
      </c>
    </row>
    <row r="62" spans="8:13">
      <c r="H62" s="8">
        <v>3787</v>
      </c>
      <c r="I62" s="8" t="s">
        <v>32</v>
      </c>
      <c r="J62" s="8">
        <v>2</v>
      </c>
      <c r="K62" s="7" t="s">
        <v>154</v>
      </c>
      <c r="L62" s="7" t="s">
        <v>155</v>
      </c>
      <c r="M62" s="7" t="s">
        <v>31</v>
      </c>
    </row>
    <row r="63" spans="8:13">
      <c r="H63" s="8">
        <v>3788</v>
      </c>
      <c r="I63" s="8" t="s">
        <v>32</v>
      </c>
      <c r="J63" s="8">
        <v>2</v>
      </c>
      <c r="K63" s="7" t="s">
        <v>156</v>
      </c>
      <c r="L63" s="7" t="s">
        <v>157</v>
      </c>
      <c r="M63" s="7" t="s">
        <v>31</v>
      </c>
    </row>
    <row r="64" spans="8:13">
      <c r="H64" s="8">
        <v>3789</v>
      </c>
      <c r="I64" s="8" t="s">
        <v>32</v>
      </c>
      <c r="J64" s="8">
        <v>2</v>
      </c>
      <c r="K64" s="7" t="s">
        <v>158</v>
      </c>
      <c r="L64" s="7" t="s">
        <v>159</v>
      </c>
      <c r="M64" s="7" t="s">
        <v>31</v>
      </c>
    </row>
    <row r="65" spans="8:13">
      <c r="H65" s="8">
        <v>3790</v>
      </c>
      <c r="I65" s="8" t="s">
        <v>32</v>
      </c>
      <c r="J65" s="8">
        <v>2</v>
      </c>
      <c r="K65" s="7" t="s">
        <v>160</v>
      </c>
      <c r="L65" s="7" t="s">
        <v>161</v>
      </c>
      <c r="M65" s="7" t="s">
        <v>31</v>
      </c>
    </row>
    <row r="66" spans="8:13">
      <c r="H66" s="8">
        <v>3791</v>
      </c>
      <c r="I66" s="8" t="s">
        <v>32</v>
      </c>
      <c r="J66" s="8">
        <v>2</v>
      </c>
      <c r="K66" s="7" t="s">
        <v>142</v>
      </c>
      <c r="L66" s="7" t="s">
        <v>143</v>
      </c>
      <c r="M66" s="7" t="s">
        <v>31</v>
      </c>
    </row>
    <row r="67" spans="8:13">
      <c r="H67" s="8">
        <v>3793</v>
      </c>
      <c r="I67" s="8" t="s">
        <v>32</v>
      </c>
      <c r="J67" s="8">
        <v>2</v>
      </c>
      <c r="K67" s="7" t="s">
        <v>104</v>
      </c>
      <c r="L67" s="7" t="s">
        <v>105</v>
      </c>
      <c r="M67" s="7" t="s">
        <v>31</v>
      </c>
    </row>
    <row r="68" spans="8:13">
      <c r="H68" s="8">
        <v>3805</v>
      </c>
      <c r="I68" s="8" t="s">
        <v>32</v>
      </c>
      <c r="J68" s="8">
        <v>2</v>
      </c>
      <c r="K68" s="7" t="s">
        <v>120</v>
      </c>
      <c r="L68" s="7" t="s">
        <v>121</v>
      </c>
      <c r="M68" s="7" t="s">
        <v>31</v>
      </c>
    </row>
    <row r="69" spans="8:13">
      <c r="H69" s="8">
        <v>3803</v>
      </c>
      <c r="I69" s="8" t="s">
        <v>32</v>
      </c>
      <c r="J69" s="8">
        <v>2</v>
      </c>
      <c r="K69" s="7" t="s">
        <v>251</v>
      </c>
      <c r="L69" s="7" t="s">
        <v>252</v>
      </c>
      <c r="M69" s="7" t="s">
        <v>31</v>
      </c>
    </row>
    <row r="70" spans="8:13">
      <c r="H70" s="8">
        <v>3802</v>
      </c>
      <c r="I70" s="8" t="s">
        <v>32</v>
      </c>
      <c r="J70" s="8">
        <v>2</v>
      </c>
      <c r="K70" s="7" t="s">
        <v>116</v>
      </c>
      <c r="L70" s="7" t="s">
        <v>117</v>
      </c>
      <c r="M70" s="7" t="s">
        <v>31</v>
      </c>
    </row>
    <row r="71" spans="8:13">
      <c r="H71" s="8">
        <v>3801</v>
      </c>
      <c r="I71" s="8" t="s">
        <v>32</v>
      </c>
      <c r="J71" s="8">
        <v>2</v>
      </c>
      <c r="K71" s="7" t="s">
        <v>253</v>
      </c>
      <c r="L71" s="7" t="s">
        <v>254</v>
      </c>
      <c r="M71" s="7" t="s">
        <v>31</v>
      </c>
    </row>
    <row r="72" spans="8:13">
      <c r="H72" s="8">
        <v>3800</v>
      </c>
      <c r="I72" s="8" t="s">
        <v>32</v>
      </c>
      <c r="J72" s="8">
        <v>2</v>
      </c>
      <c r="K72" s="7" t="s">
        <v>114</v>
      </c>
      <c r="L72" s="7" t="s">
        <v>115</v>
      </c>
      <c r="M72" s="7" t="s">
        <v>31</v>
      </c>
    </row>
    <row r="73" spans="8:13">
      <c r="H73" s="8">
        <v>3799</v>
      </c>
      <c r="I73" s="8" t="s">
        <v>32</v>
      </c>
      <c r="J73" s="8">
        <v>2</v>
      </c>
      <c r="K73" s="7" t="s">
        <v>255</v>
      </c>
      <c r="L73" s="7" t="s">
        <v>256</v>
      </c>
      <c r="M73" s="7" t="s">
        <v>31</v>
      </c>
    </row>
    <row r="74" spans="8:13">
      <c r="H74" s="8">
        <v>3798</v>
      </c>
      <c r="I74" s="8" t="s">
        <v>32</v>
      </c>
      <c r="J74" s="8">
        <v>2</v>
      </c>
      <c r="K74" s="7" t="s">
        <v>112</v>
      </c>
      <c r="L74" s="7" t="s">
        <v>113</v>
      </c>
      <c r="M74" s="7" t="s">
        <v>31</v>
      </c>
    </row>
    <row r="75" spans="8:13">
      <c r="H75" s="8">
        <v>3797</v>
      </c>
      <c r="I75" s="8" t="s">
        <v>32</v>
      </c>
      <c r="J75" s="8">
        <v>2</v>
      </c>
      <c r="K75" s="7" t="s">
        <v>257</v>
      </c>
      <c r="L75" s="7" t="s">
        <v>258</v>
      </c>
      <c r="M75" s="7" t="s">
        <v>31</v>
      </c>
    </row>
    <row r="76" spans="8:13">
      <c r="H76" s="8">
        <v>3796</v>
      </c>
      <c r="I76" s="8" t="s">
        <v>32</v>
      </c>
      <c r="J76" s="8">
        <v>2</v>
      </c>
      <c r="K76" s="7" t="s">
        <v>110</v>
      </c>
      <c r="L76" s="7" t="s">
        <v>111</v>
      </c>
      <c r="M76" s="7" t="s">
        <v>31</v>
      </c>
    </row>
    <row r="77" spans="8:13">
      <c r="H77" s="8">
        <v>3795</v>
      </c>
      <c r="I77" s="8" t="s">
        <v>32</v>
      </c>
      <c r="J77" s="8">
        <v>2</v>
      </c>
      <c r="K77" s="7" t="s">
        <v>259</v>
      </c>
      <c r="L77" s="7" t="s">
        <v>260</v>
      </c>
      <c r="M77" s="7" t="s">
        <v>31</v>
      </c>
    </row>
    <row r="78" spans="8:13">
      <c r="H78" s="8">
        <v>3794</v>
      </c>
      <c r="I78" s="8" t="s">
        <v>32</v>
      </c>
      <c r="J78" s="8">
        <v>2</v>
      </c>
      <c r="K78" s="7" t="s">
        <v>108</v>
      </c>
      <c r="L78" s="7" t="s">
        <v>109</v>
      </c>
      <c r="M78" s="7" t="s">
        <v>31</v>
      </c>
    </row>
    <row r="79" spans="8:13">
      <c r="H79" s="8">
        <v>3792</v>
      </c>
      <c r="I79" s="8" t="s">
        <v>32</v>
      </c>
      <c r="J79" s="8">
        <v>2</v>
      </c>
      <c r="K79" s="7" t="s">
        <v>162</v>
      </c>
      <c r="L79" s="7" t="s">
        <v>163</v>
      </c>
      <c r="M79" s="7" t="s">
        <v>31</v>
      </c>
    </row>
    <row r="80" spans="8:13">
      <c r="H80" s="8">
        <v>3769</v>
      </c>
      <c r="I80" s="8" t="s">
        <v>33</v>
      </c>
      <c r="J80" s="8">
        <v>3</v>
      </c>
      <c r="K80" s="7" t="s">
        <v>185</v>
      </c>
      <c r="L80" s="7" t="s">
        <v>186</v>
      </c>
      <c r="M80" s="7" t="s">
        <v>31</v>
      </c>
    </row>
    <row r="81" spans="8:13">
      <c r="H81" s="8">
        <v>3768</v>
      </c>
      <c r="I81" s="8" t="s">
        <v>33</v>
      </c>
      <c r="J81" s="8">
        <v>3</v>
      </c>
      <c r="K81" s="7" t="s">
        <v>165</v>
      </c>
      <c r="L81" s="7" t="s">
        <v>166</v>
      </c>
      <c r="M81" s="7" t="s">
        <v>31</v>
      </c>
    </row>
    <row r="82" spans="8:13">
      <c r="H82" s="8">
        <v>3778</v>
      </c>
      <c r="I82" s="8" t="s">
        <v>34</v>
      </c>
      <c r="J82" s="8">
        <v>4</v>
      </c>
      <c r="K82" s="7" t="s">
        <v>181</v>
      </c>
      <c r="L82" s="7" t="s">
        <v>182</v>
      </c>
      <c r="M82" s="7" t="s">
        <v>31</v>
      </c>
    </row>
    <row r="83" spans="8:13">
      <c r="H83" s="8">
        <v>3777</v>
      </c>
      <c r="I83" s="8" t="s">
        <v>34</v>
      </c>
      <c r="J83" s="8">
        <v>4</v>
      </c>
      <c r="K83" s="7" t="s">
        <v>179</v>
      </c>
      <c r="L83" s="7" t="s">
        <v>180</v>
      </c>
      <c r="M83" s="7" t="s">
        <v>31</v>
      </c>
    </row>
    <row r="84" spans="8:13">
      <c r="H84" s="8">
        <v>3775</v>
      </c>
      <c r="I84" s="8" t="s">
        <v>34</v>
      </c>
      <c r="J84" s="8">
        <v>4</v>
      </c>
      <c r="K84" s="7" t="s">
        <v>167</v>
      </c>
      <c r="L84" s="7" t="s">
        <v>168</v>
      </c>
      <c r="M84" s="7" t="s">
        <v>31</v>
      </c>
    </row>
    <row r="85" spans="8:13">
      <c r="H85" s="8">
        <v>3774</v>
      </c>
      <c r="I85" s="8" t="s">
        <v>34</v>
      </c>
      <c r="J85" s="8">
        <v>4</v>
      </c>
      <c r="K85" s="7" t="s">
        <v>177</v>
      </c>
      <c r="L85" s="7" t="s">
        <v>178</v>
      </c>
      <c r="M85" s="7" t="s">
        <v>31</v>
      </c>
    </row>
    <row r="86" spans="8:13">
      <c r="H86" s="8">
        <v>3773</v>
      </c>
      <c r="I86" s="8" t="s">
        <v>34</v>
      </c>
      <c r="J86" s="8">
        <v>4</v>
      </c>
      <c r="K86" s="7" t="s">
        <v>175</v>
      </c>
      <c r="L86" s="7" t="s">
        <v>176</v>
      </c>
      <c r="M86" s="7" t="s">
        <v>31</v>
      </c>
    </row>
    <row r="87" spans="8:13">
      <c r="H87" s="8">
        <v>3772</v>
      </c>
      <c r="I87" s="8" t="s">
        <v>34</v>
      </c>
      <c r="J87" s="8">
        <v>4</v>
      </c>
      <c r="K87" s="7" t="s">
        <v>173</v>
      </c>
      <c r="L87" s="7" t="s">
        <v>174</v>
      </c>
      <c r="M87" s="7" t="s">
        <v>31</v>
      </c>
    </row>
    <row r="88" spans="8:13">
      <c r="H88" s="8">
        <v>3771</v>
      </c>
      <c r="I88" s="8" t="s">
        <v>34</v>
      </c>
      <c r="J88" s="8">
        <v>4</v>
      </c>
      <c r="K88" s="7" t="s">
        <v>171</v>
      </c>
      <c r="L88" s="7" t="s">
        <v>172</v>
      </c>
      <c r="M88" s="7" t="s">
        <v>31</v>
      </c>
    </row>
    <row r="89" spans="8:13">
      <c r="H89" s="8">
        <v>3770</v>
      </c>
      <c r="I89" s="8" t="s">
        <v>34</v>
      </c>
      <c r="J89" s="8">
        <v>4</v>
      </c>
      <c r="K89" s="7" t="s">
        <v>169</v>
      </c>
      <c r="L89" s="7" t="s">
        <v>170</v>
      </c>
      <c r="M89" s="7" t="s">
        <v>31</v>
      </c>
    </row>
    <row r="90" spans="8:13">
      <c r="H90" s="8"/>
      <c r="I90" s="8"/>
      <c r="J90" s="8"/>
      <c r="K90" s="7"/>
      <c r="L90" s="7"/>
      <c r="M90" s="7"/>
    </row>
    <row r="91" spans="8:13">
      <c r="H91" s="8"/>
      <c r="I91" s="8"/>
      <c r="J91" s="8"/>
      <c r="K91" s="7"/>
      <c r="L91" s="7"/>
      <c r="M91" s="7"/>
    </row>
    <row r="92" spans="8:13">
      <c r="H92" s="8"/>
      <c r="I92" s="8"/>
      <c r="J92" s="8"/>
      <c r="K92" s="7"/>
      <c r="L92" s="7"/>
      <c r="M92" s="7"/>
    </row>
    <row r="93" spans="8:13">
      <c r="H93" s="8"/>
      <c r="I93" s="8"/>
      <c r="J93" s="8"/>
      <c r="K93" s="7"/>
      <c r="L93" s="7"/>
      <c r="M93" s="7"/>
    </row>
    <row r="94" spans="8:13">
      <c r="H94" s="8"/>
      <c r="I94" s="8"/>
      <c r="J94" s="8"/>
      <c r="K94" s="7"/>
      <c r="L94" s="7"/>
      <c r="M94" s="7"/>
    </row>
    <row r="95" spans="8:13">
      <c r="H95" s="8"/>
      <c r="I95" s="8"/>
      <c r="J95" s="8"/>
      <c r="K95" s="7"/>
      <c r="L95" s="7"/>
      <c r="M95" s="7"/>
    </row>
    <row r="96" spans="8:13">
      <c r="H96" s="8"/>
      <c r="I96" s="8"/>
      <c r="J96" s="8"/>
      <c r="K96" s="7"/>
      <c r="L96" s="7"/>
      <c r="M96" s="7"/>
    </row>
    <row r="97" spans="8:13">
      <c r="H97" s="8"/>
      <c r="I97" s="8"/>
      <c r="J97" s="8"/>
      <c r="K97" s="7"/>
      <c r="L97" s="7"/>
      <c r="M97" s="7"/>
    </row>
    <row r="98" spans="8:13">
      <c r="H98" s="8"/>
      <c r="I98" s="8"/>
      <c r="J98" s="8"/>
      <c r="K98" s="7"/>
      <c r="L98" s="7"/>
      <c r="M98" s="7"/>
    </row>
    <row r="99" spans="8:13">
      <c r="H99" s="8"/>
      <c r="I99" s="8"/>
      <c r="J99" s="8"/>
      <c r="K99" s="7"/>
      <c r="L99" s="7"/>
      <c r="M99" s="7"/>
    </row>
    <row r="100" spans="8:13">
      <c r="H100" s="8"/>
      <c r="I100" s="8"/>
      <c r="J100" s="8"/>
      <c r="K100" s="7"/>
      <c r="L100" s="7"/>
      <c r="M100" s="7"/>
    </row>
    <row r="101" spans="8:13">
      <c r="H101" s="8"/>
      <c r="I101" s="8"/>
      <c r="J101" s="8"/>
      <c r="K101" s="7"/>
      <c r="L101" s="7"/>
      <c r="M101" s="7"/>
    </row>
    <row r="102" spans="8:13">
      <c r="H102" s="8"/>
      <c r="I102" s="8"/>
      <c r="J102" s="8"/>
      <c r="K102" s="7"/>
      <c r="L102" s="7"/>
      <c r="M102" s="7"/>
    </row>
    <row r="103" spans="8:13">
      <c r="H103" s="8"/>
      <c r="I103" s="8"/>
      <c r="J103" s="8"/>
      <c r="K103" s="7"/>
      <c r="L103" s="7"/>
      <c r="M103" s="7"/>
    </row>
    <row r="104" spans="8:13">
      <c r="H104" s="8"/>
      <c r="I104" s="8"/>
      <c r="J104" s="8"/>
      <c r="K104" s="7"/>
      <c r="L104" s="7"/>
      <c r="M104" s="7"/>
    </row>
    <row r="105" spans="8:13">
      <c r="H105" s="8"/>
      <c r="I105" s="8"/>
      <c r="J105" s="8"/>
      <c r="K105" s="7"/>
      <c r="L105" s="7"/>
      <c r="M105" s="7"/>
    </row>
    <row r="106" spans="8:13">
      <c r="H106" s="8"/>
      <c r="I106" s="8"/>
      <c r="J106" s="8"/>
      <c r="K106" s="7"/>
      <c r="L106" s="7"/>
      <c r="M106" s="7"/>
    </row>
    <row r="107" spans="8:13">
      <c r="H107" s="8"/>
      <c r="I107" s="8"/>
      <c r="J107" s="8"/>
      <c r="K107" s="7"/>
      <c r="L107" s="7"/>
      <c r="M107" s="7"/>
    </row>
    <row r="108" spans="8:13">
      <c r="H108" s="8"/>
      <c r="I108" s="8"/>
      <c r="J108" s="8"/>
      <c r="K108" s="7"/>
      <c r="L108" s="7"/>
      <c r="M108" s="7"/>
    </row>
    <row r="109" spans="8:13">
      <c r="H109" s="8"/>
      <c r="I109" s="8"/>
      <c r="J109" s="8"/>
      <c r="K109" s="7"/>
      <c r="L109" s="7"/>
      <c r="M109" s="7"/>
    </row>
    <row r="110" spans="8:13">
      <c r="H110" s="8"/>
      <c r="I110" s="8"/>
      <c r="J110" s="8"/>
      <c r="K110" s="7"/>
      <c r="L110" s="7"/>
      <c r="M110" s="7"/>
    </row>
    <row r="111" spans="8:13">
      <c r="H111" s="8"/>
      <c r="I111" s="8"/>
      <c r="J111" s="8"/>
      <c r="K111" s="7"/>
      <c r="L111" s="7"/>
      <c r="M111" s="7"/>
    </row>
    <row r="112" spans="8:13">
      <c r="H112" s="8"/>
      <c r="I112" s="8"/>
      <c r="J112" s="8"/>
      <c r="K112" s="7"/>
      <c r="L112" s="7"/>
      <c r="M112" s="7"/>
    </row>
    <row r="113" spans="8:13">
      <c r="H113" s="8"/>
      <c r="I113" s="8"/>
      <c r="J113" s="8"/>
      <c r="K113" s="7"/>
      <c r="L113" s="7"/>
      <c r="M113" s="7"/>
    </row>
    <row r="114" spans="8:13">
      <c r="H114" s="8"/>
      <c r="I114" s="8"/>
      <c r="J114" s="8"/>
      <c r="K114" s="7"/>
      <c r="L114" s="7"/>
      <c r="M114" s="7"/>
    </row>
    <row r="115" spans="8:13">
      <c r="H115" s="8"/>
      <c r="I115" s="8"/>
      <c r="J115" s="8"/>
      <c r="K115" s="7"/>
      <c r="L115" s="7"/>
      <c r="M115" s="7"/>
    </row>
    <row r="116" spans="8:13">
      <c r="H116" s="8"/>
      <c r="I116" s="8"/>
      <c r="J116" s="8"/>
      <c r="K116" s="7"/>
      <c r="L116" s="7"/>
      <c r="M116" s="7"/>
    </row>
    <row r="117" spans="8:13">
      <c r="H117" s="8"/>
      <c r="I117" s="8"/>
      <c r="J117" s="8"/>
      <c r="K117" s="7"/>
      <c r="L117" s="7"/>
      <c r="M117" s="7"/>
    </row>
    <row r="118" spans="8:13">
      <c r="H118" s="8"/>
      <c r="I118" s="8"/>
      <c r="J118" s="8"/>
      <c r="K118" s="7"/>
      <c r="L118" s="7"/>
      <c r="M118" s="7"/>
    </row>
    <row r="119" spans="8:13">
      <c r="H119" s="8"/>
      <c r="I119" s="8"/>
      <c r="J119" s="8"/>
      <c r="K119" s="7"/>
      <c r="L119" s="7"/>
      <c r="M119" s="7"/>
    </row>
    <row r="120" spans="8:13">
      <c r="H120" s="8"/>
      <c r="I120" s="8"/>
      <c r="J120" s="8"/>
      <c r="K120" s="7"/>
      <c r="L120" s="7"/>
      <c r="M120" s="7"/>
    </row>
    <row r="121" spans="8:13">
      <c r="H121" s="8"/>
      <c r="I121" s="8"/>
      <c r="J121" s="8"/>
      <c r="K121" s="7"/>
      <c r="L121" s="7"/>
      <c r="M121" s="7"/>
    </row>
    <row r="122" spans="8:13">
      <c r="H122" s="8"/>
      <c r="I122" s="8"/>
      <c r="J122" s="8"/>
      <c r="K122" s="7"/>
      <c r="L122" s="7"/>
      <c r="M122" s="7"/>
    </row>
    <row r="123" spans="8:13">
      <c r="H123" s="8"/>
      <c r="I123" s="8"/>
      <c r="J123" s="8"/>
      <c r="K123" s="7"/>
      <c r="L123" s="7"/>
      <c r="M123" s="7"/>
    </row>
    <row r="124" spans="8:13">
      <c r="H124" s="8"/>
      <c r="I124" s="8"/>
      <c r="J124" s="8"/>
      <c r="K124" s="7"/>
      <c r="L124" s="7"/>
      <c r="M124" s="7"/>
    </row>
    <row r="125" spans="8:13">
      <c r="H125" s="8"/>
      <c r="I125" s="8"/>
      <c r="J125" s="8"/>
      <c r="K125" s="7"/>
      <c r="L125" s="7"/>
      <c r="M125" s="7"/>
    </row>
    <row r="126" spans="8:13">
      <c r="H126" s="8"/>
      <c r="I126" s="8"/>
      <c r="J126" s="8"/>
      <c r="K126" s="7"/>
      <c r="L126" s="7"/>
      <c r="M126" s="7"/>
    </row>
    <row r="127" spans="8:13">
      <c r="H127" s="8"/>
      <c r="I127" s="8"/>
      <c r="J127" s="8"/>
      <c r="K127" s="7"/>
      <c r="L127" s="7"/>
      <c r="M127" s="7"/>
    </row>
    <row r="128" spans="8:13">
      <c r="H128" s="8"/>
      <c r="I128" s="8"/>
      <c r="J128" s="8"/>
      <c r="K128" s="7"/>
      <c r="L128" s="7"/>
      <c r="M128" s="7"/>
    </row>
    <row r="129" spans="8:13">
      <c r="H129" s="8"/>
      <c r="I129" s="8"/>
      <c r="J129" s="8"/>
      <c r="K129" s="7"/>
      <c r="L129" s="7"/>
      <c r="M129" s="7"/>
    </row>
    <row r="130" spans="8:13">
      <c r="H130" s="8"/>
      <c r="I130" s="8"/>
      <c r="J130" s="8"/>
      <c r="K130" s="7"/>
      <c r="L130" s="7"/>
      <c r="M130" s="7"/>
    </row>
    <row r="131" spans="8:13">
      <c r="H131" s="8"/>
      <c r="I131" s="8"/>
      <c r="J131" s="8"/>
      <c r="K131" s="7"/>
      <c r="L131" s="7"/>
      <c r="M131" s="7"/>
    </row>
    <row r="132" spans="8:13">
      <c r="H132" s="8"/>
      <c r="I132" s="8"/>
      <c r="J132" s="8"/>
      <c r="K132" s="7"/>
      <c r="L132" s="7"/>
      <c r="M132" s="7"/>
    </row>
    <row r="133" spans="8:13">
      <c r="H133" s="8"/>
      <c r="I133" s="8"/>
      <c r="J133" s="8"/>
      <c r="K133" s="7"/>
      <c r="L133" s="7"/>
      <c r="M133" s="7"/>
    </row>
    <row r="134" spans="8:13">
      <c r="H134" s="8"/>
      <c r="I134" s="8"/>
      <c r="J134" s="8"/>
      <c r="K134" s="7"/>
      <c r="L134" s="7"/>
      <c r="M134" s="7"/>
    </row>
    <row r="135" spans="8:13">
      <c r="H135" s="8"/>
      <c r="I135" s="8"/>
      <c r="J135" s="8"/>
      <c r="K135" s="7"/>
      <c r="L135" s="7"/>
      <c r="M135" s="7"/>
    </row>
    <row r="136" spans="8:13">
      <c r="H136" s="8"/>
      <c r="I136" s="8"/>
      <c r="J136" s="8"/>
      <c r="K136" s="7"/>
      <c r="L136" s="7"/>
      <c r="M136" s="7"/>
    </row>
    <row r="137" spans="8:13">
      <c r="H137" s="8"/>
      <c r="I137" s="8"/>
      <c r="J137" s="8"/>
      <c r="K137" s="7"/>
      <c r="L137" s="7"/>
      <c r="M137" s="7"/>
    </row>
    <row r="138" spans="8:13">
      <c r="H138" s="8"/>
      <c r="I138" s="8"/>
      <c r="J138" s="8"/>
      <c r="K138" s="7"/>
      <c r="L138" s="7"/>
      <c r="M138" s="7"/>
    </row>
    <row r="139" spans="8:13">
      <c r="H139" s="8"/>
      <c r="I139" s="8"/>
      <c r="J139" s="8"/>
      <c r="K139" s="7"/>
      <c r="L139" s="7"/>
      <c r="M139" s="7"/>
    </row>
    <row r="140" spans="8:13">
      <c r="H140" s="8"/>
      <c r="I140" s="8"/>
      <c r="J140" s="8"/>
      <c r="K140" s="7"/>
      <c r="L140" s="7"/>
      <c r="M140" s="7"/>
    </row>
    <row r="141" spans="8:13">
      <c r="H141" s="8"/>
      <c r="I141" s="8"/>
      <c r="J141" s="8"/>
      <c r="K141" s="7"/>
      <c r="L141" s="7"/>
      <c r="M141" s="7"/>
    </row>
    <row r="142" spans="8:13">
      <c r="H142" s="8"/>
      <c r="I142" s="8"/>
      <c r="J142" s="8"/>
      <c r="K142" s="7"/>
      <c r="L142" s="7"/>
      <c r="M142" s="7"/>
    </row>
    <row r="143" spans="8:13">
      <c r="H143" s="8"/>
      <c r="I143" s="8"/>
      <c r="J143" s="8"/>
      <c r="K143" s="7"/>
      <c r="L143" s="7"/>
      <c r="M143" s="7"/>
    </row>
    <row r="144" spans="8:13">
      <c r="H144" s="8"/>
      <c r="I144" s="8"/>
      <c r="J144" s="8"/>
      <c r="K144" s="7"/>
      <c r="L144" s="7"/>
      <c r="M144" s="7"/>
    </row>
    <row r="145" spans="8:13">
      <c r="H145" s="8"/>
      <c r="I145" s="8"/>
      <c r="J145" s="8"/>
      <c r="K145" s="7"/>
      <c r="L145" s="7"/>
      <c r="M145" s="7"/>
    </row>
    <row r="146" spans="8:13">
      <c r="H146" s="8"/>
      <c r="I146" s="8"/>
      <c r="J146" s="8"/>
      <c r="K146" s="7"/>
      <c r="L146" s="7"/>
      <c r="M146" s="7"/>
    </row>
    <row r="147" spans="8:13">
      <c r="H147" s="8"/>
      <c r="I147" s="8"/>
      <c r="J147" s="8"/>
      <c r="K147" s="7"/>
      <c r="L147" s="7"/>
      <c r="M147" s="7"/>
    </row>
    <row r="148" spans="8:13">
      <c r="H148" s="8"/>
      <c r="I148" s="8"/>
      <c r="J148" s="8"/>
      <c r="K148" s="7"/>
      <c r="L148" s="7"/>
      <c r="M148" s="7"/>
    </row>
    <row r="149" spans="8:13">
      <c r="H149" s="8"/>
      <c r="I149" s="8"/>
      <c r="J149" s="8"/>
      <c r="K149" s="7"/>
      <c r="L149" s="7"/>
      <c r="M149" s="7"/>
    </row>
    <row r="150" spans="8:13">
      <c r="H150" s="8"/>
      <c r="I150" s="8"/>
      <c r="J150" s="8"/>
      <c r="K150" s="7"/>
      <c r="L150" s="7"/>
      <c r="M150" s="7"/>
    </row>
    <row r="151" spans="8:13">
      <c r="H151" s="8"/>
      <c r="I151" s="8"/>
      <c r="J151" s="8"/>
      <c r="K151" s="7"/>
      <c r="L151" s="7"/>
      <c r="M151" s="7"/>
    </row>
    <row r="152" spans="8:13">
      <c r="H152" s="8"/>
      <c r="I152" s="8"/>
      <c r="J152" s="8"/>
      <c r="K152" s="7"/>
      <c r="L152" s="7"/>
      <c r="M152" s="7"/>
    </row>
    <row r="153" spans="8:13">
      <c r="H153" s="8"/>
      <c r="I153" s="8"/>
      <c r="J153" s="8"/>
      <c r="K153" s="7"/>
      <c r="L153" s="7"/>
      <c r="M153" s="7"/>
    </row>
    <row r="154" spans="8:13">
      <c r="H154" s="8"/>
      <c r="I154" s="8"/>
      <c r="J154" s="8"/>
      <c r="K154" s="7"/>
      <c r="L154" s="7"/>
      <c r="M154" s="7"/>
    </row>
  </sheetData>
  <mergeCells count="14">
    <mergeCell ref="H14:M14"/>
    <mergeCell ref="B14:E14"/>
    <mergeCell ref="B6:E6"/>
    <mergeCell ref="B13:E13"/>
    <mergeCell ref="B3:E3"/>
    <mergeCell ref="C4:E4"/>
    <mergeCell ref="H6:I6"/>
    <mergeCell ref="H7:I7"/>
    <mergeCell ref="H8:I8"/>
    <mergeCell ref="H9:I9"/>
    <mergeCell ref="K6:L6"/>
    <mergeCell ref="K7:L7"/>
    <mergeCell ref="K8:L8"/>
    <mergeCell ref="K9:L9"/>
  </mergeCells>
  <phoneticPr fontId="5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284495-84A9-2F40-A7E5-8706789887FC}">
  <sheetPr codeName="Sheet2">
    <tabColor rgb="FFFF0000"/>
  </sheetPr>
  <dimension ref="A1:CC2127"/>
  <sheetViews>
    <sheetView zoomScale="85" zoomScaleNormal="85" workbookViewId="0"/>
  </sheetViews>
  <sheetFormatPr defaultColWidth="11" defaultRowHeight="15.75"/>
  <cols>
    <col min="1" max="1" width="15.875" bestFit="1" customWidth="1"/>
    <col min="2" max="2" width="12.125" bestFit="1" customWidth="1"/>
    <col min="3" max="3" width="20.625" customWidth="1"/>
    <col min="4" max="4" width="14.5" bestFit="1" customWidth="1"/>
    <col min="5" max="20" width="11.125" bestFit="1" customWidth="1"/>
    <col min="21" max="22" width="20.125" bestFit="1" customWidth="1"/>
    <col min="24" max="24" width="16.875" bestFit="1" customWidth="1"/>
    <col min="25" max="25" width="17.125" bestFit="1" customWidth="1"/>
    <col min="26" max="26" width="11.125" bestFit="1" customWidth="1"/>
    <col min="27" max="27" width="18.125" bestFit="1" customWidth="1"/>
    <col min="28" max="43" width="11.125" bestFit="1" customWidth="1"/>
    <col min="44" max="44" width="14.875" bestFit="1" customWidth="1"/>
    <col min="45" max="45" width="14.625" bestFit="1" customWidth="1"/>
    <col min="81" max="81" width="13.375" customWidth="1"/>
  </cols>
  <sheetData>
    <row r="1" spans="1:22">
      <c r="A1" s="43">
        <f>setup!C16</f>
        <v>3817</v>
      </c>
    </row>
    <row r="2" spans="1:22" s="43" customFormat="1">
      <c r="A2" s="43" t="str">
        <f>_xlfn.CONCAT(setup!D16, " - ",setup!E16)</f>
        <v>OSEP – Autism - Paper - OSEP_AUT_P</v>
      </c>
    </row>
    <row r="3" spans="1:22">
      <c r="A3" t="s">
        <v>35</v>
      </c>
      <c r="B3" t="s">
        <v>36</v>
      </c>
      <c r="C3" t="s">
        <v>37</v>
      </c>
      <c r="D3" t="s">
        <v>38</v>
      </c>
      <c r="E3" t="s">
        <v>39</v>
      </c>
      <c r="F3" t="s">
        <v>40</v>
      </c>
      <c r="G3" t="s">
        <v>41</v>
      </c>
      <c r="H3" t="s">
        <v>42</v>
      </c>
      <c r="I3" t="s">
        <v>43</v>
      </c>
      <c r="J3" t="s">
        <v>44</v>
      </c>
      <c r="K3" t="s">
        <v>45</v>
      </c>
      <c r="L3" t="s">
        <v>46</v>
      </c>
      <c r="M3" t="s">
        <v>47</v>
      </c>
      <c r="N3" t="s">
        <v>48</v>
      </c>
      <c r="O3" t="s">
        <v>49</v>
      </c>
      <c r="P3" t="s">
        <v>50</v>
      </c>
      <c r="Q3" t="s">
        <v>51</v>
      </c>
      <c r="R3" t="s">
        <v>52</v>
      </c>
      <c r="S3" t="s">
        <v>53</v>
      </c>
      <c r="T3" t="s">
        <v>54</v>
      </c>
      <c r="U3" t="s">
        <v>55</v>
      </c>
      <c r="V3" t="s">
        <v>56</v>
      </c>
    </row>
    <row r="4" spans="1:22">
      <c r="A4" t="s">
        <v>187</v>
      </c>
      <c r="B4" t="s">
        <v>57</v>
      </c>
      <c r="C4" t="s">
        <v>58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4</v>
      </c>
      <c r="V4" t="s">
        <v>301</v>
      </c>
    </row>
    <row r="5" spans="1:22">
      <c r="A5" t="s">
        <v>187</v>
      </c>
      <c r="B5" t="s">
        <v>57</v>
      </c>
      <c r="C5" t="s">
        <v>59</v>
      </c>
      <c r="D5">
        <v>0</v>
      </c>
      <c r="E5">
        <v>0</v>
      </c>
      <c r="F5">
        <v>0</v>
      </c>
      <c r="G5">
        <v>3</v>
      </c>
      <c r="H5">
        <v>1</v>
      </c>
      <c r="I5">
        <v>1</v>
      </c>
      <c r="J5">
        <v>0</v>
      </c>
      <c r="K5">
        <v>3</v>
      </c>
      <c r="L5">
        <v>0</v>
      </c>
      <c r="M5">
        <v>0</v>
      </c>
      <c r="N5">
        <v>0</v>
      </c>
      <c r="O5">
        <v>1</v>
      </c>
      <c r="P5">
        <v>1</v>
      </c>
      <c r="Q5">
        <v>2</v>
      </c>
      <c r="R5">
        <v>1</v>
      </c>
      <c r="S5">
        <v>3</v>
      </c>
      <c r="T5">
        <v>0</v>
      </c>
      <c r="U5">
        <v>4</v>
      </c>
      <c r="V5" t="s">
        <v>301</v>
      </c>
    </row>
    <row r="6" spans="1:22">
      <c r="A6" t="s">
        <v>187</v>
      </c>
      <c r="B6" t="s">
        <v>57</v>
      </c>
      <c r="C6" t="s">
        <v>60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 t="s">
        <v>301</v>
      </c>
    </row>
    <row r="7" spans="1:22">
      <c r="A7" t="s">
        <v>187</v>
      </c>
      <c r="B7" t="s">
        <v>57</v>
      </c>
      <c r="C7" t="s">
        <v>61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 t="s">
        <v>301</v>
      </c>
    </row>
    <row r="8" spans="1:22">
      <c r="A8" t="s">
        <v>187</v>
      </c>
      <c r="B8" t="s">
        <v>57</v>
      </c>
      <c r="C8" t="s">
        <v>62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 t="s">
        <v>301</v>
      </c>
    </row>
    <row r="9" spans="1:22">
      <c r="A9" t="s">
        <v>187</v>
      </c>
      <c r="B9" t="s">
        <v>57</v>
      </c>
      <c r="C9" t="s">
        <v>63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 t="s">
        <v>301</v>
      </c>
    </row>
    <row r="10" spans="1:22">
      <c r="A10" t="s">
        <v>187</v>
      </c>
      <c r="B10" t="s">
        <v>57</v>
      </c>
      <c r="C10" t="s">
        <v>64</v>
      </c>
      <c r="D10">
        <v>0</v>
      </c>
      <c r="E10">
        <v>0</v>
      </c>
      <c r="F10">
        <v>0</v>
      </c>
      <c r="G10">
        <v>3</v>
      </c>
      <c r="H10">
        <v>1</v>
      </c>
      <c r="I10">
        <v>1</v>
      </c>
      <c r="J10">
        <v>0</v>
      </c>
      <c r="K10">
        <v>3</v>
      </c>
      <c r="L10">
        <v>0</v>
      </c>
      <c r="M10">
        <v>0</v>
      </c>
      <c r="N10">
        <v>0</v>
      </c>
      <c r="O10">
        <v>1</v>
      </c>
      <c r="P10">
        <v>1</v>
      </c>
      <c r="Q10">
        <v>2</v>
      </c>
      <c r="R10">
        <v>1</v>
      </c>
      <c r="S10">
        <v>3</v>
      </c>
      <c r="T10">
        <v>0</v>
      </c>
      <c r="U10">
        <v>4</v>
      </c>
      <c r="V10" t="s">
        <v>301</v>
      </c>
    </row>
    <row r="11" spans="1:22">
      <c r="A11" t="s">
        <v>187</v>
      </c>
      <c r="B11" t="s">
        <v>57</v>
      </c>
      <c r="C11" t="s">
        <v>65</v>
      </c>
      <c r="D11">
        <v>0</v>
      </c>
      <c r="E11">
        <v>0</v>
      </c>
      <c r="F11">
        <v>0</v>
      </c>
      <c r="G11">
        <v>1</v>
      </c>
      <c r="H11">
        <v>0</v>
      </c>
      <c r="I11">
        <v>0</v>
      </c>
      <c r="J11">
        <v>0</v>
      </c>
      <c r="K11">
        <v>0</v>
      </c>
      <c r="L11">
        <v>0</v>
      </c>
      <c r="M11">
        <v>1</v>
      </c>
      <c r="N11">
        <v>0</v>
      </c>
      <c r="O11">
        <v>0</v>
      </c>
      <c r="P11">
        <v>1</v>
      </c>
      <c r="Q11">
        <v>0</v>
      </c>
      <c r="R11">
        <v>1</v>
      </c>
      <c r="S11">
        <v>0</v>
      </c>
      <c r="T11">
        <v>0</v>
      </c>
      <c r="U11">
        <v>1</v>
      </c>
      <c r="V11" t="s">
        <v>301</v>
      </c>
    </row>
    <row r="12" spans="1:22">
      <c r="A12" t="s">
        <v>188</v>
      </c>
      <c r="B12" t="s">
        <v>57</v>
      </c>
      <c r="C12" t="s">
        <v>58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4</v>
      </c>
      <c r="V12" t="s">
        <v>301</v>
      </c>
    </row>
    <row r="13" spans="1:22">
      <c r="A13" t="s">
        <v>188</v>
      </c>
      <c r="B13" t="s">
        <v>57</v>
      </c>
      <c r="C13" t="s">
        <v>59</v>
      </c>
      <c r="D13">
        <v>0</v>
      </c>
      <c r="E13">
        <v>1</v>
      </c>
      <c r="F13">
        <v>1</v>
      </c>
      <c r="G13">
        <v>1</v>
      </c>
      <c r="H13">
        <v>0</v>
      </c>
      <c r="I13">
        <v>0</v>
      </c>
      <c r="J13">
        <v>0</v>
      </c>
      <c r="K13">
        <v>2</v>
      </c>
      <c r="L13">
        <v>0</v>
      </c>
      <c r="M13">
        <v>1</v>
      </c>
      <c r="N13">
        <v>0</v>
      </c>
      <c r="O13">
        <v>0</v>
      </c>
      <c r="P13">
        <v>2</v>
      </c>
      <c r="Q13">
        <v>1</v>
      </c>
      <c r="R13">
        <v>1</v>
      </c>
      <c r="S13">
        <v>2</v>
      </c>
      <c r="T13">
        <v>0</v>
      </c>
      <c r="U13">
        <v>3</v>
      </c>
      <c r="V13" t="s">
        <v>301</v>
      </c>
    </row>
    <row r="14" spans="1:22">
      <c r="A14" t="s">
        <v>188</v>
      </c>
      <c r="B14" t="s">
        <v>57</v>
      </c>
      <c r="C14" t="s">
        <v>60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 t="s">
        <v>301</v>
      </c>
    </row>
    <row r="15" spans="1:22">
      <c r="A15" t="s">
        <v>188</v>
      </c>
      <c r="B15" t="s">
        <v>57</v>
      </c>
      <c r="C15" t="s">
        <v>61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 t="s">
        <v>301</v>
      </c>
    </row>
    <row r="16" spans="1:22">
      <c r="A16" t="s">
        <v>188</v>
      </c>
      <c r="B16" t="s">
        <v>57</v>
      </c>
      <c r="C16" t="s">
        <v>62</v>
      </c>
      <c r="D16">
        <v>0</v>
      </c>
      <c r="E16">
        <v>0</v>
      </c>
      <c r="F16">
        <v>1</v>
      </c>
      <c r="G16">
        <v>0</v>
      </c>
      <c r="H16">
        <v>0</v>
      </c>
      <c r="I16">
        <v>0</v>
      </c>
      <c r="J16">
        <v>0</v>
      </c>
      <c r="K16">
        <v>1</v>
      </c>
      <c r="L16">
        <v>0</v>
      </c>
      <c r="M16">
        <v>0</v>
      </c>
      <c r="N16">
        <v>0</v>
      </c>
      <c r="O16">
        <v>0</v>
      </c>
      <c r="P16">
        <v>1</v>
      </c>
      <c r="Q16">
        <v>0</v>
      </c>
      <c r="R16">
        <v>0</v>
      </c>
      <c r="S16">
        <v>1</v>
      </c>
      <c r="T16">
        <v>0</v>
      </c>
      <c r="U16">
        <v>1</v>
      </c>
      <c r="V16" t="s">
        <v>301</v>
      </c>
    </row>
    <row r="17" spans="1:22">
      <c r="A17" t="s">
        <v>188</v>
      </c>
      <c r="B17" t="s">
        <v>57</v>
      </c>
      <c r="C17" t="s">
        <v>63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 t="s">
        <v>301</v>
      </c>
    </row>
    <row r="18" spans="1:22">
      <c r="A18" t="s">
        <v>188</v>
      </c>
      <c r="B18" t="s">
        <v>57</v>
      </c>
      <c r="C18" t="s">
        <v>64</v>
      </c>
      <c r="D18">
        <v>0</v>
      </c>
      <c r="E18">
        <v>1</v>
      </c>
      <c r="F18">
        <v>2</v>
      </c>
      <c r="G18">
        <v>1</v>
      </c>
      <c r="H18">
        <v>0</v>
      </c>
      <c r="I18">
        <v>0</v>
      </c>
      <c r="J18">
        <v>0</v>
      </c>
      <c r="K18">
        <v>3</v>
      </c>
      <c r="L18">
        <v>0</v>
      </c>
      <c r="M18">
        <v>1</v>
      </c>
      <c r="N18">
        <v>0</v>
      </c>
      <c r="O18">
        <v>0</v>
      </c>
      <c r="P18">
        <v>3</v>
      </c>
      <c r="Q18">
        <v>1</v>
      </c>
      <c r="R18">
        <v>1</v>
      </c>
      <c r="S18">
        <v>3</v>
      </c>
      <c r="T18">
        <v>0</v>
      </c>
      <c r="U18">
        <v>4</v>
      </c>
      <c r="V18" t="s">
        <v>301</v>
      </c>
    </row>
    <row r="19" spans="1:22">
      <c r="A19" t="s">
        <v>188</v>
      </c>
      <c r="B19" t="s">
        <v>57</v>
      </c>
      <c r="C19" t="s">
        <v>65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 t="s">
        <v>301</v>
      </c>
    </row>
    <row r="20" spans="1:22">
      <c r="A20" t="s">
        <v>66</v>
      </c>
      <c r="B20" t="s">
        <v>57</v>
      </c>
      <c r="C20" t="s">
        <v>58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4</v>
      </c>
      <c r="V20" t="s">
        <v>301</v>
      </c>
    </row>
    <row r="21" spans="1:22">
      <c r="A21" t="s">
        <v>66</v>
      </c>
      <c r="B21" t="s">
        <v>57</v>
      </c>
      <c r="C21" t="s">
        <v>59</v>
      </c>
      <c r="D21">
        <v>0</v>
      </c>
      <c r="E21">
        <v>0</v>
      </c>
      <c r="F21">
        <v>1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1</v>
      </c>
      <c r="N21">
        <v>1</v>
      </c>
      <c r="O21">
        <v>0</v>
      </c>
      <c r="P21">
        <v>0</v>
      </c>
      <c r="Q21">
        <v>0</v>
      </c>
      <c r="R21">
        <v>0</v>
      </c>
      <c r="S21">
        <v>1</v>
      </c>
      <c r="T21">
        <v>0</v>
      </c>
      <c r="U21">
        <v>1</v>
      </c>
      <c r="V21" t="s">
        <v>301</v>
      </c>
    </row>
    <row r="22" spans="1:22">
      <c r="A22" t="s">
        <v>66</v>
      </c>
      <c r="B22" t="s">
        <v>57</v>
      </c>
      <c r="C22" t="s">
        <v>60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 t="s">
        <v>301</v>
      </c>
    </row>
    <row r="23" spans="1:22">
      <c r="A23" t="s">
        <v>66</v>
      </c>
      <c r="B23" t="s">
        <v>57</v>
      </c>
      <c r="C23" t="s">
        <v>61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 t="s">
        <v>301</v>
      </c>
    </row>
    <row r="24" spans="1:22">
      <c r="A24" t="s">
        <v>66</v>
      </c>
      <c r="B24" t="s">
        <v>57</v>
      </c>
      <c r="C24" t="s">
        <v>62</v>
      </c>
      <c r="D24">
        <v>0</v>
      </c>
      <c r="E24">
        <v>1</v>
      </c>
      <c r="F24">
        <v>0</v>
      </c>
      <c r="G24">
        <v>0</v>
      </c>
      <c r="H24">
        <v>0</v>
      </c>
      <c r="I24">
        <v>1</v>
      </c>
      <c r="J24">
        <v>0</v>
      </c>
      <c r="K24">
        <v>0</v>
      </c>
      <c r="L24">
        <v>0</v>
      </c>
      <c r="M24">
        <v>0</v>
      </c>
      <c r="N24">
        <v>1</v>
      </c>
      <c r="O24">
        <v>0</v>
      </c>
      <c r="P24">
        <v>0</v>
      </c>
      <c r="Q24">
        <v>0</v>
      </c>
      <c r="R24">
        <v>0</v>
      </c>
      <c r="S24">
        <v>1</v>
      </c>
      <c r="T24">
        <v>0</v>
      </c>
      <c r="U24">
        <v>1</v>
      </c>
      <c r="V24" t="s">
        <v>301</v>
      </c>
    </row>
    <row r="25" spans="1:22">
      <c r="A25" t="s">
        <v>66</v>
      </c>
      <c r="B25" t="s">
        <v>57</v>
      </c>
      <c r="C25" t="s">
        <v>63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 t="s">
        <v>301</v>
      </c>
    </row>
    <row r="26" spans="1:22">
      <c r="A26" t="s">
        <v>66</v>
      </c>
      <c r="B26" t="s">
        <v>57</v>
      </c>
      <c r="C26" t="s">
        <v>64</v>
      </c>
      <c r="D26">
        <v>0</v>
      </c>
      <c r="E26">
        <v>1</v>
      </c>
      <c r="F26">
        <v>1</v>
      </c>
      <c r="G26">
        <v>0</v>
      </c>
      <c r="H26">
        <v>0</v>
      </c>
      <c r="I26">
        <v>1</v>
      </c>
      <c r="J26">
        <v>0</v>
      </c>
      <c r="K26">
        <v>0</v>
      </c>
      <c r="L26">
        <v>0</v>
      </c>
      <c r="M26">
        <v>1</v>
      </c>
      <c r="N26">
        <v>2</v>
      </c>
      <c r="O26">
        <v>0</v>
      </c>
      <c r="P26">
        <v>0</v>
      </c>
      <c r="Q26">
        <v>0</v>
      </c>
      <c r="R26">
        <v>0</v>
      </c>
      <c r="S26">
        <v>2</v>
      </c>
      <c r="T26">
        <v>0</v>
      </c>
      <c r="U26">
        <v>2</v>
      </c>
      <c r="V26" t="s">
        <v>301</v>
      </c>
    </row>
    <row r="27" spans="1:22">
      <c r="A27" t="s">
        <v>66</v>
      </c>
      <c r="B27" t="s">
        <v>57</v>
      </c>
      <c r="C27" t="s">
        <v>65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 t="s">
        <v>301</v>
      </c>
    </row>
    <row r="28" spans="1:22">
      <c r="A28" t="s">
        <v>189</v>
      </c>
      <c r="B28" t="s">
        <v>57</v>
      </c>
      <c r="C28" t="s">
        <v>58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4</v>
      </c>
      <c r="V28" t="s">
        <v>301</v>
      </c>
    </row>
    <row r="29" spans="1:22">
      <c r="A29" t="s">
        <v>189</v>
      </c>
      <c r="B29" t="s">
        <v>57</v>
      </c>
      <c r="C29" t="s">
        <v>59</v>
      </c>
      <c r="D29">
        <v>0</v>
      </c>
      <c r="E29">
        <v>1</v>
      </c>
      <c r="F29">
        <v>0</v>
      </c>
      <c r="G29">
        <v>0</v>
      </c>
      <c r="H29">
        <v>0</v>
      </c>
      <c r="I29">
        <v>0</v>
      </c>
      <c r="J29">
        <v>1</v>
      </c>
      <c r="K29">
        <v>0</v>
      </c>
      <c r="L29">
        <v>0</v>
      </c>
      <c r="M29">
        <v>0</v>
      </c>
      <c r="N29">
        <v>0</v>
      </c>
      <c r="O29">
        <v>0</v>
      </c>
      <c r="P29">
        <v>1</v>
      </c>
      <c r="Q29">
        <v>0</v>
      </c>
      <c r="R29">
        <v>0</v>
      </c>
      <c r="S29">
        <v>1</v>
      </c>
      <c r="T29">
        <v>0</v>
      </c>
      <c r="U29">
        <v>1</v>
      </c>
      <c r="V29" t="s">
        <v>301</v>
      </c>
    </row>
    <row r="30" spans="1:22">
      <c r="A30" t="s">
        <v>189</v>
      </c>
      <c r="B30" t="s">
        <v>57</v>
      </c>
      <c r="C30" t="s">
        <v>60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 t="s">
        <v>301</v>
      </c>
    </row>
    <row r="31" spans="1:22">
      <c r="A31" t="s">
        <v>189</v>
      </c>
      <c r="B31" t="s">
        <v>57</v>
      </c>
      <c r="C31" t="s">
        <v>61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 t="s">
        <v>301</v>
      </c>
    </row>
    <row r="32" spans="1:22">
      <c r="A32" t="s">
        <v>189</v>
      </c>
      <c r="B32" t="s">
        <v>57</v>
      </c>
      <c r="C32" t="s">
        <v>62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 t="s">
        <v>301</v>
      </c>
    </row>
    <row r="33" spans="1:22">
      <c r="A33" t="s">
        <v>189</v>
      </c>
      <c r="B33" t="s">
        <v>57</v>
      </c>
      <c r="C33" t="s">
        <v>63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 t="s">
        <v>301</v>
      </c>
    </row>
    <row r="34" spans="1:22">
      <c r="A34" t="s">
        <v>189</v>
      </c>
      <c r="B34" t="s">
        <v>57</v>
      </c>
      <c r="C34" t="s">
        <v>64</v>
      </c>
      <c r="D34">
        <v>0</v>
      </c>
      <c r="E34">
        <v>1</v>
      </c>
      <c r="F34">
        <v>0</v>
      </c>
      <c r="G34">
        <v>0</v>
      </c>
      <c r="H34">
        <v>0</v>
      </c>
      <c r="I34">
        <v>0</v>
      </c>
      <c r="J34">
        <v>1</v>
      </c>
      <c r="K34">
        <v>0</v>
      </c>
      <c r="L34">
        <v>0</v>
      </c>
      <c r="M34">
        <v>0</v>
      </c>
      <c r="N34">
        <v>0</v>
      </c>
      <c r="O34">
        <v>0</v>
      </c>
      <c r="P34">
        <v>1</v>
      </c>
      <c r="Q34">
        <v>0</v>
      </c>
      <c r="R34">
        <v>0</v>
      </c>
      <c r="S34">
        <v>1</v>
      </c>
      <c r="T34">
        <v>0</v>
      </c>
      <c r="U34">
        <v>1</v>
      </c>
      <c r="V34" t="s">
        <v>301</v>
      </c>
    </row>
    <row r="35" spans="1:22">
      <c r="A35" t="s">
        <v>189</v>
      </c>
      <c r="B35" t="s">
        <v>57</v>
      </c>
      <c r="C35" t="s">
        <v>65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 t="s">
        <v>301</v>
      </c>
    </row>
    <row r="36" spans="1:22">
      <c r="A36" t="s">
        <v>190</v>
      </c>
      <c r="B36" t="s">
        <v>57</v>
      </c>
      <c r="C36" t="s">
        <v>58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4</v>
      </c>
      <c r="V36" t="s">
        <v>301</v>
      </c>
    </row>
    <row r="37" spans="1:22">
      <c r="A37" t="s">
        <v>190</v>
      </c>
      <c r="B37" t="s">
        <v>57</v>
      </c>
      <c r="C37" t="s">
        <v>59</v>
      </c>
      <c r="D37">
        <v>1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1</v>
      </c>
      <c r="N37">
        <v>0</v>
      </c>
      <c r="O37">
        <v>0</v>
      </c>
      <c r="P37">
        <v>1</v>
      </c>
      <c r="Q37">
        <v>0</v>
      </c>
      <c r="R37">
        <v>0</v>
      </c>
      <c r="S37">
        <v>1</v>
      </c>
      <c r="T37">
        <v>0</v>
      </c>
      <c r="U37">
        <v>1</v>
      </c>
      <c r="V37" t="s">
        <v>301</v>
      </c>
    </row>
    <row r="38" spans="1:22">
      <c r="A38" t="s">
        <v>190</v>
      </c>
      <c r="B38" t="s">
        <v>57</v>
      </c>
      <c r="C38" t="s">
        <v>60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 t="s">
        <v>301</v>
      </c>
    </row>
    <row r="39" spans="1:22">
      <c r="A39" t="s">
        <v>190</v>
      </c>
      <c r="B39" t="s">
        <v>57</v>
      </c>
      <c r="C39" t="s">
        <v>61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 t="s">
        <v>301</v>
      </c>
    </row>
    <row r="40" spans="1:22">
      <c r="A40" t="s">
        <v>190</v>
      </c>
      <c r="B40" t="s">
        <v>57</v>
      </c>
      <c r="C40" t="s">
        <v>62</v>
      </c>
      <c r="D40">
        <v>1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1</v>
      </c>
      <c r="L40">
        <v>0</v>
      </c>
      <c r="M40">
        <v>0</v>
      </c>
      <c r="N40">
        <v>0</v>
      </c>
      <c r="O40">
        <v>1</v>
      </c>
      <c r="P40">
        <v>0</v>
      </c>
      <c r="Q40">
        <v>0</v>
      </c>
      <c r="R40">
        <v>0</v>
      </c>
      <c r="S40">
        <v>1</v>
      </c>
      <c r="T40">
        <v>0</v>
      </c>
      <c r="U40">
        <v>1</v>
      </c>
      <c r="V40" t="s">
        <v>301</v>
      </c>
    </row>
    <row r="41" spans="1:22">
      <c r="A41" t="s">
        <v>190</v>
      </c>
      <c r="B41" t="s">
        <v>57</v>
      </c>
      <c r="C41" t="s">
        <v>63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 t="s">
        <v>301</v>
      </c>
    </row>
    <row r="42" spans="1:22">
      <c r="A42" t="s">
        <v>190</v>
      </c>
      <c r="B42" t="s">
        <v>57</v>
      </c>
      <c r="C42" t="s">
        <v>64</v>
      </c>
      <c r="D42">
        <v>2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1</v>
      </c>
      <c r="L42">
        <v>0</v>
      </c>
      <c r="M42">
        <v>1</v>
      </c>
      <c r="N42">
        <v>0</v>
      </c>
      <c r="O42">
        <v>1</v>
      </c>
      <c r="P42">
        <v>1</v>
      </c>
      <c r="Q42">
        <v>0</v>
      </c>
      <c r="R42">
        <v>0</v>
      </c>
      <c r="S42">
        <v>2</v>
      </c>
      <c r="T42">
        <v>0</v>
      </c>
      <c r="U42">
        <v>2</v>
      </c>
      <c r="V42" t="s">
        <v>301</v>
      </c>
    </row>
    <row r="43" spans="1:22">
      <c r="A43" t="s">
        <v>190</v>
      </c>
      <c r="B43" t="s">
        <v>57</v>
      </c>
      <c r="C43" t="s">
        <v>65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 t="s">
        <v>301</v>
      </c>
    </row>
    <row r="44" spans="1:22">
      <c r="A44" t="s">
        <v>191</v>
      </c>
      <c r="B44" t="s">
        <v>57</v>
      </c>
      <c r="C44" t="s">
        <v>58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4</v>
      </c>
      <c r="V44" t="s">
        <v>301</v>
      </c>
    </row>
    <row r="45" spans="1:22">
      <c r="A45" t="s">
        <v>191</v>
      </c>
      <c r="B45" t="s">
        <v>57</v>
      </c>
      <c r="C45" t="s">
        <v>59</v>
      </c>
      <c r="D45">
        <v>0</v>
      </c>
      <c r="E45">
        <v>0</v>
      </c>
      <c r="F45">
        <v>1</v>
      </c>
      <c r="G45">
        <v>1</v>
      </c>
      <c r="H45">
        <v>0</v>
      </c>
      <c r="I45">
        <v>0</v>
      </c>
      <c r="J45">
        <v>1</v>
      </c>
      <c r="K45">
        <v>1</v>
      </c>
      <c r="L45">
        <v>0</v>
      </c>
      <c r="M45">
        <v>0</v>
      </c>
      <c r="N45">
        <v>1</v>
      </c>
      <c r="O45">
        <v>0</v>
      </c>
      <c r="P45">
        <v>0</v>
      </c>
      <c r="Q45">
        <v>1</v>
      </c>
      <c r="R45">
        <v>0</v>
      </c>
      <c r="S45">
        <v>2</v>
      </c>
      <c r="T45">
        <v>0</v>
      </c>
      <c r="U45">
        <v>2</v>
      </c>
      <c r="V45" t="s">
        <v>301</v>
      </c>
    </row>
    <row r="46" spans="1:22">
      <c r="A46" t="s">
        <v>191</v>
      </c>
      <c r="B46" t="s">
        <v>57</v>
      </c>
      <c r="C46" t="s">
        <v>60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 t="s">
        <v>301</v>
      </c>
    </row>
    <row r="47" spans="1:22">
      <c r="A47" t="s">
        <v>191</v>
      </c>
      <c r="B47" t="s">
        <v>57</v>
      </c>
      <c r="C47" t="s">
        <v>61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 t="s">
        <v>301</v>
      </c>
    </row>
    <row r="48" spans="1:22">
      <c r="A48" t="s">
        <v>191</v>
      </c>
      <c r="B48" t="s">
        <v>57</v>
      </c>
      <c r="C48" t="s">
        <v>62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 t="s">
        <v>301</v>
      </c>
    </row>
    <row r="49" spans="1:22">
      <c r="A49" t="s">
        <v>191</v>
      </c>
      <c r="B49" t="s">
        <v>57</v>
      </c>
      <c r="C49" t="s">
        <v>63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 t="s">
        <v>301</v>
      </c>
    </row>
    <row r="50" spans="1:22">
      <c r="A50" t="s">
        <v>191</v>
      </c>
      <c r="B50" t="s">
        <v>57</v>
      </c>
      <c r="C50" t="s">
        <v>64</v>
      </c>
      <c r="D50">
        <v>0</v>
      </c>
      <c r="E50">
        <v>0</v>
      </c>
      <c r="F50">
        <v>1</v>
      </c>
      <c r="G50">
        <v>1</v>
      </c>
      <c r="H50">
        <v>0</v>
      </c>
      <c r="I50">
        <v>0</v>
      </c>
      <c r="J50">
        <v>1</v>
      </c>
      <c r="K50">
        <v>1</v>
      </c>
      <c r="L50">
        <v>0</v>
      </c>
      <c r="M50">
        <v>0</v>
      </c>
      <c r="N50">
        <v>1</v>
      </c>
      <c r="O50">
        <v>0</v>
      </c>
      <c r="P50">
        <v>0</v>
      </c>
      <c r="Q50">
        <v>1</v>
      </c>
      <c r="R50">
        <v>0</v>
      </c>
      <c r="S50">
        <v>2</v>
      </c>
      <c r="T50">
        <v>0</v>
      </c>
      <c r="U50">
        <v>2</v>
      </c>
      <c r="V50" t="s">
        <v>301</v>
      </c>
    </row>
    <row r="51" spans="1:22">
      <c r="A51" t="s">
        <v>191</v>
      </c>
      <c r="B51" t="s">
        <v>57</v>
      </c>
      <c r="C51" t="s">
        <v>65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 t="s">
        <v>301</v>
      </c>
    </row>
    <row r="52" spans="1:22">
      <c r="A52" t="s">
        <v>192</v>
      </c>
      <c r="B52" t="s">
        <v>57</v>
      </c>
      <c r="C52" t="s">
        <v>58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4</v>
      </c>
      <c r="V52" t="s">
        <v>301</v>
      </c>
    </row>
    <row r="53" spans="1:22">
      <c r="A53" t="s">
        <v>192</v>
      </c>
      <c r="B53" t="s">
        <v>57</v>
      </c>
      <c r="C53" t="s">
        <v>59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 t="s">
        <v>301</v>
      </c>
    </row>
    <row r="54" spans="1:22">
      <c r="A54" t="s">
        <v>192</v>
      </c>
      <c r="B54" t="s">
        <v>57</v>
      </c>
      <c r="C54" t="s">
        <v>60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 t="s">
        <v>301</v>
      </c>
    </row>
    <row r="55" spans="1:22">
      <c r="A55" t="s">
        <v>192</v>
      </c>
      <c r="B55" t="s">
        <v>57</v>
      </c>
      <c r="C55" t="s">
        <v>61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 t="s">
        <v>301</v>
      </c>
    </row>
    <row r="56" spans="1:22">
      <c r="A56" t="s">
        <v>192</v>
      </c>
      <c r="B56" t="s">
        <v>57</v>
      </c>
      <c r="C56" t="s">
        <v>62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 t="s">
        <v>301</v>
      </c>
    </row>
    <row r="57" spans="1:22">
      <c r="A57" t="s">
        <v>192</v>
      </c>
      <c r="B57" t="s">
        <v>57</v>
      </c>
      <c r="C57" t="s">
        <v>63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 t="s">
        <v>301</v>
      </c>
    </row>
    <row r="58" spans="1:22">
      <c r="A58" t="s">
        <v>192</v>
      </c>
      <c r="B58" t="s">
        <v>57</v>
      </c>
      <c r="C58" t="s">
        <v>64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 t="s">
        <v>301</v>
      </c>
    </row>
    <row r="59" spans="1:22">
      <c r="A59" t="s">
        <v>192</v>
      </c>
      <c r="B59" t="s">
        <v>57</v>
      </c>
      <c r="C59" t="s">
        <v>65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 t="s">
        <v>301</v>
      </c>
    </row>
    <row r="60" spans="1:22">
      <c r="A60" t="s">
        <v>193</v>
      </c>
      <c r="B60" t="s">
        <v>57</v>
      </c>
      <c r="C60" t="s">
        <v>58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4</v>
      </c>
      <c r="V60" t="s">
        <v>301</v>
      </c>
    </row>
    <row r="61" spans="1:22">
      <c r="A61" t="s">
        <v>193</v>
      </c>
      <c r="B61" t="s">
        <v>57</v>
      </c>
      <c r="C61" t="s">
        <v>59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 t="s">
        <v>301</v>
      </c>
    </row>
    <row r="62" spans="1:22">
      <c r="A62" t="s">
        <v>193</v>
      </c>
      <c r="B62" t="s">
        <v>57</v>
      </c>
      <c r="C62" t="s">
        <v>60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 t="s">
        <v>301</v>
      </c>
    </row>
    <row r="63" spans="1:22">
      <c r="A63" t="s">
        <v>193</v>
      </c>
      <c r="B63" t="s">
        <v>57</v>
      </c>
      <c r="C63" t="s">
        <v>61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 t="s">
        <v>301</v>
      </c>
    </row>
    <row r="64" spans="1:22">
      <c r="A64" t="s">
        <v>193</v>
      </c>
      <c r="B64" t="s">
        <v>57</v>
      </c>
      <c r="C64" t="s">
        <v>62</v>
      </c>
      <c r="D64">
        <v>0</v>
      </c>
      <c r="E64">
        <v>0</v>
      </c>
      <c r="F64">
        <v>1</v>
      </c>
      <c r="G64">
        <v>0</v>
      </c>
      <c r="H64">
        <v>0</v>
      </c>
      <c r="I64">
        <v>0</v>
      </c>
      <c r="J64">
        <v>0</v>
      </c>
      <c r="K64">
        <v>1</v>
      </c>
      <c r="L64">
        <v>0</v>
      </c>
      <c r="M64">
        <v>0</v>
      </c>
      <c r="N64">
        <v>0</v>
      </c>
      <c r="O64">
        <v>1</v>
      </c>
      <c r="P64">
        <v>0</v>
      </c>
      <c r="Q64">
        <v>0</v>
      </c>
      <c r="R64">
        <v>0</v>
      </c>
      <c r="S64">
        <v>1</v>
      </c>
      <c r="T64">
        <v>0</v>
      </c>
      <c r="U64">
        <v>1</v>
      </c>
      <c r="V64" t="s">
        <v>301</v>
      </c>
    </row>
    <row r="65" spans="1:22">
      <c r="A65" t="s">
        <v>193</v>
      </c>
      <c r="B65" t="s">
        <v>57</v>
      </c>
      <c r="C65" t="s">
        <v>63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 t="s">
        <v>301</v>
      </c>
    </row>
    <row r="66" spans="1:22">
      <c r="A66" t="s">
        <v>193</v>
      </c>
      <c r="B66" t="s">
        <v>57</v>
      </c>
      <c r="C66" t="s">
        <v>64</v>
      </c>
      <c r="D66">
        <v>0</v>
      </c>
      <c r="E66">
        <v>0</v>
      </c>
      <c r="F66">
        <v>1</v>
      </c>
      <c r="G66">
        <v>0</v>
      </c>
      <c r="H66">
        <v>0</v>
      </c>
      <c r="I66">
        <v>0</v>
      </c>
      <c r="J66">
        <v>0</v>
      </c>
      <c r="K66">
        <v>1</v>
      </c>
      <c r="L66">
        <v>0</v>
      </c>
      <c r="M66">
        <v>0</v>
      </c>
      <c r="N66">
        <v>0</v>
      </c>
      <c r="O66">
        <v>1</v>
      </c>
      <c r="P66">
        <v>0</v>
      </c>
      <c r="Q66">
        <v>0</v>
      </c>
      <c r="R66">
        <v>0</v>
      </c>
      <c r="S66">
        <v>1</v>
      </c>
      <c r="T66">
        <v>0</v>
      </c>
      <c r="U66">
        <v>1</v>
      </c>
      <c r="V66" t="s">
        <v>301</v>
      </c>
    </row>
    <row r="67" spans="1:22">
      <c r="A67" t="s">
        <v>193</v>
      </c>
      <c r="B67" t="s">
        <v>57</v>
      </c>
      <c r="C67" t="s">
        <v>65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 t="s">
        <v>301</v>
      </c>
    </row>
    <row r="68" spans="1:22">
      <c r="A68" t="s">
        <v>194</v>
      </c>
      <c r="B68" t="s">
        <v>57</v>
      </c>
      <c r="C68" t="s">
        <v>58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4</v>
      </c>
      <c r="V68" t="s">
        <v>301</v>
      </c>
    </row>
    <row r="69" spans="1:22">
      <c r="A69" t="s">
        <v>194</v>
      </c>
      <c r="B69" t="s">
        <v>57</v>
      </c>
      <c r="C69" t="s">
        <v>59</v>
      </c>
      <c r="D69">
        <v>0</v>
      </c>
      <c r="E69">
        <v>0</v>
      </c>
      <c r="F69">
        <v>0</v>
      </c>
      <c r="G69">
        <v>1</v>
      </c>
      <c r="H69">
        <v>0</v>
      </c>
      <c r="I69">
        <v>0</v>
      </c>
      <c r="J69">
        <v>0</v>
      </c>
      <c r="K69">
        <v>0</v>
      </c>
      <c r="L69">
        <v>1</v>
      </c>
      <c r="M69">
        <v>0</v>
      </c>
      <c r="N69">
        <v>1</v>
      </c>
      <c r="O69">
        <v>0</v>
      </c>
      <c r="P69">
        <v>0</v>
      </c>
      <c r="Q69">
        <v>0</v>
      </c>
      <c r="R69">
        <v>1</v>
      </c>
      <c r="S69">
        <v>0</v>
      </c>
      <c r="T69">
        <v>0</v>
      </c>
      <c r="U69">
        <v>1</v>
      </c>
      <c r="V69" t="s">
        <v>301</v>
      </c>
    </row>
    <row r="70" spans="1:22">
      <c r="A70" t="s">
        <v>194</v>
      </c>
      <c r="B70" t="s">
        <v>57</v>
      </c>
      <c r="C70" t="s">
        <v>60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 t="s">
        <v>301</v>
      </c>
    </row>
    <row r="71" spans="1:22">
      <c r="A71" t="s">
        <v>194</v>
      </c>
      <c r="B71" t="s">
        <v>57</v>
      </c>
      <c r="C71" t="s">
        <v>61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 t="s">
        <v>301</v>
      </c>
    </row>
    <row r="72" spans="1:22">
      <c r="A72" t="s">
        <v>194</v>
      </c>
      <c r="B72" t="s">
        <v>57</v>
      </c>
      <c r="C72" t="s">
        <v>62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 t="s">
        <v>301</v>
      </c>
    </row>
    <row r="73" spans="1:22">
      <c r="A73" t="s">
        <v>194</v>
      </c>
      <c r="B73" t="s">
        <v>57</v>
      </c>
      <c r="C73" t="s">
        <v>63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 t="s">
        <v>301</v>
      </c>
    </row>
    <row r="74" spans="1:22">
      <c r="A74" t="s">
        <v>194</v>
      </c>
      <c r="B74" t="s">
        <v>57</v>
      </c>
      <c r="C74" t="s">
        <v>64</v>
      </c>
      <c r="D74">
        <v>0</v>
      </c>
      <c r="E74">
        <v>0</v>
      </c>
      <c r="F74">
        <v>0</v>
      </c>
      <c r="G74">
        <v>1</v>
      </c>
      <c r="H74">
        <v>0</v>
      </c>
      <c r="I74">
        <v>0</v>
      </c>
      <c r="J74">
        <v>0</v>
      </c>
      <c r="K74">
        <v>0</v>
      </c>
      <c r="L74">
        <v>1</v>
      </c>
      <c r="M74">
        <v>0</v>
      </c>
      <c r="N74">
        <v>1</v>
      </c>
      <c r="O74">
        <v>0</v>
      </c>
      <c r="P74">
        <v>0</v>
      </c>
      <c r="Q74">
        <v>0</v>
      </c>
      <c r="R74">
        <v>1</v>
      </c>
      <c r="S74">
        <v>0</v>
      </c>
      <c r="T74">
        <v>0</v>
      </c>
      <c r="U74">
        <v>1</v>
      </c>
      <c r="V74" t="s">
        <v>301</v>
      </c>
    </row>
    <row r="75" spans="1:22">
      <c r="A75" t="s">
        <v>194</v>
      </c>
      <c r="B75" t="s">
        <v>57</v>
      </c>
      <c r="C75" t="s">
        <v>65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 t="s">
        <v>301</v>
      </c>
    </row>
    <row r="76" spans="1:22">
      <c r="A76" t="s">
        <v>195</v>
      </c>
      <c r="B76" t="s">
        <v>57</v>
      </c>
      <c r="C76" t="s">
        <v>58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4</v>
      </c>
      <c r="V76" t="s">
        <v>301</v>
      </c>
    </row>
    <row r="77" spans="1:22">
      <c r="A77" t="s">
        <v>195</v>
      </c>
      <c r="B77" t="s">
        <v>57</v>
      </c>
      <c r="C77" t="s">
        <v>59</v>
      </c>
      <c r="D77">
        <v>0</v>
      </c>
      <c r="E77">
        <v>1</v>
      </c>
      <c r="F77">
        <v>0</v>
      </c>
      <c r="G77">
        <v>2</v>
      </c>
      <c r="H77">
        <v>0</v>
      </c>
      <c r="I77">
        <v>1</v>
      </c>
      <c r="J77">
        <v>1</v>
      </c>
      <c r="K77">
        <v>1</v>
      </c>
      <c r="L77">
        <v>0</v>
      </c>
      <c r="M77">
        <v>0</v>
      </c>
      <c r="N77">
        <v>2</v>
      </c>
      <c r="O77">
        <v>0</v>
      </c>
      <c r="P77">
        <v>1</v>
      </c>
      <c r="Q77">
        <v>0</v>
      </c>
      <c r="R77">
        <v>0</v>
      </c>
      <c r="S77">
        <v>3</v>
      </c>
      <c r="T77">
        <v>0</v>
      </c>
      <c r="U77">
        <v>3</v>
      </c>
      <c r="V77" t="s">
        <v>301</v>
      </c>
    </row>
    <row r="78" spans="1:22">
      <c r="A78" t="s">
        <v>195</v>
      </c>
      <c r="B78" t="s">
        <v>57</v>
      </c>
      <c r="C78" t="s">
        <v>60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 t="s">
        <v>301</v>
      </c>
    </row>
    <row r="79" spans="1:22">
      <c r="A79" t="s">
        <v>195</v>
      </c>
      <c r="B79" t="s">
        <v>57</v>
      </c>
      <c r="C79" t="s">
        <v>61</v>
      </c>
      <c r="D79">
        <v>0</v>
      </c>
      <c r="E79">
        <v>0</v>
      </c>
      <c r="F79">
        <v>0</v>
      </c>
      <c r="G79">
        <v>1</v>
      </c>
      <c r="H79">
        <v>0</v>
      </c>
      <c r="I79">
        <v>0</v>
      </c>
      <c r="J79">
        <v>0</v>
      </c>
      <c r="K79">
        <v>1</v>
      </c>
      <c r="L79">
        <v>0</v>
      </c>
      <c r="M79">
        <v>0</v>
      </c>
      <c r="N79">
        <v>0</v>
      </c>
      <c r="O79">
        <v>0</v>
      </c>
      <c r="P79">
        <v>0</v>
      </c>
      <c r="Q79">
        <v>1</v>
      </c>
      <c r="R79">
        <v>0</v>
      </c>
      <c r="S79">
        <v>1</v>
      </c>
      <c r="T79">
        <v>0</v>
      </c>
      <c r="U79">
        <v>1</v>
      </c>
      <c r="V79" t="s">
        <v>301</v>
      </c>
    </row>
    <row r="80" spans="1:22">
      <c r="A80" t="s">
        <v>195</v>
      </c>
      <c r="B80" t="s">
        <v>57</v>
      </c>
      <c r="C80" t="s">
        <v>62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 t="s">
        <v>301</v>
      </c>
    </row>
    <row r="81" spans="1:22">
      <c r="A81" t="s">
        <v>195</v>
      </c>
      <c r="B81" t="s">
        <v>57</v>
      </c>
      <c r="C81" t="s">
        <v>63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 t="s">
        <v>301</v>
      </c>
    </row>
    <row r="82" spans="1:22">
      <c r="A82" t="s">
        <v>195</v>
      </c>
      <c r="B82" t="s">
        <v>57</v>
      </c>
      <c r="C82" t="s">
        <v>64</v>
      </c>
      <c r="D82">
        <v>0</v>
      </c>
      <c r="E82">
        <v>1</v>
      </c>
      <c r="F82">
        <v>0</v>
      </c>
      <c r="G82">
        <v>3</v>
      </c>
      <c r="H82">
        <v>0</v>
      </c>
      <c r="I82">
        <v>1</v>
      </c>
      <c r="J82">
        <v>1</v>
      </c>
      <c r="K82">
        <v>2</v>
      </c>
      <c r="L82">
        <v>0</v>
      </c>
      <c r="M82">
        <v>0</v>
      </c>
      <c r="N82">
        <v>2</v>
      </c>
      <c r="O82">
        <v>0</v>
      </c>
      <c r="P82">
        <v>1</v>
      </c>
      <c r="Q82">
        <v>1</v>
      </c>
      <c r="R82">
        <v>0</v>
      </c>
      <c r="S82">
        <v>4</v>
      </c>
      <c r="T82">
        <v>0</v>
      </c>
      <c r="U82">
        <v>4</v>
      </c>
      <c r="V82" t="s">
        <v>301</v>
      </c>
    </row>
    <row r="83" spans="1:22">
      <c r="A83" t="s">
        <v>195</v>
      </c>
      <c r="B83" t="s">
        <v>57</v>
      </c>
      <c r="C83" t="s">
        <v>65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 t="s">
        <v>301</v>
      </c>
    </row>
    <row r="84" spans="1:22">
      <c r="A84" t="s">
        <v>196</v>
      </c>
      <c r="B84" t="s">
        <v>57</v>
      </c>
      <c r="C84" t="s">
        <v>58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4</v>
      </c>
      <c r="V84" t="s">
        <v>301</v>
      </c>
    </row>
    <row r="85" spans="1:22">
      <c r="A85" t="s">
        <v>196</v>
      </c>
      <c r="B85" t="s">
        <v>57</v>
      </c>
      <c r="C85" t="s">
        <v>59</v>
      </c>
      <c r="D85">
        <v>0</v>
      </c>
      <c r="E85">
        <v>0</v>
      </c>
      <c r="F85">
        <v>0</v>
      </c>
      <c r="G85">
        <v>1</v>
      </c>
      <c r="H85">
        <v>0</v>
      </c>
      <c r="I85">
        <v>0</v>
      </c>
      <c r="J85">
        <v>0</v>
      </c>
      <c r="K85">
        <v>0</v>
      </c>
      <c r="L85">
        <v>0</v>
      </c>
      <c r="M85">
        <v>1</v>
      </c>
      <c r="N85">
        <v>0</v>
      </c>
      <c r="O85">
        <v>0</v>
      </c>
      <c r="P85">
        <v>1</v>
      </c>
      <c r="Q85">
        <v>0</v>
      </c>
      <c r="R85">
        <v>0</v>
      </c>
      <c r="S85">
        <v>1</v>
      </c>
      <c r="T85">
        <v>0</v>
      </c>
      <c r="U85">
        <v>1</v>
      </c>
      <c r="V85" t="s">
        <v>301</v>
      </c>
    </row>
    <row r="86" spans="1:22">
      <c r="A86" t="s">
        <v>196</v>
      </c>
      <c r="B86" t="s">
        <v>57</v>
      </c>
      <c r="C86" t="s">
        <v>60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 t="s">
        <v>301</v>
      </c>
    </row>
    <row r="87" spans="1:22">
      <c r="A87" t="s">
        <v>196</v>
      </c>
      <c r="B87" t="s">
        <v>57</v>
      </c>
      <c r="C87" t="s">
        <v>61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 t="s">
        <v>301</v>
      </c>
    </row>
    <row r="88" spans="1:22">
      <c r="A88" t="s">
        <v>196</v>
      </c>
      <c r="B88" t="s">
        <v>57</v>
      </c>
      <c r="C88" t="s">
        <v>62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 t="s">
        <v>301</v>
      </c>
    </row>
    <row r="89" spans="1:22">
      <c r="A89" t="s">
        <v>196</v>
      </c>
      <c r="B89" t="s">
        <v>57</v>
      </c>
      <c r="C89" t="s">
        <v>63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 t="s">
        <v>301</v>
      </c>
    </row>
    <row r="90" spans="1:22">
      <c r="A90" t="s">
        <v>196</v>
      </c>
      <c r="B90" t="s">
        <v>57</v>
      </c>
      <c r="C90" t="s">
        <v>64</v>
      </c>
      <c r="D90">
        <v>0</v>
      </c>
      <c r="E90">
        <v>0</v>
      </c>
      <c r="F90">
        <v>0</v>
      </c>
      <c r="G90">
        <v>1</v>
      </c>
      <c r="H90">
        <v>0</v>
      </c>
      <c r="I90">
        <v>0</v>
      </c>
      <c r="J90">
        <v>0</v>
      </c>
      <c r="K90">
        <v>0</v>
      </c>
      <c r="L90">
        <v>0</v>
      </c>
      <c r="M90">
        <v>1</v>
      </c>
      <c r="N90">
        <v>0</v>
      </c>
      <c r="O90">
        <v>0</v>
      </c>
      <c r="P90">
        <v>1</v>
      </c>
      <c r="Q90">
        <v>0</v>
      </c>
      <c r="R90">
        <v>0</v>
      </c>
      <c r="S90">
        <v>1</v>
      </c>
      <c r="T90">
        <v>0</v>
      </c>
      <c r="U90">
        <v>1</v>
      </c>
      <c r="V90" t="s">
        <v>301</v>
      </c>
    </row>
    <row r="91" spans="1:22">
      <c r="A91" t="s">
        <v>196</v>
      </c>
      <c r="B91" t="s">
        <v>57</v>
      </c>
      <c r="C91" t="s">
        <v>65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 t="s">
        <v>301</v>
      </c>
    </row>
    <row r="92" spans="1:22">
      <c r="A92" t="s">
        <v>55</v>
      </c>
      <c r="B92" t="s">
        <v>57</v>
      </c>
      <c r="C92" t="s">
        <v>58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44</v>
      </c>
      <c r="V92" t="s">
        <v>301</v>
      </c>
    </row>
    <row r="93" spans="1:22">
      <c r="A93" t="s">
        <v>55</v>
      </c>
      <c r="B93" t="s">
        <v>57</v>
      </c>
      <c r="C93" t="s">
        <v>59</v>
      </c>
      <c r="D93">
        <v>1</v>
      </c>
      <c r="E93">
        <v>3</v>
      </c>
      <c r="F93">
        <v>3</v>
      </c>
      <c r="G93">
        <v>9</v>
      </c>
      <c r="H93">
        <v>1</v>
      </c>
      <c r="I93">
        <v>2</v>
      </c>
      <c r="J93">
        <v>3</v>
      </c>
      <c r="K93">
        <v>7</v>
      </c>
      <c r="L93">
        <v>1</v>
      </c>
      <c r="M93">
        <v>4</v>
      </c>
      <c r="N93">
        <v>5</v>
      </c>
      <c r="O93">
        <v>1</v>
      </c>
      <c r="P93">
        <v>7</v>
      </c>
      <c r="Q93">
        <v>4</v>
      </c>
      <c r="R93">
        <v>3</v>
      </c>
      <c r="S93">
        <v>14</v>
      </c>
      <c r="T93">
        <v>0</v>
      </c>
      <c r="U93">
        <v>17</v>
      </c>
      <c r="V93" t="s">
        <v>301</v>
      </c>
    </row>
    <row r="94" spans="1:22">
      <c r="A94" t="s">
        <v>55</v>
      </c>
      <c r="B94" t="s">
        <v>57</v>
      </c>
      <c r="C94" t="s">
        <v>60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 t="s">
        <v>301</v>
      </c>
    </row>
    <row r="95" spans="1:22">
      <c r="A95" t="s">
        <v>55</v>
      </c>
      <c r="B95" t="s">
        <v>57</v>
      </c>
      <c r="C95" t="s">
        <v>61</v>
      </c>
      <c r="D95">
        <v>0</v>
      </c>
      <c r="E95">
        <v>0</v>
      </c>
      <c r="F95">
        <v>0</v>
      </c>
      <c r="G95">
        <v>1</v>
      </c>
      <c r="H95">
        <v>0</v>
      </c>
      <c r="I95">
        <v>0</v>
      </c>
      <c r="J95">
        <v>0</v>
      </c>
      <c r="K95">
        <v>1</v>
      </c>
      <c r="L95">
        <v>0</v>
      </c>
      <c r="M95">
        <v>0</v>
      </c>
      <c r="N95">
        <v>0</v>
      </c>
      <c r="O95">
        <v>0</v>
      </c>
      <c r="P95">
        <v>0</v>
      </c>
      <c r="Q95">
        <v>1</v>
      </c>
      <c r="R95">
        <v>0</v>
      </c>
      <c r="S95">
        <v>1</v>
      </c>
      <c r="T95">
        <v>0</v>
      </c>
      <c r="U95">
        <v>1</v>
      </c>
      <c r="V95" t="s">
        <v>301</v>
      </c>
    </row>
    <row r="96" spans="1:22">
      <c r="A96" t="s">
        <v>55</v>
      </c>
      <c r="B96" t="s">
        <v>57</v>
      </c>
      <c r="C96" t="s">
        <v>62</v>
      </c>
      <c r="D96">
        <v>1</v>
      </c>
      <c r="E96">
        <v>1</v>
      </c>
      <c r="F96">
        <v>2</v>
      </c>
      <c r="G96">
        <v>0</v>
      </c>
      <c r="H96">
        <v>0</v>
      </c>
      <c r="I96">
        <v>1</v>
      </c>
      <c r="J96">
        <v>0</v>
      </c>
      <c r="K96">
        <v>3</v>
      </c>
      <c r="L96">
        <v>0</v>
      </c>
      <c r="M96">
        <v>0</v>
      </c>
      <c r="N96">
        <v>1</v>
      </c>
      <c r="O96">
        <v>2</v>
      </c>
      <c r="P96">
        <v>1</v>
      </c>
      <c r="Q96">
        <v>0</v>
      </c>
      <c r="R96">
        <v>0</v>
      </c>
      <c r="S96">
        <v>4</v>
      </c>
      <c r="T96">
        <v>0</v>
      </c>
      <c r="U96">
        <v>4</v>
      </c>
      <c r="V96" t="s">
        <v>301</v>
      </c>
    </row>
    <row r="97" spans="1:22">
      <c r="A97" t="s">
        <v>55</v>
      </c>
      <c r="B97" t="s">
        <v>57</v>
      </c>
      <c r="C97" t="s">
        <v>63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 t="s">
        <v>301</v>
      </c>
    </row>
    <row r="98" spans="1:22">
      <c r="A98" t="s">
        <v>55</v>
      </c>
      <c r="B98" t="s">
        <v>57</v>
      </c>
      <c r="C98" t="s">
        <v>64</v>
      </c>
      <c r="D98">
        <v>2</v>
      </c>
      <c r="E98">
        <v>4</v>
      </c>
      <c r="F98">
        <v>5</v>
      </c>
      <c r="G98">
        <v>10</v>
      </c>
      <c r="H98">
        <v>1</v>
      </c>
      <c r="I98">
        <v>3</v>
      </c>
      <c r="J98">
        <v>3</v>
      </c>
      <c r="K98">
        <v>11</v>
      </c>
      <c r="L98">
        <v>1</v>
      </c>
      <c r="M98">
        <v>4</v>
      </c>
      <c r="N98">
        <v>6</v>
      </c>
      <c r="O98">
        <v>3</v>
      </c>
      <c r="P98">
        <v>8</v>
      </c>
      <c r="Q98">
        <v>5</v>
      </c>
      <c r="R98">
        <v>3</v>
      </c>
      <c r="S98">
        <v>19</v>
      </c>
      <c r="T98">
        <v>0</v>
      </c>
      <c r="U98">
        <v>22</v>
      </c>
      <c r="V98" t="s">
        <v>301</v>
      </c>
    </row>
    <row r="99" spans="1:22">
      <c r="A99" t="s">
        <v>55</v>
      </c>
      <c r="B99" t="s">
        <v>57</v>
      </c>
      <c r="C99" t="s">
        <v>65</v>
      </c>
      <c r="D99">
        <v>0</v>
      </c>
      <c r="E99">
        <v>0</v>
      </c>
      <c r="F99">
        <v>0</v>
      </c>
      <c r="G99">
        <v>1</v>
      </c>
      <c r="H99">
        <v>0</v>
      </c>
      <c r="I99">
        <v>0</v>
      </c>
      <c r="J99">
        <v>0</v>
      </c>
      <c r="K99">
        <v>0</v>
      </c>
      <c r="L99">
        <v>0</v>
      </c>
      <c r="M99">
        <v>1</v>
      </c>
      <c r="N99">
        <v>0</v>
      </c>
      <c r="O99">
        <v>0</v>
      </c>
      <c r="P99">
        <v>1</v>
      </c>
      <c r="Q99">
        <v>0</v>
      </c>
      <c r="R99">
        <v>1</v>
      </c>
      <c r="S99">
        <v>0</v>
      </c>
      <c r="T99">
        <v>0</v>
      </c>
      <c r="U99">
        <v>1</v>
      </c>
      <c r="V99" t="s">
        <v>301</v>
      </c>
    </row>
    <row r="129" spans="1:22">
      <c r="A129">
        <f>setup!C17</f>
        <v>3829</v>
      </c>
    </row>
    <row r="130" spans="1:22">
      <c r="A130" s="43" t="str">
        <f>_xlfn.CONCAT(setup!D17," - ",setup!E17)</f>
        <v>OSEP – Autism - Digital - OSEP_AUT_D</v>
      </c>
    </row>
    <row r="131" spans="1:22">
      <c r="A131" t="s">
        <v>35</v>
      </c>
      <c r="B131" t="s">
        <v>36</v>
      </c>
      <c r="C131" t="s">
        <v>37</v>
      </c>
      <c r="D131" s="1" t="s">
        <v>38</v>
      </c>
      <c r="E131" s="1" t="s">
        <v>39</v>
      </c>
      <c r="F131" s="1" t="s">
        <v>40</v>
      </c>
      <c r="G131" s="1" t="s">
        <v>41</v>
      </c>
      <c r="H131" s="1" t="s">
        <v>42</v>
      </c>
      <c r="I131" s="1" t="s">
        <v>43</v>
      </c>
      <c r="J131" s="1" t="s">
        <v>44</v>
      </c>
      <c r="K131" s="1" t="s">
        <v>45</v>
      </c>
      <c r="L131" s="1" t="s">
        <v>46</v>
      </c>
      <c r="M131" s="1" t="s">
        <v>47</v>
      </c>
      <c r="N131" s="1" t="s">
        <v>48</v>
      </c>
      <c r="O131" s="1" t="s">
        <v>49</v>
      </c>
      <c r="P131" s="1" t="s">
        <v>50</v>
      </c>
      <c r="Q131" s="1" t="s">
        <v>51</v>
      </c>
      <c r="R131" s="1" t="s">
        <v>52</v>
      </c>
      <c r="S131" s="1" t="s">
        <v>53</v>
      </c>
      <c r="T131" t="s">
        <v>54</v>
      </c>
      <c r="U131" s="1" t="s">
        <v>55</v>
      </c>
      <c r="V131" t="s">
        <v>56</v>
      </c>
    </row>
    <row r="132" spans="1:22">
      <c r="A132" t="s">
        <v>187</v>
      </c>
      <c r="B132" t="s">
        <v>57</v>
      </c>
      <c r="C132" t="s">
        <v>58</v>
      </c>
      <c r="D132" s="1">
        <v>0</v>
      </c>
      <c r="E132" s="1">
        <v>0</v>
      </c>
      <c r="F132" s="1">
        <v>0</v>
      </c>
      <c r="G132" s="1">
        <v>0</v>
      </c>
      <c r="H132" s="1">
        <v>0</v>
      </c>
      <c r="I132" s="1">
        <v>0</v>
      </c>
      <c r="J132" s="1">
        <v>0</v>
      </c>
      <c r="K132" s="1">
        <v>0</v>
      </c>
      <c r="L132" s="1">
        <v>0</v>
      </c>
      <c r="M132" s="1">
        <v>0</v>
      </c>
      <c r="N132" s="1">
        <v>0</v>
      </c>
      <c r="O132" s="1">
        <v>0</v>
      </c>
      <c r="P132" s="1">
        <v>0</v>
      </c>
      <c r="Q132" s="1">
        <v>0</v>
      </c>
      <c r="R132" s="1">
        <v>0</v>
      </c>
      <c r="S132" s="1">
        <v>0</v>
      </c>
      <c r="T132" s="1">
        <v>0</v>
      </c>
      <c r="U132" s="1">
        <v>1</v>
      </c>
      <c r="V132" s="1" t="s">
        <v>301</v>
      </c>
    </row>
    <row r="133" spans="1:22">
      <c r="A133" t="s">
        <v>187</v>
      </c>
      <c r="B133" t="s">
        <v>57</v>
      </c>
      <c r="C133" t="s">
        <v>59</v>
      </c>
      <c r="D133" s="1">
        <v>0</v>
      </c>
      <c r="E133" s="1">
        <v>0</v>
      </c>
      <c r="F133" s="1">
        <v>0</v>
      </c>
      <c r="G133" s="1">
        <v>0</v>
      </c>
      <c r="H133" s="1">
        <v>0</v>
      </c>
      <c r="I133" s="1">
        <v>0</v>
      </c>
      <c r="J133" s="1">
        <v>0</v>
      </c>
      <c r="K133" s="1">
        <v>0</v>
      </c>
      <c r="L133" s="1">
        <v>0</v>
      </c>
      <c r="M133" s="1">
        <v>0</v>
      </c>
      <c r="N133" s="1">
        <v>0</v>
      </c>
      <c r="O133" s="1">
        <v>0</v>
      </c>
      <c r="P133" s="1">
        <v>0</v>
      </c>
      <c r="Q133" s="1">
        <v>0</v>
      </c>
      <c r="R133" s="1">
        <v>0</v>
      </c>
      <c r="S133" s="1">
        <v>0</v>
      </c>
      <c r="T133" s="1">
        <v>0</v>
      </c>
      <c r="U133" s="1">
        <v>0</v>
      </c>
      <c r="V133" s="1" t="s">
        <v>301</v>
      </c>
    </row>
    <row r="134" spans="1:22">
      <c r="A134" t="s">
        <v>187</v>
      </c>
      <c r="B134" t="s">
        <v>57</v>
      </c>
      <c r="C134" t="s">
        <v>60</v>
      </c>
      <c r="D134" s="1">
        <v>0</v>
      </c>
      <c r="E134" s="1">
        <v>0</v>
      </c>
      <c r="F134" s="1">
        <v>0</v>
      </c>
      <c r="G134" s="1">
        <v>0</v>
      </c>
      <c r="H134" s="1">
        <v>0</v>
      </c>
      <c r="I134" s="1">
        <v>0</v>
      </c>
      <c r="J134" s="1">
        <v>0</v>
      </c>
      <c r="K134" s="1">
        <v>0</v>
      </c>
      <c r="L134" s="1">
        <v>0</v>
      </c>
      <c r="M134" s="1">
        <v>0</v>
      </c>
      <c r="N134" s="1">
        <v>0</v>
      </c>
      <c r="O134" s="1">
        <v>0</v>
      </c>
      <c r="P134" s="1">
        <v>0</v>
      </c>
      <c r="Q134" s="1">
        <v>0</v>
      </c>
      <c r="R134" s="1">
        <v>0</v>
      </c>
      <c r="S134" s="1">
        <v>0</v>
      </c>
      <c r="T134" s="1">
        <v>0</v>
      </c>
      <c r="U134" s="1">
        <v>0</v>
      </c>
      <c r="V134" s="1" t="s">
        <v>301</v>
      </c>
    </row>
    <row r="135" spans="1:22">
      <c r="A135" t="s">
        <v>187</v>
      </c>
      <c r="B135" t="s">
        <v>57</v>
      </c>
      <c r="C135" t="s">
        <v>61</v>
      </c>
      <c r="D135" s="1">
        <v>0</v>
      </c>
      <c r="E135" s="1">
        <v>0</v>
      </c>
      <c r="F135" s="1">
        <v>0</v>
      </c>
      <c r="G135" s="1">
        <v>0</v>
      </c>
      <c r="H135" s="1">
        <v>0</v>
      </c>
      <c r="I135" s="1">
        <v>0</v>
      </c>
      <c r="J135" s="1">
        <v>0</v>
      </c>
      <c r="K135" s="1">
        <v>0</v>
      </c>
      <c r="L135" s="1">
        <v>0</v>
      </c>
      <c r="M135" s="1">
        <v>0</v>
      </c>
      <c r="N135" s="1">
        <v>0</v>
      </c>
      <c r="O135" s="1">
        <v>0</v>
      </c>
      <c r="P135" s="1">
        <v>0</v>
      </c>
      <c r="Q135" s="1">
        <v>0</v>
      </c>
      <c r="R135" s="1">
        <v>0</v>
      </c>
      <c r="S135" s="1">
        <v>0</v>
      </c>
      <c r="T135" s="1">
        <v>0</v>
      </c>
      <c r="U135" s="1">
        <v>0</v>
      </c>
      <c r="V135" s="1" t="s">
        <v>301</v>
      </c>
    </row>
    <row r="136" spans="1:22">
      <c r="A136" t="s">
        <v>187</v>
      </c>
      <c r="B136" t="s">
        <v>57</v>
      </c>
      <c r="C136" t="s">
        <v>62</v>
      </c>
      <c r="D136" s="1">
        <v>0</v>
      </c>
      <c r="E136" s="1">
        <v>0</v>
      </c>
      <c r="F136" s="1">
        <v>0</v>
      </c>
      <c r="G136" s="1">
        <v>0</v>
      </c>
      <c r="H136" s="1">
        <v>1</v>
      </c>
      <c r="I136" s="1">
        <v>0</v>
      </c>
      <c r="J136" s="1">
        <v>0</v>
      </c>
      <c r="K136" s="1">
        <v>1</v>
      </c>
      <c r="L136" s="1">
        <v>0</v>
      </c>
      <c r="M136" s="1">
        <v>0</v>
      </c>
      <c r="N136" s="1">
        <v>0</v>
      </c>
      <c r="O136" s="1">
        <v>0</v>
      </c>
      <c r="P136" s="1">
        <v>1</v>
      </c>
      <c r="Q136" s="1">
        <v>0</v>
      </c>
      <c r="R136" s="1">
        <v>0</v>
      </c>
      <c r="S136" s="1">
        <v>1</v>
      </c>
      <c r="T136" s="1">
        <v>0</v>
      </c>
      <c r="U136" s="1">
        <v>1</v>
      </c>
      <c r="V136" s="1" t="s">
        <v>301</v>
      </c>
    </row>
    <row r="137" spans="1:22">
      <c r="A137" t="s">
        <v>187</v>
      </c>
      <c r="B137" t="s">
        <v>57</v>
      </c>
      <c r="C137" t="s">
        <v>63</v>
      </c>
      <c r="D137" s="1">
        <v>0</v>
      </c>
      <c r="E137" s="1">
        <v>0</v>
      </c>
      <c r="F137" s="1">
        <v>0</v>
      </c>
      <c r="G137" s="1">
        <v>0</v>
      </c>
      <c r="H137" s="1">
        <v>0</v>
      </c>
      <c r="I137" s="1">
        <v>0</v>
      </c>
      <c r="J137" s="1">
        <v>0</v>
      </c>
      <c r="K137" s="1">
        <v>0</v>
      </c>
      <c r="L137" s="1">
        <v>0</v>
      </c>
      <c r="M137" s="1">
        <v>0</v>
      </c>
      <c r="N137" s="1">
        <v>0</v>
      </c>
      <c r="O137" s="1">
        <v>0</v>
      </c>
      <c r="P137" s="1">
        <v>0</v>
      </c>
      <c r="Q137" s="1">
        <v>0</v>
      </c>
      <c r="R137" s="1">
        <v>0</v>
      </c>
      <c r="S137" s="1">
        <v>0</v>
      </c>
      <c r="T137" s="1">
        <v>0</v>
      </c>
      <c r="U137" s="1">
        <v>0</v>
      </c>
      <c r="V137" s="1" t="s">
        <v>301</v>
      </c>
    </row>
    <row r="138" spans="1:22">
      <c r="A138" t="s">
        <v>187</v>
      </c>
      <c r="B138" t="s">
        <v>57</v>
      </c>
      <c r="C138" t="s">
        <v>64</v>
      </c>
      <c r="D138" s="1">
        <v>0</v>
      </c>
      <c r="E138" s="1">
        <v>0</v>
      </c>
      <c r="F138" s="1">
        <v>0</v>
      </c>
      <c r="G138" s="1">
        <v>0</v>
      </c>
      <c r="H138" s="1">
        <v>1</v>
      </c>
      <c r="I138" s="1">
        <v>0</v>
      </c>
      <c r="J138" s="1">
        <v>0</v>
      </c>
      <c r="K138" s="1">
        <v>1</v>
      </c>
      <c r="L138" s="1">
        <v>0</v>
      </c>
      <c r="M138" s="1">
        <v>0</v>
      </c>
      <c r="N138" s="1">
        <v>0</v>
      </c>
      <c r="O138" s="1">
        <v>0</v>
      </c>
      <c r="P138" s="1">
        <v>1</v>
      </c>
      <c r="Q138" s="1">
        <v>0</v>
      </c>
      <c r="R138" s="1">
        <v>0</v>
      </c>
      <c r="S138" s="1">
        <v>1</v>
      </c>
      <c r="T138" s="1">
        <v>0</v>
      </c>
      <c r="U138" s="1">
        <v>1</v>
      </c>
      <c r="V138" s="1" t="s">
        <v>301</v>
      </c>
    </row>
    <row r="139" spans="1:22">
      <c r="A139" t="s">
        <v>187</v>
      </c>
      <c r="B139" t="s">
        <v>57</v>
      </c>
      <c r="C139" t="s">
        <v>65</v>
      </c>
      <c r="D139" s="1">
        <v>0</v>
      </c>
      <c r="E139" s="1">
        <v>0</v>
      </c>
      <c r="F139" s="1">
        <v>0</v>
      </c>
      <c r="G139" s="1">
        <v>0</v>
      </c>
      <c r="H139" s="1">
        <v>0</v>
      </c>
      <c r="I139" s="1">
        <v>0</v>
      </c>
      <c r="J139" s="1">
        <v>0</v>
      </c>
      <c r="K139" s="1">
        <v>0</v>
      </c>
      <c r="L139" s="1">
        <v>0</v>
      </c>
      <c r="M139" s="1">
        <v>0</v>
      </c>
      <c r="N139" s="1">
        <v>0</v>
      </c>
      <c r="O139" s="1">
        <v>0</v>
      </c>
      <c r="P139" s="1">
        <v>0</v>
      </c>
      <c r="Q139" s="1">
        <v>0</v>
      </c>
      <c r="R139" s="1">
        <v>0</v>
      </c>
      <c r="S139" s="1">
        <v>0</v>
      </c>
      <c r="T139" s="1">
        <v>0</v>
      </c>
      <c r="U139" s="1">
        <v>0</v>
      </c>
      <c r="V139" s="1" t="s">
        <v>301</v>
      </c>
    </row>
    <row r="140" spans="1:22">
      <c r="A140" t="s">
        <v>188</v>
      </c>
      <c r="B140" t="s">
        <v>57</v>
      </c>
      <c r="C140" t="s">
        <v>58</v>
      </c>
      <c r="D140" s="1">
        <v>0</v>
      </c>
      <c r="E140" s="1">
        <v>0</v>
      </c>
      <c r="F140" s="1">
        <v>0</v>
      </c>
      <c r="G140" s="1">
        <v>0</v>
      </c>
      <c r="H140" s="1">
        <v>0</v>
      </c>
      <c r="I140" s="1">
        <v>0</v>
      </c>
      <c r="J140" s="1">
        <v>0</v>
      </c>
      <c r="K140" s="1">
        <v>0</v>
      </c>
      <c r="L140" s="1">
        <v>0</v>
      </c>
      <c r="M140" s="1">
        <v>0</v>
      </c>
      <c r="N140" s="1">
        <v>0</v>
      </c>
      <c r="O140" s="1">
        <v>0</v>
      </c>
      <c r="P140" s="1">
        <v>0</v>
      </c>
      <c r="Q140" s="1">
        <v>0</v>
      </c>
      <c r="R140" s="1">
        <v>0</v>
      </c>
      <c r="S140" s="1">
        <v>0</v>
      </c>
      <c r="T140" s="1">
        <v>0</v>
      </c>
      <c r="U140" s="1">
        <v>1</v>
      </c>
      <c r="V140" s="1" t="s">
        <v>301</v>
      </c>
    </row>
    <row r="141" spans="1:22">
      <c r="A141" t="s">
        <v>188</v>
      </c>
      <c r="B141" t="s">
        <v>57</v>
      </c>
      <c r="C141" t="s">
        <v>59</v>
      </c>
      <c r="D141" s="1">
        <v>0</v>
      </c>
      <c r="E141" s="1">
        <v>0</v>
      </c>
      <c r="F141" s="1">
        <v>0</v>
      </c>
      <c r="G141" s="1">
        <v>0</v>
      </c>
      <c r="H141" s="1">
        <v>0</v>
      </c>
      <c r="I141" s="1">
        <v>0</v>
      </c>
      <c r="J141" s="1">
        <v>0</v>
      </c>
      <c r="K141" s="1">
        <v>0</v>
      </c>
      <c r="L141" s="1">
        <v>0</v>
      </c>
      <c r="M141" s="1">
        <v>0</v>
      </c>
      <c r="N141" s="1">
        <v>0</v>
      </c>
      <c r="O141" s="1">
        <v>0</v>
      </c>
      <c r="P141" s="1">
        <v>0</v>
      </c>
      <c r="Q141" s="1">
        <v>0</v>
      </c>
      <c r="R141" s="1">
        <v>0</v>
      </c>
      <c r="S141" s="1">
        <v>0</v>
      </c>
      <c r="T141" s="1">
        <v>0</v>
      </c>
      <c r="U141" s="1">
        <v>0</v>
      </c>
      <c r="V141" s="1" t="s">
        <v>301</v>
      </c>
    </row>
    <row r="142" spans="1:22">
      <c r="A142" t="s">
        <v>188</v>
      </c>
      <c r="B142" t="s">
        <v>57</v>
      </c>
      <c r="C142" t="s">
        <v>60</v>
      </c>
      <c r="D142" s="1">
        <v>0</v>
      </c>
      <c r="E142" s="1">
        <v>0</v>
      </c>
      <c r="F142" s="1">
        <v>0</v>
      </c>
      <c r="G142" s="1">
        <v>0</v>
      </c>
      <c r="H142" s="1">
        <v>0</v>
      </c>
      <c r="I142" s="1">
        <v>0</v>
      </c>
      <c r="J142" s="1">
        <v>0</v>
      </c>
      <c r="K142" s="1">
        <v>0</v>
      </c>
      <c r="L142" s="1">
        <v>0</v>
      </c>
      <c r="M142" s="1">
        <v>0</v>
      </c>
      <c r="N142" s="1">
        <v>0</v>
      </c>
      <c r="O142" s="1">
        <v>0</v>
      </c>
      <c r="P142" s="1">
        <v>0</v>
      </c>
      <c r="Q142" s="1">
        <v>0</v>
      </c>
      <c r="R142" s="1">
        <v>0</v>
      </c>
      <c r="S142" s="1">
        <v>0</v>
      </c>
      <c r="T142" s="1">
        <v>0</v>
      </c>
      <c r="U142" s="1">
        <v>0</v>
      </c>
      <c r="V142" s="1" t="s">
        <v>301</v>
      </c>
    </row>
    <row r="143" spans="1:22">
      <c r="A143" t="s">
        <v>188</v>
      </c>
      <c r="B143" t="s">
        <v>57</v>
      </c>
      <c r="C143" t="s">
        <v>61</v>
      </c>
      <c r="D143" s="1">
        <v>0</v>
      </c>
      <c r="E143" s="1">
        <v>0</v>
      </c>
      <c r="F143" s="1">
        <v>0</v>
      </c>
      <c r="G143" s="1">
        <v>0</v>
      </c>
      <c r="H143" s="1">
        <v>0</v>
      </c>
      <c r="I143" s="1">
        <v>0</v>
      </c>
      <c r="J143" s="1">
        <v>0</v>
      </c>
      <c r="K143" s="1">
        <v>0</v>
      </c>
      <c r="L143" s="1">
        <v>0</v>
      </c>
      <c r="M143" s="1">
        <v>0</v>
      </c>
      <c r="N143" s="1">
        <v>0</v>
      </c>
      <c r="O143" s="1">
        <v>0</v>
      </c>
      <c r="P143" s="1">
        <v>0</v>
      </c>
      <c r="Q143" s="1">
        <v>0</v>
      </c>
      <c r="R143" s="1">
        <v>0</v>
      </c>
      <c r="S143" s="1">
        <v>0</v>
      </c>
      <c r="T143" s="1">
        <v>0</v>
      </c>
      <c r="U143" s="1">
        <v>0</v>
      </c>
      <c r="V143" s="1" t="s">
        <v>301</v>
      </c>
    </row>
    <row r="144" spans="1:22">
      <c r="A144" t="s">
        <v>188</v>
      </c>
      <c r="B144" t="s">
        <v>57</v>
      </c>
      <c r="C144" t="s">
        <v>62</v>
      </c>
      <c r="D144" s="1">
        <v>0</v>
      </c>
      <c r="E144" s="1">
        <v>0</v>
      </c>
      <c r="F144" s="1">
        <v>0</v>
      </c>
      <c r="G144" s="1">
        <v>1</v>
      </c>
      <c r="H144" s="1">
        <v>0</v>
      </c>
      <c r="I144" s="1">
        <v>0</v>
      </c>
      <c r="J144" s="1">
        <v>0</v>
      </c>
      <c r="K144" s="1">
        <v>0</v>
      </c>
      <c r="L144" s="1">
        <v>1</v>
      </c>
      <c r="M144" s="1">
        <v>0</v>
      </c>
      <c r="N144" s="1">
        <v>0</v>
      </c>
      <c r="O144" s="1">
        <v>0</v>
      </c>
      <c r="P144" s="1">
        <v>1</v>
      </c>
      <c r="Q144" s="1">
        <v>0</v>
      </c>
      <c r="R144" s="1">
        <v>0</v>
      </c>
      <c r="S144" s="1">
        <v>1</v>
      </c>
      <c r="T144" s="1">
        <v>0</v>
      </c>
      <c r="U144" s="1">
        <v>1</v>
      </c>
      <c r="V144" s="1" t="s">
        <v>301</v>
      </c>
    </row>
    <row r="145" spans="1:81">
      <c r="A145" t="s">
        <v>188</v>
      </c>
      <c r="B145" t="s">
        <v>57</v>
      </c>
      <c r="C145" t="s">
        <v>63</v>
      </c>
      <c r="D145" s="1">
        <v>0</v>
      </c>
      <c r="E145" s="1">
        <v>0</v>
      </c>
      <c r="F145" s="1">
        <v>0</v>
      </c>
      <c r="G145" s="1">
        <v>0</v>
      </c>
      <c r="H145" s="1">
        <v>0</v>
      </c>
      <c r="I145" s="1">
        <v>0</v>
      </c>
      <c r="J145" s="1">
        <v>0</v>
      </c>
      <c r="K145" s="1">
        <v>0</v>
      </c>
      <c r="L145" s="1">
        <v>0</v>
      </c>
      <c r="M145" s="1">
        <v>0</v>
      </c>
      <c r="N145" s="1">
        <v>0</v>
      </c>
      <c r="O145" s="1">
        <v>0</v>
      </c>
      <c r="P145" s="1">
        <v>0</v>
      </c>
      <c r="Q145" s="1">
        <v>0</v>
      </c>
      <c r="R145" s="1">
        <v>0</v>
      </c>
      <c r="S145" s="1">
        <v>0</v>
      </c>
      <c r="T145" s="1">
        <v>0</v>
      </c>
      <c r="U145" s="1">
        <v>0</v>
      </c>
      <c r="V145" s="1" t="s">
        <v>301</v>
      </c>
    </row>
    <row r="146" spans="1:81">
      <c r="A146" t="s">
        <v>188</v>
      </c>
      <c r="B146" t="s">
        <v>57</v>
      </c>
      <c r="C146" t="s">
        <v>64</v>
      </c>
      <c r="D146" s="1">
        <v>0</v>
      </c>
      <c r="E146" s="1">
        <v>0</v>
      </c>
      <c r="F146" s="1">
        <v>0</v>
      </c>
      <c r="G146" s="1">
        <v>1</v>
      </c>
      <c r="H146" s="1">
        <v>0</v>
      </c>
      <c r="I146" s="1">
        <v>0</v>
      </c>
      <c r="J146" s="1">
        <v>0</v>
      </c>
      <c r="K146" s="1">
        <v>0</v>
      </c>
      <c r="L146" s="1">
        <v>1</v>
      </c>
      <c r="M146" s="1">
        <v>0</v>
      </c>
      <c r="N146" s="1">
        <v>0</v>
      </c>
      <c r="O146" s="1">
        <v>0</v>
      </c>
      <c r="P146" s="1">
        <v>1</v>
      </c>
      <c r="Q146" s="1">
        <v>0</v>
      </c>
      <c r="R146" s="1">
        <v>0</v>
      </c>
      <c r="S146" s="1">
        <v>1</v>
      </c>
      <c r="T146" s="1">
        <v>0</v>
      </c>
      <c r="U146" s="1">
        <v>1</v>
      </c>
      <c r="V146" s="1" t="s">
        <v>301</v>
      </c>
    </row>
    <row r="147" spans="1:81">
      <c r="A147" t="s">
        <v>188</v>
      </c>
      <c r="B147" t="s">
        <v>57</v>
      </c>
      <c r="C147" t="s">
        <v>65</v>
      </c>
      <c r="D147" s="1">
        <v>0</v>
      </c>
      <c r="E147" s="1">
        <v>0</v>
      </c>
      <c r="F147" s="1">
        <v>0</v>
      </c>
      <c r="G147" s="1">
        <v>0</v>
      </c>
      <c r="H147" s="1">
        <v>0</v>
      </c>
      <c r="I147" s="1">
        <v>0</v>
      </c>
      <c r="J147" s="1">
        <v>0</v>
      </c>
      <c r="K147" s="1">
        <v>0</v>
      </c>
      <c r="L147" s="1">
        <v>0</v>
      </c>
      <c r="M147" s="1">
        <v>0</v>
      </c>
      <c r="N147" s="1">
        <v>0</v>
      </c>
      <c r="O147" s="1">
        <v>0</v>
      </c>
      <c r="P147" s="1">
        <v>0</v>
      </c>
      <c r="Q147" s="1">
        <v>0</v>
      </c>
      <c r="R147" s="1">
        <v>0</v>
      </c>
      <c r="S147" s="1">
        <v>0</v>
      </c>
      <c r="T147" s="1">
        <v>0</v>
      </c>
      <c r="U147" s="1">
        <v>0</v>
      </c>
      <c r="V147" s="1" t="s">
        <v>301</v>
      </c>
    </row>
    <row r="148" spans="1:81">
      <c r="A148" t="s">
        <v>66</v>
      </c>
      <c r="B148" t="s">
        <v>57</v>
      </c>
      <c r="C148" t="s">
        <v>58</v>
      </c>
      <c r="D148" s="1">
        <v>0</v>
      </c>
      <c r="E148" s="1">
        <v>0</v>
      </c>
      <c r="F148" s="1">
        <v>0</v>
      </c>
      <c r="G148" s="1">
        <v>0</v>
      </c>
      <c r="H148" s="1">
        <v>0</v>
      </c>
      <c r="I148" s="1">
        <v>0</v>
      </c>
      <c r="J148" s="1">
        <v>0</v>
      </c>
      <c r="K148" s="1">
        <v>0</v>
      </c>
      <c r="L148" s="1">
        <v>0</v>
      </c>
      <c r="M148" s="1">
        <v>0</v>
      </c>
      <c r="N148" s="1">
        <v>0</v>
      </c>
      <c r="O148" s="1">
        <v>0</v>
      </c>
      <c r="P148" s="1">
        <v>0</v>
      </c>
      <c r="Q148" s="1">
        <v>0</v>
      </c>
      <c r="R148" s="1">
        <v>0</v>
      </c>
      <c r="S148" s="1">
        <v>0</v>
      </c>
      <c r="T148" s="1">
        <v>0</v>
      </c>
      <c r="U148" s="1">
        <v>1</v>
      </c>
      <c r="V148" s="1" t="s">
        <v>301</v>
      </c>
    </row>
    <row r="149" spans="1:81">
      <c r="A149" t="s">
        <v>66</v>
      </c>
      <c r="B149" t="s">
        <v>57</v>
      </c>
      <c r="C149" t="s">
        <v>59</v>
      </c>
      <c r="D149" s="1">
        <v>0</v>
      </c>
      <c r="E149" s="1">
        <v>0</v>
      </c>
      <c r="F149" s="1">
        <v>0</v>
      </c>
      <c r="G149" s="1">
        <v>0</v>
      </c>
      <c r="H149" s="1">
        <v>0</v>
      </c>
      <c r="I149" s="1">
        <v>0</v>
      </c>
      <c r="J149" s="1">
        <v>0</v>
      </c>
      <c r="K149" s="1">
        <v>0</v>
      </c>
      <c r="L149" s="1">
        <v>0</v>
      </c>
      <c r="M149" s="1">
        <v>0</v>
      </c>
      <c r="N149" s="1">
        <v>0</v>
      </c>
      <c r="O149" s="1">
        <v>0</v>
      </c>
      <c r="P149" s="1">
        <v>0</v>
      </c>
      <c r="Q149" s="1">
        <v>0</v>
      </c>
      <c r="R149" s="1">
        <v>0</v>
      </c>
      <c r="S149" s="1">
        <v>0</v>
      </c>
      <c r="T149" s="1">
        <v>0</v>
      </c>
      <c r="U149" s="1">
        <v>0</v>
      </c>
      <c r="V149" s="1" t="s">
        <v>301</v>
      </c>
    </row>
    <row r="150" spans="1:81">
      <c r="A150" t="s">
        <v>66</v>
      </c>
      <c r="B150" t="s">
        <v>57</v>
      </c>
      <c r="C150" t="s">
        <v>60</v>
      </c>
      <c r="D150" s="1">
        <v>0</v>
      </c>
      <c r="E150" s="1">
        <v>0</v>
      </c>
      <c r="F150" s="1">
        <v>0</v>
      </c>
      <c r="G150" s="1">
        <v>0</v>
      </c>
      <c r="H150" s="1">
        <v>0</v>
      </c>
      <c r="I150" s="1">
        <v>0</v>
      </c>
      <c r="J150" s="1">
        <v>0</v>
      </c>
      <c r="K150" s="1">
        <v>0</v>
      </c>
      <c r="L150" s="1">
        <v>0</v>
      </c>
      <c r="M150" s="1">
        <v>0</v>
      </c>
      <c r="N150" s="1">
        <v>0</v>
      </c>
      <c r="O150" s="1">
        <v>0</v>
      </c>
      <c r="P150" s="1">
        <v>0</v>
      </c>
      <c r="Q150" s="1">
        <v>0</v>
      </c>
      <c r="R150" s="1">
        <v>0</v>
      </c>
      <c r="S150" s="1">
        <v>0</v>
      </c>
      <c r="T150" s="1">
        <v>0</v>
      </c>
      <c r="U150" s="1">
        <v>0</v>
      </c>
      <c r="V150" s="1" t="s">
        <v>301</v>
      </c>
    </row>
    <row r="151" spans="1:81">
      <c r="A151" t="s">
        <v>66</v>
      </c>
      <c r="B151" t="s">
        <v>57</v>
      </c>
      <c r="C151" t="s">
        <v>61</v>
      </c>
      <c r="D151" s="1">
        <v>0</v>
      </c>
      <c r="E151" s="1">
        <v>0</v>
      </c>
      <c r="F151" s="1">
        <v>0</v>
      </c>
      <c r="G151" s="1">
        <v>0</v>
      </c>
      <c r="H151" s="1">
        <v>0</v>
      </c>
      <c r="I151" s="1">
        <v>0</v>
      </c>
      <c r="J151" s="1">
        <v>0</v>
      </c>
      <c r="K151" s="1">
        <v>0</v>
      </c>
      <c r="L151" s="1">
        <v>0</v>
      </c>
      <c r="M151" s="1">
        <v>0</v>
      </c>
      <c r="N151" s="1">
        <v>0</v>
      </c>
      <c r="O151" s="1">
        <v>0</v>
      </c>
      <c r="P151" s="1">
        <v>0</v>
      </c>
      <c r="Q151" s="1">
        <v>0</v>
      </c>
      <c r="R151" s="1">
        <v>0</v>
      </c>
      <c r="S151" s="1">
        <v>0</v>
      </c>
      <c r="T151" s="1">
        <v>0</v>
      </c>
      <c r="U151" s="1">
        <v>0</v>
      </c>
      <c r="V151" s="1" t="s">
        <v>301</v>
      </c>
    </row>
    <row r="152" spans="1:81">
      <c r="A152" t="s">
        <v>66</v>
      </c>
      <c r="B152" t="s">
        <v>57</v>
      </c>
      <c r="C152" t="s">
        <v>62</v>
      </c>
      <c r="D152" s="1">
        <v>0</v>
      </c>
      <c r="E152" s="1">
        <v>0</v>
      </c>
      <c r="F152" s="1">
        <v>0</v>
      </c>
      <c r="G152" s="1">
        <v>0</v>
      </c>
      <c r="H152" s="1">
        <v>0</v>
      </c>
      <c r="I152" s="1">
        <v>0</v>
      </c>
      <c r="J152" s="1">
        <v>0</v>
      </c>
      <c r="K152" s="1">
        <v>0</v>
      </c>
      <c r="L152" s="1">
        <v>0</v>
      </c>
      <c r="M152" s="1">
        <v>0</v>
      </c>
      <c r="N152" s="1">
        <v>0</v>
      </c>
      <c r="O152" s="1">
        <v>0</v>
      </c>
      <c r="P152" s="1">
        <v>0</v>
      </c>
      <c r="Q152" s="1">
        <v>0</v>
      </c>
      <c r="R152" s="1">
        <v>0</v>
      </c>
      <c r="S152" s="1">
        <v>0</v>
      </c>
      <c r="T152" s="1">
        <v>0</v>
      </c>
      <c r="U152" s="1">
        <v>0</v>
      </c>
      <c r="V152" s="1" t="s">
        <v>301</v>
      </c>
    </row>
    <row r="153" spans="1:81">
      <c r="A153" t="s">
        <v>66</v>
      </c>
      <c r="B153" t="s">
        <v>57</v>
      </c>
      <c r="C153" t="s">
        <v>63</v>
      </c>
      <c r="D153" s="1">
        <v>0</v>
      </c>
      <c r="E153" s="1">
        <v>0</v>
      </c>
      <c r="F153" s="1">
        <v>0</v>
      </c>
      <c r="G153" s="1">
        <v>0</v>
      </c>
      <c r="H153" s="1">
        <v>0</v>
      </c>
      <c r="I153" s="1">
        <v>0</v>
      </c>
      <c r="J153" s="1">
        <v>0</v>
      </c>
      <c r="K153" s="1">
        <v>0</v>
      </c>
      <c r="L153" s="1">
        <v>0</v>
      </c>
      <c r="M153" s="1">
        <v>0</v>
      </c>
      <c r="N153" s="1">
        <v>0</v>
      </c>
      <c r="O153" s="1">
        <v>0</v>
      </c>
      <c r="P153" s="1">
        <v>0</v>
      </c>
      <c r="Q153" s="1">
        <v>0</v>
      </c>
      <c r="R153" s="1">
        <v>0</v>
      </c>
      <c r="S153" s="1">
        <v>0</v>
      </c>
      <c r="T153" s="1">
        <v>0</v>
      </c>
      <c r="U153" s="1">
        <v>0</v>
      </c>
      <c r="V153" s="1" t="s">
        <v>301</v>
      </c>
    </row>
    <row r="154" spans="1:81">
      <c r="A154" t="s">
        <v>66</v>
      </c>
      <c r="B154" t="s">
        <v>57</v>
      </c>
      <c r="C154" t="s">
        <v>64</v>
      </c>
      <c r="D154" s="1">
        <v>0</v>
      </c>
      <c r="E154" s="1">
        <v>0</v>
      </c>
      <c r="F154" s="1">
        <v>0</v>
      </c>
      <c r="G154" s="1">
        <v>0</v>
      </c>
      <c r="H154" s="1">
        <v>0</v>
      </c>
      <c r="I154" s="1">
        <v>0</v>
      </c>
      <c r="J154" s="1">
        <v>0</v>
      </c>
      <c r="K154" s="1">
        <v>0</v>
      </c>
      <c r="L154" s="1">
        <v>0</v>
      </c>
      <c r="M154" s="1">
        <v>0</v>
      </c>
      <c r="N154" s="1">
        <v>0</v>
      </c>
      <c r="O154" s="1">
        <v>0</v>
      </c>
      <c r="P154" s="1">
        <v>0</v>
      </c>
      <c r="Q154" s="1">
        <v>0</v>
      </c>
      <c r="R154" s="1">
        <v>0</v>
      </c>
      <c r="S154" s="1">
        <v>0</v>
      </c>
      <c r="T154" s="1">
        <v>0</v>
      </c>
      <c r="U154" s="1">
        <v>0</v>
      </c>
      <c r="V154" s="1" t="s">
        <v>301</v>
      </c>
    </row>
    <row r="155" spans="1:81">
      <c r="A155" t="s">
        <v>66</v>
      </c>
      <c r="B155" t="s">
        <v>57</v>
      </c>
      <c r="C155" t="s">
        <v>65</v>
      </c>
      <c r="D155" s="1">
        <v>0</v>
      </c>
      <c r="E155" s="1">
        <v>0</v>
      </c>
      <c r="F155" s="1">
        <v>0</v>
      </c>
      <c r="G155" s="1">
        <v>0</v>
      </c>
      <c r="H155" s="1">
        <v>0</v>
      </c>
      <c r="I155" s="1">
        <v>0</v>
      </c>
      <c r="J155" s="1">
        <v>0</v>
      </c>
      <c r="K155" s="1">
        <v>0</v>
      </c>
      <c r="L155" s="1">
        <v>0</v>
      </c>
      <c r="M155" s="1">
        <v>0</v>
      </c>
      <c r="N155" s="1">
        <v>0</v>
      </c>
      <c r="O155" s="1">
        <v>0</v>
      </c>
      <c r="P155" s="1">
        <v>0</v>
      </c>
      <c r="Q155" s="1">
        <v>0</v>
      </c>
      <c r="R155" s="1">
        <v>0</v>
      </c>
      <c r="S155" s="1">
        <v>0</v>
      </c>
      <c r="T155" s="1">
        <v>0</v>
      </c>
      <c r="U155" s="1">
        <v>0</v>
      </c>
      <c r="V155" s="1" t="s">
        <v>301</v>
      </c>
    </row>
    <row r="156" spans="1:81">
      <c r="A156" t="s">
        <v>189</v>
      </c>
      <c r="B156" t="s">
        <v>57</v>
      </c>
      <c r="C156" t="s">
        <v>58</v>
      </c>
      <c r="D156" s="1">
        <v>0</v>
      </c>
      <c r="E156" s="1">
        <v>0</v>
      </c>
      <c r="F156" s="1">
        <v>0</v>
      </c>
      <c r="G156" s="1">
        <v>0</v>
      </c>
      <c r="H156" s="1">
        <v>0</v>
      </c>
      <c r="I156" s="1">
        <v>0</v>
      </c>
      <c r="J156" s="1">
        <v>0</v>
      </c>
      <c r="K156" s="1">
        <v>0</v>
      </c>
      <c r="L156" s="1">
        <v>0</v>
      </c>
      <c r="M156" s="1">
        <v>0</v>
      </c>
      <c r="N156" s="1">
        <v>0</v>
      </c>
      <c r="O156" s="1">
        <v>0</v>
      </c>
      <c r="P156" s="1">
        <v>0</v>
      </c>
      <c r="Q156" s="1">
        <v>0</v>
      </c>
      <c r="R156" s="1">
        <v>0</v>
      </c>
      <c r="S156" s="1">
        <v>0</v>
      </c>
      <c r="T156" s="1">
        <v>0</v>
      </c>
      <c r="U156" s="1">
        <v>1</v>
      </c>
      <c r="V156" s="1" t="s">
        <v>301</v>
      </c>
    </row>
    <row r="157" spans="1:81">
      <c r="A157" t="s">
        <v>189</v>
      </c>
      <c r="B157" t="s">
        <v>57</v>
      </c>
      <c r="C157" t="s">
        <v>59</v>
      </c>
      <c r="D157" s="1">
        <v>0</v>
      </c>
      <c r="E157" s="1">
        <v>0</v>
      </c>
      <c r="F157" s="1">
        <v>0</v>
      </c>
      <c r="G157" s="1">
        <v>0</v>
      </c>
      <c r="H157" s="1">
        <v>0</v>
      </c>
      <c r="I157" s="1">
        <v>0</v>
      </c>
      <c r="J157" s="1">
        <v>0</v>
      </c>
      <c r="K157" s="1">
        <v>0</v>
      </c>
      <c r="L157" s="1">
        <v>0</v>
      </c>
      <c r="M157" s="1">
        <v>0</v>
      </c>
      <c r="N157" s="1">
        <v>0</v>
      </c>
      <c r="O157" s="1">
        <v>0</v>
      </c>
      <c r="P157" s="1">
        <v>0</v>
      </c>
      <c r="Q157" s="1">
        <v>0</v>
      </c>
      <c r="R157" s="1">
        <v>0</v>
      </c>
      <c r="S157" s="1">
        <v>0</v>
      </c>
      <c r="T157" s="1">
        <v>0</v>
      </c>
      <c r="U157" s="1">
        <v>0</v>
      </c>
      <c r="V157" s="1" t="s">
        <v>301</v>
      </c>
    </row>
    <row r="158" spans="1:81">
      <c r="A158" t="s">
        <v>189</v>
      </c>
      <c r="B158" t="s">
        <v>57</v>
      </c>
      <c r="C158" t="s">
        <v>60</v>
      </c>
      <c r="D158" s="1">
        <v>0</v>
      </c>
      <c r="E158" s="1">
        <v>0</v>
      </c>
      <c r="F158" s="1">
        <v>0</v>
      </c>
      <c r="G158" s="1">
        <v>0</v>
      </c>
      <c r="H158" s="1">
        <v>0</v>
      </c>
      <c r="I158" s="1">
        <v>0</v>
      </c>
      <c r="J158" s="1">
        <v>0</v>
      </c>
      <c r="K158" s="1">
        <v>0</v>
      </c>
      <c r="L158" s="1">
        <v>0</v>
      </c>
      <c r="M158" s="1">
        <v>0</v>
      </c>
      <c r="N158" s="1">
        <v>0</v>
      </c>
      <c r="O158" s="1">
        <v>0</v>
      </c>
      <c r="P158" s="1">
        <v>0</v>
      </c>
      <c r="Q158" s="1">
        <v>0</v>
      </c>
      <c r="R158" s="1">
        <v>0</v>
      </c>
      <c r="S158" s="1">
        <v>0</v>
      </c>
      <c r="T158" s="1">
        <v>0</v>
      </c>
      <c r="U158" s="1">
        <v>0</v>
      </c>
      <c r="V158" s="1" t="s">
        <v>301</v>
      </c>
    </row>
    <row r="159" spans="1:81">
      <c r="A159" t="s">
        <v>189</v>
      </c>
      <c r="B159" t="s">
        <v>57</v>
      </c>
      <c r="C159" t="s">
        <v>61</v>
      </c>
      <c r="D159" s="1">
        <v>0</v>
      </c>
      <c r="E159" s="1">
        <v>0</v>
      </c>
      <c r="F159" s="1">
        <v>0</v>
      </c>
      <c r="G159" s="1">
        <v>0</v>
      </c>
      <c r="H159" s="1">
        <v>0</v>
      </c>
      <c r="I159" s="1">
        <v>0</v>
      </c>
      <c r="J159" s="1">
        <v>0</v>
      </c>
      <c r="K159" s="1">
        <v>0</v>
      </c>
      <c r="L159" s="1">
        <v>0</v>
      </c>
      <c r="M159" s="1">
        <v>0</v>
      </c>
      <c r="N159" s="1">
        <v>0</v>
      </c>
      <c r="O159" s="1">
        <v>0</v>
      </c>
      <c r="P159" s="1">
        <v>0</v>
      </c>
      <c r="Q159" s="1">
        <v>0</v>
      </c>
      <c r="R159" s="1">
        <v>0</v>
      </c>
      <c r="S159" s="1">
        <v>0</v>
      </c>
      <c r="T159" s="1">
        <v>0</v>
      </c>
      <c r="U159" s="1">
        <v>0</v>
      </c>
      <c r="V159" s="1" t="s">
        <v>301</v>
      </c>
    </row>
    <row r="160" spans="1:81">
      <c r="A160" t="s">
        <v>189</v>
      </c>
      <c r="B160" t="s">
        <v>57</v>
      </c>
      <c r="C160" t="s">
        <v>62</v>
      </c>
      <c r="D160" s="1">
        <v>0</v>
      </c>
      <c r="E160" s="1">
        <v>0</v>
      </c>
      <c r="F160" s="1">
        <v>0</v>
      </c>
      <c r="G160" s="1">
        <v>0</v>
      </c>
      <c r="H160" s="1">
        <v>0</v>
      </c>
      <c r="I160" s="1">
        <v>0</v>
      </c>
      <c r="J160" s="1">
        <v>0</v>
      </c>
      <c r="K160" s="1">
        <v>0</v>
      </c>
      <c r="L160" s="1">
        <v>0</v>
      </c>
      <c r="M160" s="1">
        <v>0</v>
      </c>
      <c r="N160" s="1">
        <v>0</v>
      </c>
      <c r="O160" s="1">
        <v>0</v>
      </c>
      <c r="P160" s="1">
        <v>0</v>
      </c>
      <c r="Q160" s="1">
        <v>0</v>
      </c>
      <c r="R160" s="1">
        <v>0</v>
      </c>
      <c r="S160" s="1">
        <v>0</v>
      </c>
      <c r="T160" s="1">
        <v>0</v>
      </c>
      <c r="U160" s="1">
        <v>0</v>
      </c>
      <c r="V160" s="1" t="s">
        <v>301</v>
      </c>
      <c r="BI160" s="43"/>
      <c r="BJ160" s="43"/>
      <c r="BK160" s="43"/>
      <c r="BL160" s="43"/>
      <c r="BM160" s="43"/>
      <c r="BN160" s="43"/>
      <c r="BO160" s="43"/>
      <c r="BP160" s="43"/>
      <c r="BQ160" s="43"/>
      <c r="BR160" s="43"/>
      <c r="BS160" s="43"/>
      <c r="BT160" s="43"/>
      <c r="BU160" s="43"/>
      <c r="BV160" s="43"/>
      <c r="BW160" s="43"/>
      <c r="BX160" s="43"/>
      <c r="BY160" s="43"/>
      <c r="BZ160" s="43"/>
      <c r="CA160" s="43"/>
      <c r="CB160" s="43"/>
      <c r="CC160" s="43"/>
    </row>
    <row r="161" spans="1:22">
      <c r="A161" t="s">
        <v>189</v>
      </c>
      <c r="B161" t="s">
        <v>57</v>
      </c>
      <c r="C161" t="s">
        <v>63</v>
      </c>
      <c r="D161" s="1">
        <v>0</v>
      </c>
      <c r="E161" s="1">
        <v>0</v>
      </c>
      <c r="F161" s="1">
        <v>0</v>
      </c>
      <c r="G161" s="1">
        <v>0</v>
      </c>
      <c r="H161" s="1">
        <v>0</v>
      </c>
      <c r="I161" s="1">
        <v>0</v>
      </c>
      <c r="J161" s="1">
        <v>0</v>
      </c>
      <c r="K161" s="1">
        <v>0</v>
      </c>
      <c r="L161" s="1">
        <v>0</v>
      </c>
      <c r="M161" s="1">
        <v>0</v>
      </c>
      <c r="N161" s="1">
        <v>0</v>
      </c>
      <c r="O161" s="1">
        <v>0</v>
      </c>
      <c r="P161" s="1">
        <v>0</v>
      </c>
      <c r="Q161" s="1">
        <v>0</v>
      </c>
      <c r="R161" s="1">
        <v>0</v>
      </c>
      <c r="S161" s="1">
        <v>0</v>
      </c>
      <c r="T161" s="1">
        <v>0</v>
      </c>
      <c r="U161" s="1">
        <v>0</v>
      </c>
      <c r="V161" s="1" t="s">
        <v>301</v>
      </c>
    </row>
    <row r="162" spans="1:22">
      <c r="A162" t="s">
        <v>189</v>
      </c>
      <c r="B162" t="s">
        <v>57</v>
      </c>
      <c r="C162" t="s">
        <v>64</v>
      </c>
      <c r="D162" s="1">
        <v>0</v>
      </c>
      <c r="E162" s="1">
        <v>0</v>
      </c>
      <c r="F162" s="1">
        <v>0</v>
      </c>
      <c r="G162" s="1">
        <v>0</v>
      </c>
      <c r="H162" s="1">
        <v>0</v>
      </c>
      <c r="I162" s="1">
        <v>0</v>
      </c>
      <c r="J162" s="1">
        <v>0</v>
      </c>
      <c r="K162" s="1">
        <v>0</v>
      </c>
      <c r="L162" s="1">
        <v>0</v>
      </c>
      <c r="M162" s="1">
        <v>0</v>
      </c>
      <c r="N162" s="1">
        <v>0</v>
      </c>
      <c r="O162" s="1">
        <v>0</v>
      </c>
      <c r="P162" s="1">
        <v>0</v>
      </c>
      <c r="Q162" s="1">
        <v>0</v>
      </c>
      <c r="R162" s="1">
        <v>0</v>
      </c>
      <c r="S162" s="1">
        <v>0</v>
      </c>
      <c r="T162" s="1">
        <v>0</v>
      </c>
      <c r="U162" s="1">
        <v>0</v>
      </c>
      <c r="V162" s="1" t="s">
        <v>301</v>
      </c>
    </row>
    <row r="163" spans="1:22">
      <c r="A163" t="s">
        <v>189</v>
      </c>
      <c r="B163" t="s">
        <v>57</v>
      </c>
      <c r="C163" t="s">
        <v>65</v>
      </c>
      <c r="D163" s="1">
        <v>0</v>
      </c>
      <c r="E163" s="1">
        <v>0</v>
      </c>
      <c r="F163" s="1">
        <v>0</v>
      </c>
      <c r="G163" s="1">
        <v>0</v>
      </c>
      <c r="H163" s="1">
        <v>0</v>
      </c>
      <c r="I163" s="1">
        <v>0</v>
      </c>
      <c r="J163" s="1">
        <v>0</v>
      </c>
      <c r="K163" s="1">
        <v>0</v>
      </c>
      <c r="L163" s="1">
        <v>0</v>
      </c>
      <c r="M163" s="1">
        <v>0</v>
      </c>
      <c r="N163" s="1">
        <v>0</v>
      </c>
      <c r="O163" s="1">
        <v>0</v>
      </c>
      <c r="P163" s="1">
        <v>0</v>
      </c>
      <c r="Q163" s="1">
        <v>0</v>
      </c>
      <c r="R163" s="1">
        <v>0</v>
      </c>
      <c r="S163" s="1">
        <v>0</v>
      </c>
      <c r="T163" s="1">
        <v>0</v>
      </c>
      <c r="U163" s="1">
        <v>0</v>
      </c>
      <c r="V163" s="1" t="s">
        <v>301</v>
      </c>
    </row>
    <row r="164" spans="1:22">
      <c r="A164" t="s">
        <v>190</v>
      </c>
      <c r="B164" t="s">
        <v>57</v>
      </c>
      <c r="C164" t="s">
        <v>58</v>
      </c>
      <c r="D164" s="1">
        <v>0</v>
      </c>
      <c r="E164" s="1">
        <v>0</v>
      </c>
      <c r="F164" s="1">
        <v>0</v>
      </c>
      <c r="G164" s="1">
        <v>0</v>
      </c>
      <c r="H164" s="1">
        <v>0</v>
      </c>
      <c r="I164" s="1">
        <v>0</v>
      </c>
      <c r="J164" s="1">
        <v>0</v>
      </c>
      <c r="K164" s="1">
        <v>0</v>
      </c>
      <c r="L164" s="1">
        <v>0</v>
      </c>
      <c r="M164" s="1">
        <v>0</v>
      </c>
      <c r="N164" s="1">
        <v>0</v>
      </c>
      <c r="O164" s="1">
        <v>0</v>
      </c>
      <c r="P164" s="1">
        <v>0</v>
      </c>
      <c r="Q164" s="1">
        <v>0</v>
      </c>
      <c r="R164" s="1">
        <v>0</v>
      </c>
      <c r="S164" s="1">
        <v>0</v>
      </c>
      <c r="T164" s="1">
        <v>0</v>
      </c>
      <c r="U164" s="1">
        <v>1</v>
      </c>
      <c r="V164" s="1" t="s">
        <v>301</v>
      </c>
    </row>
    <row r="165" spans="1:22">
      <c r="A165" t="s">
        <v>190</v>
      </c>
      <c r="B165" t="s">
        <v>57</v>
      </c>
      <c r="C165" t="s">
        <v>59</v>
      </c>
      <c r="D165" s="1">
        <v>0</v>
      </c>
      <c r="E165" s="1">
        <v>0</v>
      </c>
      <c r="F165" s="1">
        <v>0</v>
      </c>
      <c r="G165" s="1">
        <v>0</v>
      </c>
      <c r="H165" s="1">
        <v>0</v>
      </c>
      <c r="I165" s="1">
        <v>0</v>
      </c>
      <c r="J165" s="1">
        <v>0</v>
      </c>
      <c r="K165" s="1">
        <v>0</v>
      </c>
      <c r="L165" s="1">
        <v>0</v>
      </c>
      <c r="M165" s="1">
        <v>0</v>
      </c>
      <c r="N165" s="1">
        <v>0</v>
      </c>
      <c r="O165" s="1">
        <v>0</v>
      </c>
      <c r="P165" s="1">
        <v>0</v>
      </c>
      <c r="Q165" s="1">
        <v>0</v>
      </c>
      <c r="R165" s="1">
        <v>0</v>
      </c>
      <c r="S165" s="1">
        <v>0</v>
      </c>
      <c r="T165" s="1">
        <v>0</v>
      </c>
      <c r="U165" s="1">
        <v>0</v>
      </c>
      <c r="V165" s="1" t="s">
        <v>301</v>
      </c>
    </row>
    <row r="166" spans="1:22">
      <c r="A166" t="s">
        <v>190</v>
      </c>
      <c r="B166" t="s">
        <v>57</v>
      </c>
      <c r="C166" t="s">
        <v>60</v>
      </c>
      <c r="D166" s="1">
        <v>0</v>
      </c>
      <c r="E166" s="1">
        <v>0</v>
      </c>
      <c r="F166" s="1">
        <v>0</v>
      </c>
      <c r="G166" s="1">
        <v>0</v>
      </c>
      <c r="H166" s="1">
        <v>0</v>
      </c>
      <c r="I166" s="1">
        <v>0</v>
      </c>
      <c r="J166" s="1">
        <v>0</v>
      </c>
      <c r="K166" s="1">
        <v>0</v>
      </c>
      <c r="L166" s="1">
        <v>0</v>
      </c>
      <c r="M166" s="1">
        <v>0</v>
      </c>
      <c r="N166" s="1">
        <v>0</v>
      </c>
      <c r="O166" s="1">
        <v>0</v>
      </c>
      <c r="P166" s="1">
        <v>0</v>
      </c>
      <c r="Q166" s="1">
        <v>0</v>
      </c>
      <c r="R166" s="1">
        <v>0</v>
      </c>
      <c r="S166" s="1">
        <v>0</v>
      </c>
      <c r="T166" s="1">
        <v>0</v>
      </c>
      <c r="U166" s="1">
        <v>0</v>
      </c>
      <c r="V166" s="1" t="s">
        <v>301</v>
      </c>
    </row>
    <row r="167" spans="1:22">
      <c r="A167" t="s">
        <v>190</v>
      </c>
      <c r="B167" t="s">
        <v>57</v>
      </c>
      <c r="C167" t="s">
        <v>61</v>
      </c>
      <c r="D167" s="1">
        <v>0</v>
      </c>
      <c r="E167" s="1">
        <v>0</v>
      </c>
      <c r="F167" s="1">
        <v>0</v>
      </c>
      <c r="G167" s="1">
        <v>0</v>
      </c>
      <c r="H167" s="1">
        <v>0</v>
      </c>
      <c r="I167" s="1">
        <v>0</v>
      </c>
      <c r="J167" s="1">
        <v>0</v>
      </c>
      <c r="K167" s="1">
        <v>0</v>
      </c>
      <c r="L167" s="1">
        <v>0</v>
      </c>
      <c r="M167" s="1">
        <v>0</v>
      </c>
      <c r="N167" s="1">
        <v>0</v>
      </c>
      <c r="O167" s="1">
        <v>0</v>
      </c>
      <c r="P167" s="1">
        <v>0</v>
      </c>
      <c r="Q167" s="1">
        <v>0</v>
      </c>
      <c r="R167" s="1">
        <v>0</v>
      </c>
      <c r="S167" s="1">
        <v>0</v>
      </c>
      <c r="T167" s="1">
        <v>0</v>
      </c>
      <c r="U167" s="1">
        <v>0</v>
      </c>
      <c r="V167" s="1" t="s">
        <v>301</v>
      </c>
    </row>
    <row r="168" spans="1:22">
      <c r="A168" t="s">
        <v>190</v>
      </c>
      <c r="B168" t="s">
        <v>57</v>
      </c>
      <c r="C168" t="s">
        <v>62</v>
      </c>
      <c r="D168" s="1">
        <v>0</v>
      </c>
      <c r="E168" s="1">
        <v>0</v>
      </c>
      <c r="F168" s="1">
        <v>0</v>
      </c>
      <c r="G168" s="1">
        <v>0</v>
      </c>
      <c r="H168" s="1">
        <v>0</v>
      </c>
      <c r="I168" s="1">
        <v>0</v>
      </c>
      <c r="J168" s="1">
        <v>0</v>
      </c>
      <c r="K168" s="1">
        <v>0</v>
      </c>
      <c r="L168" s="1">
        <v>0</v>
      </c>
      <c r="M168" s="1">
        <v>0</v>
      </c>
      <c r="N168" s="1">
        <v>0</v>
      </c>
      <c r="O168" s="1">
        <v>0</v>
      </c>
      <c r="P168" s="1">
        <v>0</v>
      </c>
      <c r="Q168" s="1">
        <v>0</v>
      </c>
      <c r="R168" s="1">
        <v>0</v>
      </c>
      <c r="S168" s="1">
        <v>0</v>
      </c>
      <c r="T168" s="1">
        <v>0</v>
      </c>
      <c r="U168" s="1">
        <v>0</v>
      </c>
      <c r="V168" s="1" t="s">
        <v>301</v>
      </c>
    </row>
    <row r="169" spans="1:22">
      <c r="A169" t="s">
        <v>190</v>
      </c>
      <c r="B169" t="s">
        <v>57</v>
      </c>
      <c r="C169" t="s">
        <v>63</v>
      </c>
      <c r="D169" s="1">
        <v>0</v>
      </c>
      <c r="E169" s="1">
        <v>0</v>
      </c>
      <c r="F169" s="1">
        <v>0</v>
      </c>
      <c r="G169" s="1">
        <v>0</v>
      </c>
      <c r="H169" s="1">
        <v>0</v>
      </c>
      <c r="I169" s="1">
        <v>0</v>
      </c>
      <c r="J169" s="1">
        <v>0</v>
      </c>
      <c r="K169" s="1">
        <v>0</v>
      </c>
      <c r="L169" s="1">
        <v>0</v>
      </c>
      <c r="M169" s="1">
        <v>0</v>
      </c>
      <c r="N169" s="1">
        <v>0</v>
      </c>
      <c r="O169" s="1">
        <v>0</v>
      </c>
      <c r="P169" s="1">
        <v>0</v>
      </c>
      <c r="Q169" s="1">
        <v>0</v>
      </c>
      <c r="R169" s="1">
        <v>0</v>
      </c>
      <c r="S169" s="1">
        <v>0</v>
      </c>
      <c r="T169" s="1">
        <v>0</v>
      </c>
      <c r="U169" s="1">
        <v>0</v>
      </c>
      <c r="V169" s="1" t="s">
        <v>301</v>
      </c>
    </row>
    <row r="170" spans="1:22">
      <c r="A170" t="s">
        <v>190</v>
      </c>
      <c r="B170" t="s">
        <v>57</v>
      </c>
      <c r="C170" t="s">
        <v>64</v>
      </c>
      <c r="D170" s="1">
        <v>0</v>
      </c>
      <c r="E170" s="1">
        <v>0</v>
      </c>
      <c r="F170" s="1">
        <v>0</v>
      </c>
      <c r="G170" s="1">
        <v>0</v>
      </c>
      <c r="H170" s="1">
        <v>0</v>
      </c>
      <c r="I170" s="1">
        <v>0</v>
      </c>
      <c r="J170" s="1">
        <v>0</v>
      </c>
      <c r="K170" s="1">
        <v>0</v>
      </c>
      <c r="L170" s="1">
        <v>0</v>
      </c>
      <c r="M170" s="1">
        <v>0</v>
      </c>
      <c r="N170" s="1">
        <v>0</v>
      </c>
      <c r="O170" s="1">
        <v>0</v>
      </c>
      <c r="P170" s="1">
        <v>0</v>
      </c>
      <c r="Q170" s="1">
        <v>0</v>
      </c>
      <c r="R170" s="1">
        <v>0</v>
      </c>
      <c r="S170" s="1">
        <v>0</v>
      </c>
      <c r="T170" s="1">
        <v>0</v>
      </c>
      <c r="U170" s="1">
        <v>0</v>
      </c>
      <c r="V170" s="1" t="s">
        <v>301</v>
      </c>
    </row>
    <row r="171" spans="1:22">
      <c r="A171" t="s">
        <v>190</v>
      </c>
      <c r="B171" t="s">
        <v>57</v>
      </c>
      <c r="C171" t="s">
        <v>65</v>
      </c>
      <c r="D171" s="1">
        <v>0</v>
      </c>
      <c r="E171" s="1">
        <v>0</v>
      </c>
      <c r="F171" s="1">
        <v>0</v>
      </c>
      <c r="G171" s="1">
        <v>0</v>
      </c>
      <c r="H171" s="1">
        <v>0</v>
      </c>
      <c r="I171" s="1">
        <v>0</v>
      </c>
      <c r="J171" s="1">
        <v>0</v>
      </c>
      <c r="K171" s="1">
        <v>0</v>
      </c>
      <c r="L171" s="1">
        <v>0</v>
      </c>
      <c r="M171" s="1">
        <v>0</v>
      </c>
      <c r="N171" s="1">
        <v>0</v>
      </c>
      <c r="O171" s="1">
        <v>0</v>
      </c>
      <c r="P171" s="1">
        <v>0</v>
      </c>
      <c r="Q171" s="1">
        <v>0</v>
      </c>
      <c r="R171" s="1">
        <v>0</v>
      </c>
      <c r="S171" s="1">
        <v>0</v>
      </c>
      <c r="T171" s="1">
        <v>0</v>
      </c>
      <c r="U171" s="1">
        <v>0</v>
      </c>
      <c r="V171" s="1" t="s">
        <v>301</v>
      </c>
    </row>
    <row r="172" spans="1:22">
      <c r="A172" t="s">
        <v>191</v>
      </c>
      <c r="B172" t="s">
        <v>57</v>
      </c>
      <c r="C172" t="s">
        <v>58</v>
      </c>
      <c r="D172" s="1">
        <v>0</v>
      </c>
      <c r="E172" s="1">
        <v>0</v>
      </c>
      <c r="F172" s="1">
        <v>0</v>
      </c>
      <c r="G172" s="1">
        <v>0</v>
      </c>
      <c r="H172" s="1">
        <v>0</v>
      </c>
      <c r="I172" s="1">
        <v>0</v>
      </c>
      <c r="J172" s="1">
        <v>0</v>
      </c>
      <c r="K172" s="1">
        <v>0</v>
      </c>
      <c r="L172" s="1">
        <v>0</v>
      </c>
      <c r="M172" s="1">
        <v>0</v>
      </c>
      <c r="N172" s="1">
        <v>0</v>
      </c>
      <c r="O172" s="1">
        <v>0</v>
      </c>
      <c r="P172" s="1">
        <v>0</v>
      </c>
      <c r="Q172" s="1">
        <v>0</v>
      </c>
      <c r="R172" s="1">
        <v>0</v>
      </c>
      <c r="S172" s="1">
        <v>0</v>
      </c>
      <c r="T172" s="1">
        <v>0</v>
      </c>
      <c r="U172" s="1">
        <v>1</v>
      </c>
      <c r="V172" s="1" t="s">
        <v>301</v>
      </c>
    </row>
    <row r="173" spans="1:22">
      <c r="A173" t="s">
        <v>191</v>
      </c>
      <c r="B173" t="s">
        <v>57</v>
      </c>
      <c r="C173" t="s">
        <v>59</v>
      </c>
      <c r="D173" s="1">
        <v>0</v>
      </c>
      <c r="E173" s="1">
        <v>0</v>
      </c>
      <c r="F173" s="1">
        <v>0</v>
      </c>
      <c r="G173" s="1">
        <v>0</v>
      </c>
      <c r="H173" s="1">
        <v>0</v>
      </c>
      <c r="I173" s="1">
        <v>0</v>
      </c>
      <c r="J173" s="1">
        <v>0</v>
      </c>
      <c r="K173" s="1">
        <v>0</v>
      </c>
      <c r="L173" s="1">
        <v>0</v>
      </c>
      <c r="M173" s="1">
        <v>0</v>
      </c>
      <c r="N173" s="1">
        <v>0</v>
      </c>
      <c r="O173" s="1">
        <v>0</v>
      </c>
      <c r="P173" s="1">
        <v>0</v>
      </c>
      <c r="Q173" s="1">
        <v>0</v>
      </c>
      <c r="R173" s="1">
        <v>0</v>
      </c>
      <c r="S173" s="1">
        <v>0</v>
      </c>
      <c r="T173" s="1">
        <v>0</v>
      </c>
      <c r="U173" s="1">
        <v>0</v>
      </c>
      <c r="V173" s="1" t="s">
        <v>301</v>
      </c>
    </row>
    <row r="174" spans="1:22">
      <c r="A174" t="s">
        <v>191</v>
      </c>
      <c r="B174" t="s">
        <v>57</v>
      </c>
      <c r="C174" t="s">
        <v>60</v>
      </c>
      <c r="D174" s="1">
        <v>0</v>
      </c>
      <c r="E174" s="1">
        <v>0</v>
      </c>
      <c r="F174" s="1">
        <v>0</v>
      </c>
      <c r="G174" s="1">
        <v>0</v>
      </c>
      <c r="H174" s="1">
        <v>0</v>
      </c>
      <c r="I174" s="1">
        <v>0</v>
      </c>
      <c r="J174" s="1">
        <v>0</v>
      </c>
      <c r="K174" s="1">
        <v>0</v>
      </c>
      <c r="L174" s="1">
        <v>0</v>
      </c>
      <c r="M174" s="1">
        <v>0</v>
      </c>
      <c r="N174" s="1">
        <v>0</v>
      </c>
      <c r="O174" s="1">
        <v>0</v>
      </c>
      <c r="P174" s="1">
        <v>0</v>
      </c>
      <c r="Q174" s="1">
        <v>0</v>
      </c>
      <c r="R174" s="1">
        <v>0</v>
      </c>
      <c r="S174" s="1">
        <v>0</v>
      </c>
      <c r="T174" s="1">
        <v>0</v>
      </c>
      <c r="U174" s="1">
        <v>0</v>
      </c>
      <c r="V174" s="1" t="s">
        <v>301</v>
      </c>
    </row>
    <row r="175" spans="1:22">
      <c r="A175" t="s">
        <v>191</v>
      </c>
      <c r="B175" t="s">
        <v>57</v>
      </c>
      <c r="C175" t="s">
        <v>61</v>
      </c>
      <c r="D175" s="1">
        <v>0</v>
      </c>
      <c r="E175" s="1">
        <v>0</v>
      </c>
      <c r="F175" s="1">
        <v>0</v>
      </c>
      <c r="G175" s="1">
        <v>0</v>
      </c>
      <c r="H175" s="1">
        <v>0</v>
      </c>
      <c r="I175" s="1">
        <v>0</v>
      </c>
      <c r="J175" s="1">
        <v>0</v>
      </c>
      <c r="K175" s="1">
        <v>0</v>
      </c>
      <c r="L175" s="1">
        <v>0</v>
      </c>
      <c r="M175" s="1">
        <v>0</v>
      </c>
      <c r="N175" s="1">
        <v>0</v>
      </c>
      <c r="O175" s="1">
        <v>0</v>
      </c>
      <c r="P175" s="1">
        <v>0</v>
      </c>
      <c r="Q175" s="1">
        <v>0</v>
      </c>
      <c r="R175" s="1">
        <v>0</v>
      </c>
      <c r="S175" s="1">
        <v>0</v>
      </c>
      <c r="T175" s="1">
        <v>0</v>
      </c>
      <c r="U175" s="1">
        <v>0</v>
      </c>
      <c r="V175" s="1" t="s">
        <v>301</v>
      </c>
    </row>
    <row r="176" spans="1:22">
      <c r="A176" t="s">
        <v>191</v>
      </c>
      <c r="B176" t="s">
        <v>57</v>
      </c>
      <c r="C176" t="s">
        <v>62</v>
      </c>
      <c r="D176" s="1">
        <v>0</v>
      </c>
      <c r="E176" s="1">
        <v>0</v>
      </c>
      <c r="F176" s="1">
        <v>0</v>
      </c>
      <c r="G176" s="1">
        <v>0</v>
      </c>
      <c r="H176" s="1">
        <v>0</v>
      </c>
      <c r="I176" s="1">
        <v>0</v>
      </c>
      <c r="J176" s="1">
        <v>0</v>
      </c>
      <c r="K176" s="1">
        <v>0</v>
      </c>
      <c r="L176" s="1">
        <v>0</v>
      </c>
      <c r="M176" s="1">
        <v>0</v>
      </c>
      <c r="N176" s="1">
        <v>0</v>
      </c>
      <c r="O176" s="1">
        <v>0</v>
      </c>
      <c r="P176" s="1">
        <v>0</v>
      </c>
      <c r="Q176" s="1">
        <v>0</v>
      </c>
      <c r="R176" s="1">
        <v>0</v>
      </c>
      <c r="S176" s="1">
        <v>0</v>
      </c>
      <c r="T176" s="1">
        <v>0</v>
      </c>
      <c r="U176" s="1">
        <v>0</v>
      </c>
      <c r="V176" s="1" t="s">
        <v>301</v>
      </c>
    </row>
    <row r="177" spans="1:22">
      <c r="A177" t="s">
        <v>191</v>
      </c>
      <c r="B177" t="s">
        <v>57</v>
      </c>
      <c r="C177" t="s">
        <v>63</v>
      </c>
      <c r="D177" s="1">
        <v>0</v>
      </c>
      <c r="E177" s="1">
        <v>0</v>
      </c>
      <c r="F177" s="1">
        <v>0</v>
      </c>
      <c r="G177" s="1">
        <v>0</v>
      </c>
      <c r="H177" s="1">
        <v>0</v>
      </c>
      <c r="I177" s="1">
        <v>0</v>
      </c>
      <c r="J177" s="1">
        <v>0</v>
      </c>
      <c r="K177" s="1">
        <v>0</v>
      </c>
      <c r="L177" s="1">
        <v>0</v>
      </c>
      <c r="M177" s="1">
        <v>0</v>
      </c>
      <c r="N177" s="1">
        <v>0</v>
      </c>
      <c r="O177" s="1">
        <v>0</v>
      </c>
      <c r="P177" s="1">
        <v>0</v>
      </c>
      <c r="Q177" s="1">
        <v>0</v>
      </c>
      <c r="R177" s="1">
        <v>0</v>
      </c>
      <c r="S177" s="1">
        <v>0</v>
      </c>
      <c r="T177" s="1">
        <v>0</v>
      </c>
      <c r="U177" s="1">
        <v>0</v>
      </c>
      <c r="V177" s="1" t="s">
        <v>301</v>
      </c>
    </row>
    <row r="178" spans="1:22">
      <c r="A178" t="s">
        <v>191</v>
      </c>
      <c r="B178" t="s">
        <v>57</v>
      </c>
      <c r="C178" t="s">
        <v>64</v>
      </c>
      <c r="D178" s="1">
        <v>0</v>
      </c>
      <c r="E178" s="1">
        <v>0</v>
      </c>
      <c r="F178" s="1">
        <v>0</v>
      </c>
      <c r="G178" s="1">
        <v>0</v>
      </c>
      <c r="H178" s="1">
        <v>0</v>
      </c>
      <c r="I178" s="1">
        <v>0</v>
      </c>
      <c r="J178" s="1">
        <v>0</v>
      </c>
      <c r="K178" s="1">
        <v>0</v>
      </c>
      <c r="L178" s="1">
        <v>0</v>
      </c>
      <c r="M178" s="1">
        <v>0</v>
      </c>
      <c r="N178" s="1">
        <v>0</v>
      </c>
      <c r="O178" s="1">
        <v>0</v>
      </c>
      <c r="P178" s="1">
        <v>0</v>
      </c>
      <c r="Q178" s="1">
        <v>0</v>
      </c>
      <c r="R178" s="1">
        <v>0</v>
      </c>
      <c r="S178" s="1">
        <v>0</v>
      </c>
      <c r="T178" s="1">
        <v>0</v>
      </c>
      <c r="U178" s="1">
        <v>0</v>
      </c>
      <c r="V178" s="1" t="s">
        <v>301</v>
      </c>
    </row>
    <row r="179" spans="1:22">
      <c r="A179" t="s">
        <v>191</v>
      </c>
      <c r="B179" t="s">
        <v>57</v>
      </c>
      <c r="C179" t="s">
        <v>65</v>
      </c>
      <c r="D179" s="1">
        <v>0</v>
      </c>
      <c r="E179" s="1">
        <v>0</v>
      </c>
      <c r="F179" s="1">
        <v>0</v>
      </c>
      <c r="G179" s="1">
        <v>0</v>
      </c>
      <c r="H179" s="1">
        <v>0</v>
      </c>
      <c r="I179" s="1">
        <v>0</v>
      </c>
      <c r="J179" s="1">
        <v>0</v>
      </c>
      <c r="K179" s="1">
        <v>0</v>
      </c>
      <c r="L179" s="1">
        <v>0</v>
      </c>
      <c r="M179" s="1">
        <v>0</v>
      </c>
      <c r="N179" s="1">
        <v>0</v>
      </c>
      <c r="O179" s="1">
        <v>0</v>
      </c>
      <c r="P179" s="1">
        <v>0</v>
      </c>
      <c r="Q179" s="1">
        <v>0</v>
      </c>
      <c r="R179" s="1">
        <v>0</v>
      </c>
      <c r="S179" s="1">
        <v>0</v>
      </c>
      <c r="T179" s="1">
        <v>0</v>
      </c>
      <c r="U179" s="1">
        <v>0</v>
      </c>
      <c r="V179" s="1" t="s">
        <v>301</v>
      </c>
    </row>
    <row r="180" spans="1:22">
      <c r="A180" t="s">
        <v>192</v>
      </c>
      <c r="B180" t="s">
        <v>57</v>
      </c>
      <c r="C180" t="s">
        <v>58</v>
      </c>
      <c r="D180" s="1">
        <v>0</v>
      </c>
      <c r="E180" s="1">
        <v>0</v>
      </c>
      <c r="F180" s="1">
        <v>0</v>
      </c>
      <c r="G180" s="1">
        <v>0</v>
      </c>
      <c r="H180" s="1">
        <v>0</v>
      </c>
      <c r="I180" s="1">
        <v>0</v>
      </c>
      <c r="J180" s="1">
        <v>0</v>
      </c>
      <c r="K180" s="1">
        <v>0</v>
      </c>
      <c r="L180" s="1">
        <v>0</v>
      </c>
      <c r="M180" s="1">
        <v>0</v>
      </c>
      <c r="N180" s="1">
        <v>0</v>
      </c>
      <c r="O180" s="1">
        <v>0</v>
      </c>
      <c r="P180" s="1">
        <v>0</v>
      </c>
      <c r="Q180" s="1">
        <v>0</v>
      </c>
      <c r="R180" s="1">
        <v>0</v>
      </c>
      <c r="S180" s="1">
        <v>0</v>
      </c>
      <c r="T180" s="1">
        <v>0</v>
      </c>
      <c r="U180" s="1">
        <v>1</v>
      </c>
      <c r="V180" s="1" t="s">
        <v>301</v>
      </c>
    </row>
    <row r="181" spans="1:22">
      <c r="A181" t="s">
        <v>192</v>
      </c>
      <c r="B181" t="s">
        <v>57</v>
      </c>
      <c r="C181" t="s">
        <v>59</v>
      </c>
      <c r="D181" s="1">
        <v>0</v>
      </c>
      <c r="E181" s="1">
        <v>0</v>
      </c>
      <c r="F181" s="1">
        <v>0</v>
      </c>
      <c r="G181" s="1">
        <v>0</v>
      </c>
      <c r="H181" s="1">
        <v>0</v>
      </c>
      <c r="I181" s="1">
        <v>0</v>
      </c>
      <c r="J181" s="1">
        <v>0</v>
      </c>
      <c r="K181" s="1">
        <v>0</v>
      </c>
      <c r="L181" s="1">
        <v>0</v>
      </c>
      <c r="M181" s="1">
        <v>0</v>
      </c>
      <c r="N181" s="1">
        <v>0</v>
      </c>
      <c r="O181" s="1">
        <v>0</v>
      </c>
      <c r="P181" s="1">
        <v>0</v>
      </c>
      <c r="Q181" s="1">
        <v>0</v>
      </c>
      <c r="R181" s="1">
        <v>0</v>
      </c>
      <c r="S181" s="1">
        <v>0</v>
      </c>
      <c r="T181" s="1">
        <v>0</v>
      </c>
      <c r="U181" s="1">
        <v>0</v>
      </c>
      <c r="V181" s="1" t="s">
        <v>301</v>
      </c>
    </row>
    <row r="182" spans="1:22">
      <c r="A182" t="s">
        <v>192</v>
      </c>
      <c r="B182" t="s">
        <v>57</v>
      </c>
      <c r="C182" t="s">
        <v>60</v>
      </c>
      <c r="D182" s="1">
        <v>0</v>
      </c>
      <c r="E182" s="1">
        <v>0</v>
      </c>
      <c r="F182" s="1">
        <v>0</v>
      </c>
      <c r="G182" s="1">
        <v>0</v>
      </c>
      <c r="H182" s="1">
        <v>0</v>
      </c>
      <c r="I182" s="1">
        <v>0</v>
      </c>
      <c r="J182" s="1">
        <v>0</v>
      </c>
      <c r="K182" s="1">
        <v>0</v>
      </c>
      <c r="L182" s="1">
        <v>0</v>
      </c>
      <c r="M182" s="1">
        <v>0</v>
      </c>
      <c r="N182" s="1">
        <v>0</v>
      </c>
      <c r="O182" s="1">
        <v>0</v>
      </c>
      <c r="P182" s="1">
        <v>0</v>
      </c>
      <c r="Q182" s="1">
        <v>0</v>
      </c>
      <c r="R182" s="1">
        <v>0</v>
      </c>
      <c r="S182" s="1">
        <v>0</v>
      </c>
      <c r="T182" s="1">
        <v>0</v>
      </c>
      <c r="U182" s="1">
        <v>0</v>
      </c>
      <c r="V182" s="1" t="s">
        <v>301</v>
      </c>
    </row>
    <row r="183" spans="1:22">
      <c r="A183" t="s">
        <v>192</v>
      </c>
      <c r="B183" t="s">
        <v>57</v>
      </c>
      <c r="C183" t="s">
        <v>61</v>
      </c>
      <c r="D183" s="1">
        <v>0</v>
      </c>
      <c r="E183" s="1">
        <v>0</v>
      </c>
      <c r="F183" s="1">
        <v>0</v>
      </c>
      <c r="G183" s="1">
        <v>0</v>
      </c>
      <c r="H183" s="1">
        <v>0</v>
      </c>
      <c r="I183" s="1">
        <v>0</v>
      </c>
      <c r="J183" s="1">
        <v>0</v>
      </c>
      <c r="K183" s="1">
        <v>0</v>
      </c>
      <c r="L183" s="1">
        <v>0</v>
      </c>
      <c r="M183" s="1">
        <v>0</v>
      </c>
      <c r="N183" s="1">
        <v>0</v>
      </c>
      <c r="O183" s="1">
        <v>0</v>
      </c>
      <c r="P183" s="1">
        <v>0</v>
      </c>
      <c r="Q183" s="1">
        <v>0</v>
      </c>
      <c r="R183" s="1">
        <v>0</v>
      </c>
      <c r="S183" s="1">
        <v>0</v>
      </c>
      <c r="T183" s="1">
        <v>0</v>
      </c>
      <c r="U183" s="1">
        <v>0</v>
      </c>
      <c r="V183" s="1" t="s">
        <v>301</v>
      </c>
    </row>
    <row r="184" spans="1:22">
      <c r="A184" t="s">
        <v>192</v>
      </c>
      <c r="B184" t="s">
        <v>57</v>
      </c>
      <c r="C184" t="s">
        <v>62</v>
      </c>
      <c r="D184" s="1">
        <v>0</v>
      </c>
      <c r="E184" s="1">
        <v>0</v>
      </c>
      <c r="F184" s="1">
        <v>0</v>
      </c>
      <c r="G184" s="1">
        <v>0</v>
      </c>
      <c r="H184" s="1">
        <v>0</v>
      </c>
      <c r="I184" s="1">
        <v>0</v>
      </c>
      <c r="J184" s="1">
        <v>0</v>
      </c>
      <c r="K184" s="1">
        <v>0</v>
      </c>
      <c r="L184" s="1">
        <v>0</v>
      </c>
      <c r="M184" s="1">
        <v>0</v>
      </c>
      <c r="N184" s="1">
        <v>0</v>
      </c>
      <c r="O184" s="1">
        <v>0</v>
      </c>
      <c r="P184" s="1">
        <v>0</v>
      </c>
      <c r="Q184" s="1">
        <v>0</v>
      </c>
      <c r="R184" s="1">
        <v>0</v>
      </c>
      <c r="S184" s="1">
        <v>0</v>
      </c>
      <c r="T184" s="1">
        <v>0</v>
      </c>
      <c r="U184" s="1">
        <v>0</v>
      </c>
      <c r="V184" s="1" t="s">
        <v>301</v>
      </c>
    </row>
    <row r="185" spans="1:22">
      <c r="A185" t="s">
        <v>192</v>
      </c>
      <c r="B185" t="s">
        <v>57</v>
      </c>
      <c r="C185" t="s">
        <v>63</v>
      </c>
      <c r="D185" s="1">
        <v>0</v>
      </c>
      <c r="E185" s="1">
        <v>0</v>
      </c>
      <c r="F185" s="1">
        <v>0</v>
      </c>
      <c r="G185" s="1">
        <v>0</v>
      </c>
      <c r="H185" s="1">
        <v>0</v>
      </c>
      <c r="I185" s="1">
        <v>0</v>
      </c>
      <c r="J185" s="1">
        <v>0</v>
      </c>
      <c r="K185" s="1">
        <v>0</v>
      </c>
      <c r="L185" s="1">
        <v>0</v>
      </c>
      <c r="M185" s="1">
        <v>0</v>
      </c>
      <c r="N185" s="1">
        <v>0</v>
      </c>
      <c r="O185" s="1">
        <v>0</v>
      </c>
      <c r="P185" s="1">
        <v>0</v>
      </c>
      <c r="Q185" s="1">
        <v>0</v>
      </c>
      <c r="R185" s="1">
        <v>0</v>
      </c>
      <c r="S185" s="1">
        <v>0</v>
      </c>
      <c r="T185" s="1">
        <v>0</v>
      </c>
      <c r="U185" s="1">
        <v>0</v>
      </c>
      <c r="V185" s="1" t="s">
        <v>301</v>
      </c>
    </row>
    <row r="186" spans="1:22">
      <c r="A186" t="s">
        <v>192</v>
      </c>
      <c r="B186" t="s">
        <v>57</v>
      </c>
      <c r="C186" t="s">
        <v>64</v>
      </c>
      <c r="D186" s="1">
        <v>0</v>
      </c>
      <c r="E186" s="1">
        <v>0</v>
      </c>
      <c r="F186" s="1">
        <v>0</v>
      </c>
      <c r="G186" s="1">
        <v>0</v>
      </c>
      <c r="H186" s="1">
        <v>0</v>
      </c>
      <c r="I186" s="1">
        <v>0</v>
      </c>
      <c r="J186" s="1">
        <v>0</v>
      </c>
      <c r="K186" s="1">
        <v>0</v>
      </c>
      <c r="L186" s="1">
        <v>0</v>
      </c>
      <c r="M186" s="1">
        <v>0</v>
      </c>
      <c r="N186" s="1">
        <v>0</v>
      </c>
      <c r="O186" s="1">
        <v>0</v>
      </c>
      <c r="P186" s="1">
        <v>0</v>
      </c>
      <c r="Q186" s="1">
        <v>0</v>
      </c>
      <c r="R186" s="1">
        <v>0</v>
      </c>
      <c r="S186" s="1">
        <v>0</v>
      </c>
      <c r="T186" s="1">
        <v>0</v>
      </c>
      <c r="U186" s="1">
        <v>0</v>
      </c>
      <c r="V186" s="1" t="s">
        <v>301</v>
      </c>
    </row>
    <row r="187" spans="1:22">
      <c r="A187" t="s">
        <v>192</v>
      </c>
      <c r="B187" t="s">
        <v>57</v>
      </c>
      <c r="C187" t="s">
        <v>65</v>
      </c>
      <c r="D187" s="1">
        <v>0</v>
      </c>
      <c r="E187" s="1">
        <v>0</v>
      </c>
      <c r="F187" s="1">
        <v>0</v>
      </c>
      <c r="G187" s="1">
        <v>0</v>
      </c>
      <c r="H187" s="1">
        <v>0</v>
      </c>
      <c r="I187" s="1">
        <v>0</v>
      </c>
      <c r="J187" s="1">
        <v>0</v>
      </c>
      <c r="K187" s="1">
        <v>0</v>
      </c>
      <c r="L187" s="1">
        <v>0</v>
      </c>
      <c r="M187" s="1">
        <v>0</v>
      </c>
      <c r="N187" s="1">
        <v>0</v>
      </c>
      <c r="O187" s="1">
        <v>0</v>
      </c>
      <c r="P187" s="1">
        <v>0</v>
      </c>
      <c r="Q187" s="1">
        <v>0</v>
      </c>
      <c r="R187" s="1">
        <v>0</v>
      </c>
      <c r="S187" s="1">
        <v>0</v>
      </c>
      <c r="T187" s="1">
        <v>0</v>
      </c>
      <c r="U187" s="1">
        <v>0</v>
      </c>
      <c r="V187" s="1" t="s">
        <v>301</v>
      </c>
    </row>
    <row r="188" spans="1:22">
      <c r="A188" t="s">
        <v>193</v>
      </c>
      <c r="B188" t="s">
        <v>57</v>
      </c>
      <c r="C188" t="s">
        <v>58</v>
      </c>
      <c r="D188" s="1">
        <v>0</v>
      </c>
      <c r="E188" s="1">
        <v>0</v>
      </c>
      <c r="F188" s="1">
        <v>0</v>
      </c>
      <c r="G188" s="1">
        <v>0</v>
      </c>
      <c r="H188" s="1">
        <v>0</v>
      </c>
      <c r="I188" s="1">
        <v>0</v>
      </c>
      <c r="J188" s="1">
        <v>0</v>
      </c>
      <c r="K188" s="1">
        <v>0</v>
      </c>
      <c r="L188" s="1">
        <v>0</v>
      </c>
      <c r="M188" s="1">
        <v>0</v>
      </c>
      <c r="N188" s="1">
        <v>0</v>
      </c>
      <c r="O188" s="1">
        <v>0</v>
      </c>
      <c r="P188" s="1">
        <v>0</v>
      </c>
      <c r="Q188" s="1">
        <v>0</v>
      </c>
      <c r="R188" s="1">
        <v>0</v>
      </c>
      <c r="S188" s="1">
        <v>0</v>
      </c>
      <c r="T188" s="1">
        <v>0</v>
      </c>
      <c r="U188" s="1">
        <v>1</v>
      </c>
      <c r="V188" s="1" t="s">
        <v>301</v>
      </c>
    </row>
    <row r="189" spans="1:22">
      <c r="A189" t="s">
        <v>193</v>
      </c>
      <c r="B189" t="s">
        <v>57</v>
      </c>
      <c r="C189" t="s">
        <v>59</v>
      </c>
      <c r="D189" s="1">
        <v>0</v>
      </c>
      <c r="E189" s="1">
        <v>0</v>
      </c>
      <c r="F189" s="1">
        <v>0</v>
      </c>
      <c r="G189" s="1">
        <v>0</v>
      </c>
      <c r="H189" s="1">
        <v>0</v>
      </c>
      <c r="I189" s="1">
        <v>0</v>
      </c>
      <c r="J189" s="1">
        <v>0</v>
      </c>
      <c r="K189" s="1">
        <v>0</v>
      </c>
      <c r="L189" s="1">
        <v>0</v>
      </c>
      <c r="M189" s="1">
        <v>0</v>
      </c>
      <c r="N189" s="1">
        <v>0</v>
      </c>
      <c r="O189" s="1">
        <v>0</v>
      </c>
      <c r="P189" s="1">
        <v>0</v>
      </c>
      <c r="Q189" s="1">
        <v>0</v>
      </c>
      <c r="R189" s="1">
        <v>0</v>
      </c>
      <c r="S189" s="1">
        <v>0</v>
      </c>
      <c r="T189" s="1">
        <v>0</v>
      </c>
      <c r="U189" s="1">
        <v>0</v>
      </c>
      <c r="V189" s="1" t="s">
        <v>301</v>
      </c>
    </row>
    <row r="190" spans="1:22">
      <c r="A190" t="s">
        <v>193</v>
      </c>
      <c r="B190" t="s">
        <v>57</v>
      </c>
      <c r="C190" t="s">
        <v>60</v>
      </c>
      <c r="D190" s="1">
        <v>0</v>
      </c>
      <c r="E190" s="1">
        <v>0</v>
      </c>
      <c r="F190" s="1">
        <v>0</v>
      </c>
      <c r="G190" s="1">
        <v>0</v>
      </c>
      <c r="H190" s="1">
        <v>0</v>
      </c>
      <c r="I190" s="1">
        <v>0</v>
      </c>
      <c r="J190" s="1">
        <v>0</v>
      </c>
      <c r="K190" s="1">
        <v>0</v>
      </c>
      <c r="L190" s="1">
        <v>0</v>
      </c>
      <c r="M190" s="1">
        <v>0</v>
      </c>
      <c r="N190" s="1">
        <v>0</v>
      </c>
      <c r="O190" s="1">
        <v>0</v>
      </c>
      <c r="P190" s="1">
        <v>0</v>
      </c>
      <c r="Q190" s="1">
        <v>0</v>
      </c>
      <c r="R190" s="1">
        <v>0</v>
      </c>
      <c r="S190" s="1">
        <v>0</v>
      </c>
      <c r="T190" s="1">
        <v>0</v>
      </c>
      <c r="U190" s="1">
        <v>0</v>
      </c>
      <c r="V190" s="1" t="s">
        <v>301</v>
      </c>
    </row>
    <row r="191" spans="1:22">
      <c r="A191" t="s">
        <v>193</v>
      </c>
      <c r="B191" t="s">
        <v>57</v>
      </c>
      <c r="C191" t="s">
        <v>61</v>
      </c>
      <c r="D191" s="1">
        <v>0</v>
      </c>
      <c r="E191" s="1">
        <v>0</v>
      </c>
      <c r="F191" s="1">
        <v>0</v>
      </c>
      <c r="G191" s="1">
        <v>0</v>
      </c>
      <c r="H191" s="1">
        <v>0</v>
      </c>
      <c r="I191" s="1">
        <v>0</v>
      </c>
      <c r="J191" s="1">
        <v>0</v>
      </c>
      <c r="K191" s="1">
        <v>0</v>
      </c>
      <c r="L191" s="1">
        <v>0</v>
      </c>
      <c r="M191" s="1">
        <v>0</v>
      </c>
      <c r="N191" s="1">
        <v>0</v>
      </c>
      <c r="O191" s="1">
        <v>0</v>
      </c>
      <c r="P191" s="1">
        <v>0</v>
      </c>
      <c r="Q191" s="1">
        <v>0</v>
      </c>
      <c r="R191" s="1">
        <v>0</v>
      </c>
      <c r="S191" s="1">
        <v>0</v>
      </c>
      <c r="T191" s="1">
        <v>0</v>
      </c>
      <c r="U191" s="1">
        <v>0</v>
      </c>
      <c r="V191" s="1" t="s">
        <v>301</v>
      </c>
    </row>
    <row r="192" spans="1:22">
      <c r="A192" t="s">
        <v>193</v>
      </c>
      <c r="B192" t="s">
        <v>57</v>
      </c>
      <c r="C192" t="s">
        <v>62</v>
      </c>
      <c r="D192" s="1">
        <v>0</v>
      </c>
      <c r="E192" s="1">
        <v>0</v>
      </c>
      <c r="F192" s="1">
        <v>0</v>
      </c>
      <c r="G192" s="1">
        <v>0</v>
      </c>
      <c r="H192" s="1">
        <v>0</v>
      </c>
      <c r="I192" s="1">
        <v>0</v>
      </c>
      <c r="J192" s="1">
        <v>0</v>
      </c>
      <c r="K192" s="1">
        <v>0</v>
      </c>
      <c r="L192" s="1">
        <v>0</v>
      </c>
      <c r="M192" s="1">
        <v>0</v>
      </c>
      <c r="N192" s="1">
        <v>0</v>
      </c>
      <c r="O192" s="1">
        <v>0</v>
      </c>
      <c r="P192" s="1">
        <v>0</v>
      </c>
      <c r="Q192" s="1">
        <v>0</v>
      </c>
      <c r="R192" s="1">
        <v>0</v>
      </c>
      <c r="S192" s="1">
        <v>0</v>
      </c>
      <c r="T192" s="1">
        <v>0</v>
      </c>
      <c r="U192" s="1">
        <v>0</v>
      </c>
      <c r="V192" s="1" t="s">
        <v>301</v>
      </c>
    </row>
    <row r="193" spans="1:22">
      <c r="A193" t="s">
        <v>193</v>
      </c>
      <c r="B193" t="s">
        <v>57</v>
      </c>
      <c r="C193" t="s">
        <v>63</v>
      </c>
      <c r="D193" s="1">
        <v>0</v>
      </c>
      <c r="E193" s="1">
        <v>0</v>
      </c>
      <c r="F193" s="1">
        <v>0</v>
      </c>
      <c r="G193" s="1">
        <v>0</v>
      </c>
      <c r="H193" s="1">
        <v>0</v>
      </c>
      <c r="I193" s="1">
        <v>0</v>
      </c>
      <c r="J193" s="1">
        <v>0</v>
      </c>
      <c r="K193" s="1">
        <v>0</v>
      </c>
      <c r="L193" s="1">
        <v>0</v>
      </c>
      <c r="M193" s="1">
        <v>0</v>
      </c>
      <c r="N193" s="1">
        <v>0</v>
      </c>
      <c r="O193" s="1">
        <v>0</v>
      </c>
      <c r="P193" s="1">
        <v>0</v>
      </c>
      <c r="Q193" s="1">
        <v>0</v>
      </c>
      <c r="R193" s="1">
        <v>0</v>
      </c>
      <c r="S193" s="1">
        <v>0</v>
      </c>
      <c r="T193" s="1">
        <v>0</v>
      </c>
      <c r="U193" s="1">
        <v>0</v>
      </c>
      <c r="V193" s="1" t="s">
        <v>301</v>
      </c>
    </row>
    <row r="194" spans="1:22">
      <c r="A194" t="s">
        <v>193</v>
      </c>
      <c r="B194" t="s">
        <v>57</v>
      </c>
      <c r="C194" t="s">
        <v>64</v>
      </c>
      <c r="D194" s="1">
        <v>0</v>
      </c>
      <c r="E194" s="1">
        <v>0</v>
      </c>
      <c r="F194" s="1">
        <v>0</v>
      </c>
      <c r="G194" s="1">
        <v>0</v>
      </c>
      <c r="H194" s="1">
        <v>0</v>
      </c>
      <c r="I194" s="1">
        <v>0</v>
      </c>
      <c r="J194" s="1">
        <v>0</v>
      </c>
      <c r="K194" s="1">
        <v>0</v>
      </c>
      <c r="L194" s="1">
        <v>0</v>
      </c>
      <c r="M194" s="1">
        <v>0</v>
      </c>
      <c r="N194" s="1">
        <v>0</v>
      </c>
      <c r="O194" s="1">
        <v>0</v>
      </c>
      <c r="P194" s="1">
        <v>0</v>
      </c>
      <c r="Q194" s="1">
        <v>0</v>
      </c>
      <c r="R194" s="1">
        <v>0</v>
      </c>
      <c r="S194" s="1">
        <v>0</v>
      </c>
      <c r="T194" s="1">
        <v>0</v>
      </c>
      <c r="U194" s="1">
        <v>0</v>
      </c>
      <c r="V194" s="1" t="s">
        <v>301</v>
      </c>
    </row>
    <row r="195" spans="1:22">
      <c r="A195" t="s">
        <v>193</v>
      </c>
      <c r="B195" t="s">
        <v>57</v>
      </c>
      <c r="C195" t="s">
        <v>65</v>
      </c>
      <c r="D195" s="1">
        <v>0</v>
      </c>
      <c r="E195" s="1">
        <v>0</v>
      </c>
      <c r="F195" s="1">
        <v>0</v>
      </c>
      <c r="G195" s="1">
        <v>0</v>
      </c>
      <c r="H195" s="1">
        <v>0</v>
      </c>
      <c r="I195" s="1">
        <v>0</v>
      </c>
      <c r="J195" s="1">
        <v>0</v>
      </c>
      <c r="K195" s="1">
        <v>0</v>
      </c>
      <c r="L195" s="1">
        <v>0</v>
      </c>
      <c r="M195" s="1">
        <v>0</v>
      </c>
      <c r="N195" s="1">
        <v>0</v>
      </c>
      <c r="O195" s="1">
        <v>0</v>
      </c>
      <c r="P195" s="1">
        <v>0</v>
      </c>
      <c r="Q195" s="1">
        <v>0</v>
      </c>
      <c r="R195" s="1">
        <v>0</v>
      </c>
      <c r="S195" s="1">
        <v>0</v>
      </c>
      <c r="T195" s="1">
        <v>0</v>
      </c>
      <c r="U195" s="1">
        <v>0</v>
      </c>
      <c r="V195" s="1" t="s">
        <v>301</v>
      </c>
    </row>
    <row r="196" spans="1:22">
      <c r="A196" t="s">
        <v>194</v>
      </c>
      <c r="B196" t="s">
        <v>57</v>
      </c>
      <c r="C196" t="s">
        <v>58</v>
      </c>
      <c r="D196" s="1">
        <v>0</v>
      </c>
      <c r="E196" s="1">
        <v>0</v>
      </c>
      <c r="F196" s="1">
        <v>0</v>
      </c>
      <c r="G196" s="1">
        <v>0</v>
      </c>
      <c r="H196" s="1">
        <v>0</v>
      </c>
      <c r="I196" s="1">
        <v>0</v>
      </c>
      <c r="J196" s="1">
        <v>0</v>
      </c>
      <c r="K196" s="1">
        <v>0</v>
      </c>
      <c r="L196" s="1">
        <v>0</v>
      </c>
      <c r="M196" s="1">
        <v>0</v>
      </c>
      <c r="N196" s="1">
        <v>0</v>
      </c>
      <c r="O196" s="1">
        <v>0</v>
      </c>
      <c r="P196" s="1">
        <v>0</v>
      </c>
      <c r="Q196" s="1">
        <v>0</v>
      </c>
      <c r="R196" s="1">
        <v>0</v>
      </c>
      <c r="S196" s="1">
        <v>0</v>
      </c>
      <c r="T196" s="1">
        <v>0</v>
      </c>
      <c r="U196" s="1">
        <v>1</v>
      </c>
      <c r="V196" s="1" t="s">
        <v>301</v>
      </c>
    </row>
    <row r="197" spans="1:22">
      <c r="A197" t="s">
        <v>194</v>
      </c>
      <c r="B197" t="s">
        <v>57</v>
      </c>
      <c r="C197" t="s">
        <v>59</v>
      </c>
      <c r="D197" s="1">
        <v>0</v>
      </c>
      <c r="E197" s="1">
        <v>0</v>
      </c>
      <c r="F197" s="1">
        <v>0</v>
      </c>
      <c r="G197" s="1">
        <v>0</v>
      </c>
      <c r="H197" s="1">
        <v>0</v>
      </c>
      <c r="I197" s="1">
        <v>0</v>
      </c>
      <c r="J197" s="1">
        <v>0</v>
      </c>
      <c r="K197" s="1">
        <v>0</v>
      </c>
      <c r="L197" s="1">
        <v>0</v>
      </c>
      <c r="M197" s="1">
        <v>0</v>
      </c>
      <c r="N197" s="1">
        <v>0</v>
      </c>
      <c r="O197" s="1">
        <v>0</v>
      </c>
      <c r="P197" s="1">
        <v>0</v>
      </c>
      <c r="Q197" s="1">
        <v>0</v>
      </c>
      <c r="R197" s="1">
        <v>0</v>
      </c>
      <c r="S197" s="1">
        <v>0</v>
      </c>
      <c r="T197" s="1">
        <v>0</v>
      </c>
      <c r="U197" s="1">
        <v>0</v>
      </c>
      <c r="V197" s="1" t="s">
        <v>301</v>
      </c>
    </row>
    <row r="198" spans="1:22">
      <c r="A198" t="s">
        <v>194</v>
      </c>
      <c r="B198" t="s">
        <v>57</v>
      </c>
      <c r="C198" t="s">
        <v>60</v>
      </c>
      <c r="D198" s="1">
        <v>0</v>
      </c>
      <c r="E198" s="1">
        <v>0</v>
      </c>
      <c r="F198" s="1">
        <v>0</v>
      </c>
      <c r="G198" s="1">
        <v>0</v>
      </c>
      <c r="H198" s="1">
        <v>0</v>
      </c>
      <c r="I198" s="1">
        <v>0</v>
      </c>
      <c r="J198" s="1">
        <v>0</v>
      </c>
      <c r="K198" s="1">
        <v>0</v>
      </c>
      <c r="L198" s="1">
        <v>0</v>
      </c>
      <c r="M198" s="1">
        <v>0</v>
      </c>
      <c r="N198" s="1">
        <v>0</v>
      </c>
      <c r="O198" s="1">
        <v>0</v>
      </c>
      <c r="P198" s="1">
        <v>0</v>
      </c>
      <c r="Q198" s="1">
        <v>0</v>
      </c>
      <c r="R198" s="1">
        <v>0</v>
      </c>
      <c r="S198" s="1">
        <v>0</v>
      </c>
      <c r="T198" s="1">
        <v>0</v>
      </c>
      <c r="U198" s="1">
        <v>0</v>
      </c>
      <c r="V198" s="1" t="s">
        <v>301</v>
      </c>
    </row>
    <row r="199" spans="1:22">
      <c r="A199" t="s">
        <v>194</v>
      </c>
      <c r="B199" t="s">
        <v>57</v>
      </c>
      <c r="C199" t="s">
        <v>61</v>
      </c>
      <c r="D199" s="1">
        <v>0</v>
      </c>
      <c r="E199" s="1">
        <v>0</v>
      </c>
      <c r="F199" s="1">
        <v>0</v>
      </c>
      <c r="G199" s="1">
        <v>0</v>
      </c>
      <c r="H199" s="1">
        <v>0</v>
      </c>
      <c r="I199" s="1">
        <v>0</v>
      </c>
      <c r="J199" s="1">
        <v>0</v>
      </c>
      <c r="K199" s="1">
        <v>0</v>
      </c>
      <c r="L199" s="1">
        <v>0</v>
      </c>
      <c r="M199" s="1">
        <v>0</v>
      </c>
      <c r="N199" s="1">
        <v>0</v>
      </c>
      <c r="O199" s="1">
        <v>0</v>
      </c>
      <c r="P199" s="1">
        <v>0</v>
      </c>
      <c r="Q199" s="1">
        <v>0</v>
      </c>
      <c r="R199" s="1">
        <v>0</v>
      </c>
      <c r="S199" s="1">
        <v>0</v>
      </c>
      <c r="T199" s="1">
        <v>0</v>
      </c>
      <c r="U199" s="1">
        <v>0</v>
      </c>
      <c r="V199" s="1" t="s">
        <v>301</v>
      </c>
    </row>
    <row r="200" spans="1:22">
      <c r="A200" t="s">
        <v>194</v>
      </c>
      <c r="B200" t="s">
        <v>57</v>
      </c>
      <c r="C200" t="s">
        <v>62</v>
      </c>
      <c r="D200" s="1">
        <v>0</v>
      </c>
      <c r="E200" s="1">
        <v>0</v>
      </c>
      <c r="F200" s="1">
        <v>0</v>
      </c>
      <c r="G200" s="1">
        <v>0</v>
      </c>
      <c r="H200" s="1">
        <v>0</v>
      </c>
      <c r="I200" s="1">
        <v>0</v>
      </c>
      <c r="J200" s="1">
        <v>0</v>
      </c>
      <c r="K200" s="1">
        <v>0</v>
      </c>
      <c r="L200" s="1">
        <v>0</v>
      </c>
      <c r="M200" s="1">
        <v>0</v>
      </c>
      <c r="N200" s="1">
        <v>0</v>
      </c>
      <c r="O200" s="1">
        <v>0</v>
      </c>
      <c r="P200" s="1">
        <v>0</v>
      </c>
      <c r="Q200" s="1">
        <v>0</v>
      </c>
      <c r="R200" s="1">
        <v>0</v>
      </c>
      <c r="S200" s="1">
        <v>0</v>
      </c>
      <c r="T200" s="1">
        <v>0</v>
      </c>
      <c r="U200" s="1">
        <v>0</v>
      </c>
      <c r="V200" s="1" t="s">
        <v>301</v>
      </c>
    </row>
    <row r="201" spans="1:22">
      <c r="A201" t="s">
        <v>194</v>
      </c>
      <c r="B201" t="s">
        <v>57</v>
      </c>
      <c r="C201" t="s">
        <v>63</v>
      </c>
      <c r="D201" s="1">
        <v>0</v>
      </c>
      <c r="E201" s="1">
        <v>0</v>
      </c>
      <c r="F201" s="1">
        <v>0</v>
      </c>
      <c r="G201" s="1">
        <v>0</v>
      </c>
      <c r="H201" s="1">
        <v>0</v>
      </c>
      <c r="I201" s="1">
        <v>0</v>
      </c>
      <c r="J201" s="1">
        <v>0</v>
      </c>
      <c r="K201" s="1">
        <v>0</v>
      </c>
      <c r="L201" s="1">
        <v>0</v>
      </c>
      <c r="M201" s="1">
        <v>0</v>
      </c>
      <c r="N201" s="1">
        <v>0</v>
      </c>
      <c r="O201" s="1">
        <v>0</v>
      </c>
      <c r="P201" s="1">
        <v>0</v>
      </c>
      <c r="Q201" s="1">
        <v>0</v>
      </c>
      <c r="R201" s="1">
        <v>0</v>
      </c>
      <c r="S201" s="1">
        <v>0</v>
      </c>
      <c r="T201" s="1">
        <v>0</v>
      </c>
      <c r="U201" s="1">
        <v>0</v>
      </c>
      <c r="V201" s="1" t="s">
        <v>301</v>
      </c>
    </row>
    <row r="202" spans="1:22">
      <c r="A202" t="s">
        <v>194</v>
      </c>
      <c r="B202" t="s">
        <v>57</v>
      </c>
      <c r="C202" t="s">
        <v>64</v>
      </c>
      <c r="D202" s="1">
        <v>0</v>
      </c>
      <c r="E202" s="1">
        <v>0</v>
      </c>
      <c r="F202" s="1">
        <v>0</v>
      </c>
      <c r="G202" s="1">
        <v>0</v>
      </c>
      <c r="H202" s="1">
        <v>0</v>
      </c>
      <c r="I202" s="1">
        <v>0</v>
      </c>
      <c r="J202" s="1">
        <v>0</v>
      </c>
      <c r="K202" s="1">
        <v>0</v>
      </c>
      <c r="L202" s="1">
        <v>0</v>
      </c>
      <c r="M202" s="1">
        <v>0</v>
      </c>
      <c r="N202" s="1">
        <v>0</v>
      </c>
      <c r="O202" s="1">
        <v>0</v>
      </c>
      <c r="P202" s="1">
        <v>0</v>
      </c>
      <c r="Q202" s="1">
        <v>0</v>
      </c>
      <c r="R202" s="1">
        <v>0</v>
      </c>
      <c r="S202" s="1">
        <v>0</v>
      </c>
      <c r="T202" s="1">
        <v>0</v>
      </c>
      <c r="U202" s="1">
        <v>0</v>
      </c>
      <c r="V202" s="1" t="s">
        <v>301</v>
      </c>
    </row>
    <row r="203" spans="1:22">
      <c r="A203" t="s">
        <v>194</v>
      </c>
      <c r="B203" t="s">
        <v>57</v>
      </c>
      <c r="C203" t="s">
        <v>65</v>
      </c>
      <c r="D203" s="1">
        <v>0</v>
      </c>
      <c r="E203" s="1">
        <v>0</v>
      </c>
      <c r="F203" s="1">
        <v>0</v>
      </c>
      <c r="G203" s="1">
        <v>0</v>
      </c>
      <c r="H203" s="1">
        <v>0</v>
      </c>
      <c r="I203" s="1">
        <v>0</v>
      </c>
      <c r="J203" s="1">
        <v>0</v>
      </c>
      <c r="K203" s="1">
        <v>0</v>
      </c>
      <c r="L203" s="1">
        <v>0</v>
      </c>
      <c r="M203" s="1">
        <v>0</v>
      </c>
      <c r="N203" s="1">
        <v>0</v>
      </c>
      <c r="O203" s="1">
        <v>0</v>
      </c>
      <c r="P203" s="1">
        <v>0</v>
      </c>
      <c r="Q203" s="1">
        <v>0</v>
      </c>
      <c r="R203" s="1">
        <v>0</v>
      </c>
      <c r="S203" s="1">
        <v>0</v>
      </c>
      <c r="T203" s="1">
        <v>0</v>
      </c>
      <c r="U203" s="1">
        <v>0</v>
      </c>
      <c r="V203" s="1" t="s">
        <v>301</v>
      </c>
    </row>
    <row r="204" spans="1:22">
      <c r="A204" t="s">
        <v>195</v>
      </c>
      <c r="B204" t="s">
        <v>57</v>
      </c>
      <c r="C204" t="s">
        <v>58</v>
      </c>
      <c r="D204" s="1">
        <v>0</v>
      </c>
      <c r="E204" s="1">
        <v>0</v>
      </c>
      <c r="F204" s="1">
        <v>0</v>
      </c>
      <c r="G204" s="1">
        <v>0</v>
      </c>
      <c r="H204" s="1">
        <v>0</v>
      </c>
      <c r="I204" s="1">
        <v>0</v>
      </c>
      <c r="J204" s="1">
        <v>0</v>
      </c>
      <c r="K204" s="1">
        <v>0</v>
      </c>
      <c r="L204" s="1">
        <v>0</v>
      </c>
      <c r="M204" s="1">
        <v>0</v>
      </c>
      <c r="N204" s="1">
        <v>0</v>
      </c>
      <c r="O204" s="1">
        <v>0</v>
      </c>
      <c r="P204" s="1">
        <v>0</v>
      </c>
      <c r="Q204" s="1">
        <v>0</v>
      </c>
      <c r="R204" s="1">
        <v>0</v>
      </c>
      <c r="S204" s="1">
        <v>0</v>
      </c>
      <c r="T204" s="1">
        <v>0</v>
      </c>
      <c r="U204" s="1">
        <v>1</v>
      </c>
      <c r="V204" s="1" t="s">
        <v>301</v>
      </c>
    </row>
    <row r="205" spans="1:22">
      <c r="A205" t="s">
        <v>195</v>
      </c>
      <c r="B205" t="s">
        <v>57</v>
      </c>
      <c r="C205" t="s">
        <v>59</v>
      </c>
      <c r="D205" s="1">
        <v>0</v>
      </c>
      <c r="E205" s="1">
        <v>0</v>
      </c>
      <c r="F205" s="1">
        <v>1</v>
      </c>
      <c r="G205" s="1">
        <v>0</v>
      </c>
      <c r="H205" s="1">
        <v>0</v>
      </c>
      <c r="I205" s="1">
        <v>0</v>
      </c>
      <c r="J205" s="1">
        <v>0</v>
      </c>
      <c r="K205" s="1">
        <v>0</v>
      </c>
      <c r="L205" s="1">
        <v>1</v>
      </c>
      <c r="M205" s="1">
        <v>0</v>
      </c>
      <c r="N205" s="1">
        <v>0</v>
      </c>
      <c r="O205" s="1">
        <v>0</v>
      </c>
      <c r="P205" s="1">
        <v>1</v>
      </c>
      <c r="Q205" s="1">
        <v>0</v>
      </c>
      <c r="R205" s="1">
        <v>1</v>
      </c>
      <c r="S205" s="1">
        <v>0</v>
      </c>
      <c r="T205" s="1">
        <v>0</v>
      </c>
      <c r="U205" s="1">
        <v>1</v>
      </c>
      <c r="V205" s="1" t="s">
        <v>301</v>
      </c>
    </row>
    <row r="206" spans="1:22">
      <c r="A206" t="s">
        <v>195</v>
      </c>
      <c r="B206" t="s">
        <v>57</v>
      </c>
      <c r="C206" t="s">
        <v>60</v>
      </c>
      <c r="D206" s="1">
        <v>0</v>
      </c>
      <c r="E206" s="1">
        <v>0</v>
      </c>
      <c r="F206" s="1">
        <v>0</v>
      </c>
      <c r="G206" s="1">
        <v>0</v>
      </c>
      <c r="H206" s="1">
        <v>0</v>
      </c>
      <c r="I206" s="1">
        <v>0</v>
      </c>
      <c r="J206" s="1">
        <v>0</v>
      </c>
      <c r="K206" s="1">
        <v>0</v>
      </c>
      <c r="L206" s="1">
        <v>0</v>
      </c>
      <c r="M206" s="1">
        <v>0</v>
      </c>
      <c r="N206" s="1">
        <v>0</v>
      </c>
      <c r="O206" s="1">
        <v>0</v>
      </c>
      <c r="P206" s="1">
        <v>0</v>
      </c>
      <c r="Q206" s="1">
        <v>0</v>
      </c>
      <c r="R206" s="1">
        <v>0</v>
      </c>
      <c r="S206" s="1">
        <v>0</v>
      </c>
      <c r="T206" s="1">
        <v>0</v>
      </c>
      <c r="U206" s="1">
        <v>0</v>
      </c>
      <c r="V206" s="1" t="s">
        <v>301</v>
      </c>
    </row>
    <row r="207" spans="1:22">
      <c r="A207" t="s">
        <v>195</v>
      </c>
      <c r="B207" t="s">
        <v>57</v>
      </c>
      <c r="C207" t="s">
        <v>61</v>
      </c>
      <c r="D207" s="1">
        <v>0</v>
      </c>
      <c r="E207" s="1">
        <v>0</v>
      </c>
      <c r="F207" s="1">
        <v>0</v>
      </c>
      <c r="G207" s="1">
        <v>0</v>
      </c>
      <c r="H207" s="1">
        <v>0</v>
      </c>
      <c r="I207" s="1">
        <v>0</v>
      </c>
      <c r="J207" s="1">
        <v>0</v>
      </c>
      <c r="K207" s="1">
        <v>0</v>
      </c>
      <c r="L207" s="1">
        <v>0</v>
      </c>
      <c r="M207" s="1">
        <v>0</v>
      </c>
      <c r="N207" s="1">
        <v>0</v>
      </c>
      <c r="O207" s="1">
        <v>0</v>
      </c>
      <c r="P207" s="1">
        <v>0</v>
      </c>
      <c r="Q207" s="1">
        <v>0</v>
      </c>
      <c r="R207" s="1">
        <v>0</v>
      </c>
      <c r="S207" s="1">
        <v>0</v>
      </c>
      <c r="T207" s="1">
        <v>0</v>
      </c>
      <c r="U207" s="1">
        <v>0</v>
      </c>
      <c r="V207" s="1" t="s">
        <v>301</v>
      </c>
    </row>
    <row r="208" spans="1:22">
      <c r="A208" t="s">
        <v>195</v>
      </c>
      <c r="B208" t="s">
        <v>57</v>
      </c>
      <c r="C208" t="s">
        <v>62</v>
      </c>
      <c r="D208" s="1">
        <v>0</v>
      </c>
      <c r="E208" s="1">
        <v>0</v>
      </c>
      <c r="F208" s="1">
        <v>0</v>
      </c>
      <c r="G208" s="1">
        <v>0</v>
      </c>
      <c r="H208" s="1">
        <v>0</v>
      </c>
      <c r="I208" s="1">
        <v>0</v>
      </c>
      <c r="J208" s="1">
        <v>0</v>
      </c>
      <c r="K208" s="1">
        <v>0</v>
      </c>
      <c r="L208" s="1">
        <v>0</v>
      </c>
      <c r="M208" s="1">
        <v>0</v>
      </c>
      <c r="N208" s="1">
        <v>0</v>
      </c>
      <c r="O208" s="1">
        <v>0</v>
      </c>
      <c r="P208" s="1">
        <v>0</v>
      </c>
      <c r="Q208" s="1">
        <v>0</v>
      </c>
      <c r="R208" s="1">
        <v>0</v>
      </c>
      <c r="S208" s="1">
        <v>0</v>
      </c>
      <c r="T208" s="1">
        <v>0</v>
      </c>
      <c r="U208" s="1">
        <v>0</v>
      </c>
      <c r="V208" s="1" t="s">
        <v>301</v>
      </c>
    </row>
    <row r="209" spans="1:22">
      <c r="A209" t="s">
        <v>195</v>
      </c>
      <c r="B209" t="s">
        <v>57</v>
      </c>
      <c r="C209" t="s">
        <v>63</v>
      </c>
      <c r="D209" s="1">
        <v>0</v>
      </c>
      <c r="E209" s="1">
        <v>0</v>
      </c>
      <c r="F209" s="1">
        <v>0</v>
      </c>
      <c r="G209" s="1">
        <v>0</v>
      </c>
      <c r="H209" s="1">
        <v>0</v>
      </c>
      <c r="I209" s="1">
        <v>0</v>
      </c>
      <c r="J209" s="1">
        <v>0</v>
      </c>
      <c r="K209" s="1">
        <v>0</v>
      </c>
      <c r="L209" s="1">
        <v>0</v>
      </c>
      <c r="M209" s="1">
        <v>0</v>
      </c>
      <c r="N209" s="1">
        <v>0</v>
      </c>
      <c r="O209" s="1">
        <v>0</v>
      </c>
      <c r="P209" s="1">
        <v>0</v>
      </c>
      <c r="Q209" s="1">
        <v>0</v>
      </c>
      <c r="R209" s="1">
        <v>0</v>
      </c>
      <c r="S209" s="1">
        <v>0</v>
      </c>
      <c r="T209" s="1">
        <v>0</v>
      </c>
      <c r="U209" s="1">
        <v>0</v>
      </c>
      <c r="V209" s="1" t="s">
        <v>301</v>
      </c>
    </row>
    <row r="210" spans="1:22">
      <c r="A210" t="s">
        <v>195</v>
      </c>
      <c r="B210" t="s">
        <v>57</v>
      </c>
      <c r="C210" t="s">
        <v>64</v>
      </c>
      <c r="D210" s="1">
        <v>0</v>
      </c>
      <c r="E210" s="1">
        <v>0</v>
      </c>
      <c r="F210" s="1">
        <v>1</v>
      </c>
      <c r="G210" s="1">
        <v>0</v>
      </c>
      <c r="H210" s="1">
        <v>0</v>
      </c>
      <c r="I210" s="1">
        <v>0</v>
      </c>
      <c r="J210" s="1">
        <v>0</v>
      </c>
      <c r="K210" s="1">
        <v>0</v>
      </c>
      <c r="L210" s="1">
        <v>1</v>
      </c>
      <c r="M210" s="1">
        <v>0</v>
      </c>
      <c r="N210" s="1">
        <v>0</v>
      </c>
      <c r="O210" s="1">
        <v>0</v>
      </c>
      <c r="P210" s="1">
        <v>1</v>
      </c>
      <c r="Q210" s="1">
        <v>0</v>
      </c>
      <c r="R210" s="1">
        <v>1</v>
      </c>
      <c r="S210" s="1">
        <v>0</v>
      </c>
      <c r="T210" s="1">
        <v>0</v>
      </c>
      <c r="U210" s="1">
        <v>1</v>
      </c>
      <c r="V210" s="1" t="s">
        <v>301</v>
      </c>
    </row>
    <row r="211" spans="1:22">
      <c r="A211" t="s">
        <v>195</v>
      </c>
      <c r="B211" t="s">
        <v>57</v>
      </c>
      <c r="C211" t="s">
        <v>65</v>
      </c>
      <c r="D211" s="1">
        <v>0</v>
      </c>
      <c r="E211" s="1">
        <v>0</v>
      </c>
      <c r="F211" s="1">
        <v>0</v>
      </c>
      <c r="G211" s="1">
        <v>0</v>
      </c>
      <c r="H211" s="1">
        <v>0</v>
      </c>
      <c r="I211" s="1">
        <v>0</v>
      </c>
      <c r="J211" s="1">
        <v>0</v>
      </c>
      <c r="K211" s="1">
        <v>0</v>
      </c>
      <c r="L211" s="1">
        <v>0</v>
      </c>
      <c r="M211" s="1">
        <v>0</v>
      </c>
      <c r="N211" s="1">
        <v>0</v>
      </c>
      <c r="O211" s="1">
        <v>0</v>
      </c>
      <c r="P211" s="1">
        <v>0</v>
      </c>
      <c r="Q211" s="1">
        <v>0</v>
      </c>
      <c r="R211" s="1">
        <v>0</v>
      </c>
      <c r="S211" s="1">
        <v>0</v>
      </c>
      <c r="T211" s="1">
        <v>0</v>
      </c>
      <c r="U211" s="1">
        <v>0</v>
      </c>
      <c r="V211" s="1" t="s">
        <v>301</v>
      </c>
    </row>
    <row r="212" spans="1:22">
      <c r="A212" t="s">
        <v>196</v>
      </c>
      <c r="B212" t="s">
        <v>57</v>
      </c>
      <c r="C212" t="s">
        <v>58</v>
      </c>
      <c r="D212" s="1">
        <v>0</v>
      </c>
      <c r="E212" s="1">
        <v>0</v>
      </c>
      <c r="F212" s="1">
        <v>0</v>
      </c>
      <c r="G212" s="1">
        <v>0</v>
      </c>
      <c r="H212" s="1">
        <v>0</v>
      </c>
      <c r="I212" s="1">
        <v>0</v>
      </c>
      <c r="J212" s="1">
        <v>0</v>
      </c>
      <c r="K212" s="1">
        <v>0</v>
      </c>
      <c r="L212" s="1">
        <v>0</v>
      </c>
      <c r="M212" s="1">
        <v>0</v>
      </c>
      <c r="N212" s="1">
        <v>0</v>
      </c>
      <c r="O212" s="1">
        <v>0</v>
      </c>
      <c r="P212" s="1">
        <v>0</v>
      </c>
      <c r="Q212" s="1">
        <v>0</v>
      </c>
      <c r="R212" s="1">
        <v>0</v>
      </c>
      <c r="S212" s="1">
        <v>0</v>
      </c>
      <c r="T212" s="1">
        <v>0</v>
      </c>
      <c r="U212" s="1">
        <v>1</v>
      </c>
      <c r="V212" s="1" t="s">
        <v>301</v>
      </c>
    </row>
    <row r="213" spans="1:22">
      <c r="A213" t="s">
        <v>196</v>
      </c>
      <c r="B213" t="s">
        <v>57</v>
      </c>
      <c r="C213" t="s">
        <v>59</v>
      </c>
      <c r="D213" s="1">
        <v>1</v>
      </c>
      <c r="E213" s="1">
        <v>0</v>
      </c>
      <c r="F213" s="1">
        <v>0</v>
      </c>
      <c r="G213" s="1">
        <v>1</v>
      </c>
      <c r="H213" s="1">
        <v>0</v>
      </c>
      <c r="I213" s="1">
        <v>0</v>
      </c>
      <c r="J213" s="1">
        <v>0</v>
      </c>
      <c r="K213" s="1">
        <v>1</v>
      </c>
      <c r="L213" s="1">
        <v>0</v>
      </c>
      <c r="M213" s="1">
        <v>1</v>
      </c>
      <c r="N213" s="1">
        <v>1</v>
      </c>
      <c r="O213" s="1">
        <v>0</v>
      </c>
      <c r="P213" s="1">
        <v>0</v>
      </c>
      <c r="Q213" s="1">
        <v>1</v>
      </c>
      <c r="R213" s="1">
        <v>0</v>
      </c>
      <c r="S213" s="1">
        <v>2</v>
      </c>
      <c r="T213" s="1">
        <v>0</v>
      </c>
      <c r="U213" s="1">
        <v>2</v>
      </c>
      <c r="V213" s="1" t="s">
        <v>301</v>
      </c>
    </row>
    <row r="214" spans="1:22">
      <c r="A214" t="s">
        <v>196</v>
      </c>
      <c r="B214" t="s">
        <v>57</v>
      </c>
      <c r="C214" t="s">
        <v>60</v>
      </c>
      <c r="D214" s="1">
        <v>0</v>
      </c>
      <c r="E214" s="1">
        <v>0</v>
      </c>
      <c r="F214" s="1">
        <v>0</v>
      </c>
      <c r="G214" s="1">
        <v>0</v>
      </c>
      <c r="H214" s="1">
        <v>0</v>
      </c>
      <c r="I214" s="1">
        <v>0</v>
      </c>
      <c r="J214" s="1">
        <v>0</v>
      </c>
      <c r="K214" s="1">
        <v>0</v>
      </c>
      <c r="L214" s="1">
        <v>0</v>
      </c>
      <c r="M214" s="1">
        <v>0</v>
      </c>
      <c r="N214" s="1">
        <v>0</v>
      </c>
      <c r="O214" s="1">
        <v>0</v>
      </c>
      <c r="P214" s="1">
        <v>0</v>
      </c>
      <c r="Q214" s="1">
        <v>0</v>
      </c>
      <c r="R214" s="1">
        <v>0</v>
      </c>
      <c r="S214" s="1">
        <v>0</v>
      </c>
      <c r="T214" s="1">
        <v>0</v>
      </c>
      <c r="U214" s="1">
        <v>0</v>
      </c>
      <c r="V214" s="1" t="s">
        <v>301</v>
      </c>
    </row>
    <row r="215" spans="1:22">
      <c r="A215" t="s">
        <v>196</v>
      </c>
      <c r="B215" t="s">
        <v>57</v>
      </c>
      <c r="C215" t="s">
        <v>61</v>
      </c>
      <c r="D215" s="1">
        <v>0</v>
      </c>
      <c r="E215" s="1">
        <v>0</v>
      </c>
      <c r="F215" s="1">
        <v>0</v>
      </c>
      <c r="G215" s="1">
        <v>1</v>
      </c>
      <c r="H215" s="1">
        <v>0</v>
      </c>
      <c r="I215" s="1">
        <v>0</v>
      </c>
      <c r="J215" s="1">
        <v>0</v>
      </c>
      <c r="K215" s="1">
        <v>0</v>
      </c>
      <c r="L215" s="1">
        <v>0</v>
      </c>
      <c r="M215" s="1">
        <v>1</v>
      </c>
      <c r="N215" s="1">
        <v>0</v>
      </c>
      <c r="O215" s="1">
        <v>1</v>
      </c>
      <c r="P215" s="1">
        <v>0</v>
      </c>
      <c r="Q215" s="1">
        <v>0</v>
      </c>
      <c r="R215" s="1">
        <v>1</v>
      </c>
      <c r="S215" s="1">
        <v>0</v>
      </c>
      <c r="T215" s="1">
        <v>0</v>
      </c>
      <c r="U215" s="1">
        <v>1</v>
      </c>
      <c r="V215" s="1" t="s">
        <v>301</v>
      </c>
    </row>
    <row r="216" spans="1:22">
      <c r="A216" t="s">
        <v>196</v>
      </c>
      <c r="B216" t="s">
        <v>57</v>
      </c>
      <c r="C216" t="s">
        <v>62</v>
      </c>
      <c r="D216" s="1">
        <v>0</v>
      </c>
      <c r="E216" s="1">
        <v>0</v>
      </c>
      <c r="F216" s="1">
        <v>0</v>
      </c>
      <c r="G216" s="1">
        <v>0</v>
      </c>
      <c r="H216" s="1">
        <v>0</v>
      </c>
      <c r="I216" s="1">
        <v>0</v>
      </c>
      <c r="J216" s="1">
        <v>0</v>
      </c>
      <c r="K216" s="1">
        <v>0</v>
      </c>
      <c r="L216" s="1">
        <v>0</v>
      </c>
      <c r="M216" s="1">
        <v>0</v>
      </c>
      <c r="N216" s="1">
        <v>0</v>
      </c>
      <c r="O216" s="1">
        <v>0</v>
      </c>
      <c r="P216" s="1">
        <v>0</v>
      </c>
      <c r="Q216" s="1">
        <v>0</v>
      </c>
      <c r="R216" s="1">
        <v>0</v>
      </c>
      <c r="S216" s="1">
        <v>0</v>
      </c>
      <c r="T216" s="1">
        <v>0</v>
      </c>
      <c r="U216" s="1">
        <v>0</v>
      </c>
      <c r="V216" s="1" t="s">
        <v>301</v>
      </c>
    </row>
    <row r="217" spans="1:22">
      <c r="A217" t="s">
        <v>196</v>
      </c>
      <c r="B217" t="s">
        <v>57</v>
      </c>
      <c r="C217" t="s">
        <v>63</v>
      </c>
      <c r="D217" s="1">
        <v>0</v>
      </c>
      <c r="E217" s="1">
        <v>0</v>
      </c>
      <c r="F217" s="1">
        <v>0</v>
      </c>
      <c r="G217" s="1">
        <v>0</v>
      </c>
      <c r="H217" s="1">
        <v>0</v>
      </c>
      <c r="I217" s="1">
        <v>0</v>
      </c>
      <c r="J217" s="1">
        <v>0</v>
      </c>
      <c r="K217" s="1">
        <v>0</v>
      </c>
      <c r="L217" s="1">
        <v>0</v>
      </c>
      <c r="M217" s="1">
        <v>0</v>
      </c>
      <c r="N217" s="1">
        <v>0</v>
      </c>
      <c r="O217" s="1">
        <v>0</v>
      </c>
      <c r="P217" s="1">
        <v>0</v>
      </c>
      <c r="Q217" s="1">
        <v>0</v>
      </c>
      <c r="R217" s="1">
        <v>0</v>
      </c>
      <c r="S217" s="1">
        <v>0</v>
      </c>
      <c r="T217" s="1">
        <v>0</v>
      </c>
      <c r="U217" s="1">
        <v>0</v>
      </c>
      <c r="V217" s="1" t="s">
        <v>301</v>
      </c>
    </row>
    <row r="218" spans="1:22">
      <c r="A218" t="s">
        <v>196</v>
      </c>
      <c r="B218" t="s">
        <v>57</v>
      </c>
      <c r="C218" t="s">
        <v>64</v>
      </c>
      <c r="D218" s="1">
        <v>1</v>
      </c>
      <c r="E218" s="1">
        <v>0</v>
      </c>
      <c r="F218" s="1">
        <v>0</v>
      </c>
      <c r="G218" s="1">
        <v>2</v>
      </c>
      <c r="H218" s="1">
        <v>0</v>
      </c>
      <c r="I218" s="1">
        <v>0</v>
      </c>
      <c r="J218" s="1">
        <v>0</v>
      </c>
      <c r="K218" s="1">
        <v>1</v>
      </c>
      <c r="L218" s="1">
        <v>0</v>
      </c>
      <c r="M218" s="1">
        <v>2</v>
      </c>
      <c r="N218" s="1">
        <v>1</v>
      </c>
      <c r="O218" s="1">
        <v>1</v>
      </c>
      <c r="P218" s="1">
        <v>0</v>
      </c>
      <c r="Q218" s="1">
        <v>1</v>
      </c>
      <c r="R218" s="1">
        <v>1</v>
      </c>
      <c r="S218" s="1">
        <v>2</v>
      </c>
      <c r="T218" s="1">
        <v>0</v>
      </c>
      <c r="U218" s="1">
        <v>3</v>
      </c>
      <c r="V218" s="1" t="s">
        <v>301</v>
      </c>
    </row>
    <row r="219" spans="1:22">
      <c r="A219" t="s">
        <v>196</v>
      </c>
      <c r="B219" t="s">
        <v>57</v>
      </c>
      <c r="C219" t="s">
        <v>65</v>
      </c>
      <c r="D219" s="1">
        <v>0</v>
      </c>
      <c r="E219" s="1">
        <v>0</v>
      </c>
      <c r="F219" s="1">
        <v>0</v>
      </c>
      <c r="G219" s="1">
        <v>0</v>
      </c>
      <c r="H219" s="1">
        <v>0</v>
      </c>
      <c r="I219" s="1">
        <v>0</v>
      </c>
      <c r="J219" s="1">
        <v>0</v>
      </c>
      <c r="K219" s="1">
        <v>0</v>
      </c>
      <c r="L219" s="1">
        <v>0</v>
      </c>
      <c r="M219" s="1">
        <v>0</v>
      </c>
      <c r="N219" s="1">
        <v>0</v>
      </c>
      <c r="O219" s="1">
        <v>0</v>
      </c>
      <c r="P219" s="1">
        <v>0</v>
      </c>
      <c r="Q219" s="1">
        <v>0</v>
      </c>
      <c r="R219" s="1">
        <v>0</v>
      </c>
      <c r="S219" s="1">
        <v>0</v>
      </c>
      <c r="T219" s="1">
        <v>0</v>
      </c>
      <c r="U219" s="1">
        <v>0</v>
      </c>
      <c r="V219" s="1" t="s">
        <v>301</v>
      </c>
    </row>
    <row r="220" spans="1:22">
      <c r="A220" t="s">
        <v>55</v>
      </c>
      <c r="B220" t="s">
        <v>57</v>
      </c>
      <c r="C220" t="s">
        <v>58</v>
      </c>
      <c r="D220" s="1">
        <v>0</v>
      </c>
      <c r="E220" s="1">
        <v>0</v>
      </c>
      <c r="F220" s="1">
        <v>0</v>
      </c>
      <c r="G220" s="1">
        <v>0</v>
      </c>
      <c r="H220" s="1">
        <v>0</v>
      </c>
      <c r="I220" s="1">
        <v>0</v>
      </c>
      <c r="J220" s="1">
        <v>0</v>
      </c>
      <c r="K220" s="1">
        <v>0</v>
      </c>
      <c r="L220" s="1">
        <v>0</v>
      </c>
      <c r="M220" s="1">
        <v>0</v>
      </c>
      <c r="N220" s="1">
        <v>0</v>
      </c>
      <c r="O220" s="1">
        <v>0</v>
      </c>
      <c r="P220" s="1">
        <v>0</v>
      </c>
      <c r="Q220" s="1">
        <v>0</v>
      </c>
      <c r="R220" s="1">
        <v>0</v>
      </c>
      <c r="S220" s="1">
        <v>0</v>
      </c>
      <c r="T220" s="1">
        <v>0</v>
      </c>
      <c r="U220" s="1">
        <v>11</v>
      </c>
      <c r="V220" s="1" t="s">
        <v>301</v>
      </c>
    </row>
    <row r="221" spans="1:22">
      <c r="A221" t="s">
        <v>55</v>
      </c>
      <c r="B221" t="s">
        <v>57</v>
      </c>
      <c r="C221" t="s">
        <v>59</v>
      </c>
      <c r="D221" s="1">
        <v>1</v>
      </c>
      <c r="E221" s="1">
        <v>0</v>
      </c>
      <c r="F221" s="1">
        <v>1</v>
      </c>
      <c r="G221" s="1">
        <v>1</v>
      </c>
      <c r="H221" s="1">
        <v>0</v>
      </c>
      <c r="I221" s="1">
        <v>0</v>
      </c>
      <c r="J221" s="1">
        <v>0</v>
      </c>
      <c r="K221" s="1">
        <v>1</v>
      </c>
      <c r="L221" s="1">
        <v>1</v>
      </c>
      <c r="M221" s="1">
        <v>1</v>
      </c>
      <c r="N221" s="1">
        <v>1</v>
      </c>
      <c r="O221" s="1">
        <v>0</v>
      </c>
      <c r="P221" s="1">
        <v>1</v>
      </c>
      <c r="Q221" s="1">
        <v>1</v>
      </c>
      <c r="R221" s="1">
        <v>1</v>
      </c>
      <c r="S221" s="1">
        <v>2</v>
      </c>
      <c r="T221" s="1">
        <v>0</v>
      </c>
      <c r="U221" s="1">
        <v>3</v>
      </c>
      <c r="V221" s="1" t="s">
        <v>301</v>
      </c>
    </row>
    <row r="222" spans="1:22">
      <c r="A222" t="s">
        <v>55</v>
      </c>
      <c r="B222" t="s">
        <v>57</v>
      </c>
      <c r="C222" t="s">
        <v>60</v>
      </c>
      <c r="D222" s="1">
        <v>0</v>
      </c>
      <c r="E222" s="1">
        <v>0</v>
      </c>
      <c r="F222" s="1">
        <v>0</v>
      </c>
      <c r="G222" s="1">
        <v>0</v>
      </c>
      <c r="H222" s="1">
        <v>0</v>
      </c>
      <c r="I222" s="1">
        <v>0</v>
      </c>
      <c r="J222" s="1">
        <v>0</v>
      </c>
      <c r="K222" s="1">
        <v>0</v>
      </c>
      <c r="L222" s="1">
        <v>0</v>
      </c>
      <c r="M222" s="1">
        <v>0</v>
      </c>
      <c r="N222" s="1">
        <v>0</v>
      </c>
      <c r="O222" s="1">
        <v>0</v>
      </c>
      <c r="P222" s="1">
        <v>0</v>
      </c>
      <c r="Q222" s="1">
        <v>0</v>
      </c>
      <c r="R222" s="1">
        <v>0</v>
      </c>
      <c r="S222" s="1">
        <v>0</v>
      </c>
      <c r="T222" s="1">
        <v>0</v>
      </c>
      <c r="U222" s="1">
        <v>0</v>
      </c>
      <c r="V222" s="1" t="s">
        <v>301</v>
      </c>
    </row>
    <row r="223" spans="1:22">
      <c r="A223" t="s">
        <v>55</v>
      </c>
      <c r="B223" t="s">
        <v>57</v>
      </c>
      <c r="C223" t="s">
        <v>61</v>
      </c>
      <c r="D223" s="1">
        <v>0</v>
      </c>
      <c r="E223" s="1">
        <v>0</v>
      </c>
      <c r="F223" s="1">
        <v>0</v>
      </c>
      <c r="G223" s="1">
        <v>1</v>
      </c>
      <c r="H223" s="1">
        <v>0</v>
      </c>
      <c r="I223" s="1">
        <v>0</v>
      </c>
      <c r="J223" s="1">
        <v>0</v>
      </c>
      <c r="K223" s="1">
        <v>0</v>
      </c>
      <c r="L223" s="1">
        <v>0</v>
      </c>
      <c r="M223" s="1">
        <v>1</v>
      </c>
      <c r="N223" s="1">
        <v>0</v>
      </c>
      <c r="O223" s="1">
        <v>1</v>
      </c>
      <c r="P223" s="1">
        <v>0</v>
      </c>
      <c r="Q223" s="1">
        <v>0</v>
      </c>
      <c r="R223" s="1">
        <v>1</v>
      </c>
      <c r="S223" s="1">
        <v>0</v>
      </c>
      <c r="T223" s="1">
        <v>0</v>
      </c>
      <c r="U223" s="1">
        <v>1</v>
      </c>
      <c r="V223" s="1" t="s">
        <v>301</v>
      </c>
    </row>
    <row r="224" spans="1:22">
      <c r="A224" t="s">
        <v>55</v>
      </c>
      <c r="B224" t="s">
        <v>57</v>
      </c>
      <c r="C224" t="s">
        <v>62</v>
      </c>
      <c r="D224" s="1">
        <v>0</v>
      </c>
      <c r="E224" s="1">
        <v>0</v>
      </c>
      <c r="F224" s="1">
        <v>0</v>
      </c>
      <c r="G224" s="1">
        <v>1</v>
      </c>
      <c r="H224" s="1">
        <v>1</v>
      </c>
      <c r="I224" s="1">
        <v>0</v>
      </c>
      <c r="J224" s="1">
        <v>0</v>
      </c>
      <c r="K224" s="1">
        <v>1</v>
      </c>
      <c r="L224" s="1">
        <v>1</v>
      </c>
      <c r="M224" s="1">
        <v>0</v>
      </c>
      <c r="N224" s="1">
        <v>0</v>
      </c>
      <c r="O224" s="1">
        <v>0</v>
      </c>
      <c r="P224" s="1">
        <v>2</v>
      </c>
      <c r="Q224" s="1">
        <v>0</v>
      </c>
      <c r="R224" s="1">
        <v>0</v>
      </c>
      <c r="S224" s="1">
        <v>2</v>
      </c>
      <c r="T224" s="1">
        <v>0</v>
      </c>
      <c r="U224" s="1">
        <v>2</v>
      </c>
      <c r="V224" s="1" t="s">
        <v>301</v>
      </c>
    </row>
    <row r="225" spans="1:81">
      <c r="A225" t="s">
        <v>55</v>
      </c>
      <c r="B225" t="s">
        <v>57</v>
      </c>
      <c r="C225" t="s">
        <v>63</v>
      </c>
      <c r="D225" s="1">
        <v>0</v>
      </c>
      <c r="E225" s="1">
        <v>0</v>
      </c>
      <c r="F225" s="1">
        <v>0</v>
      </c>
      <c r="G225" s="1">
        <v>0</v>
      </c>
      <c r="H225" s="1">
        <v>0</v>
      </c>
      <c r="I225" s="1">
        <v>0</v>
      </c>
      <c r="J225" s="1">
        <v>0</v>
      </c>
      <c r="K225" s="1">
        <v>0</v>
      </c>
      <c r="L225" s="1">
        <v>0</v>
      </c>
      <c r="M225" s="1">
        <v>0</v>
      </c>
      <c r="N225" s="1">
        <v>0</v>
      </c>
      <c r="O225" s="1">
        <v>0</v>
      </c>
      <c r="P225" s="1">
        <v>0</v>
      </c>
      <c r="Q225" s="1">
        <v>0</v>
      </c>
      <c r="R225" s="1">
        <v>0</v>
      </c>
      <c r="S225" s="1">
        <v>0</v>
      </c>
      <c r="T225" s="1">
        <v>0</v>
      </c>
      <c r="U225" s="1">
        <v>0</v>
      </c>
      <c r="V225" s="1" t="s">
        <v>301</v>
      </c>
    </row>
    <row r="226" spans="1:81">
      <c r="A226" t="s">
        <v>55</v>
      </c>
      <c r="B226" t="s">
        <v>57</v>
      </c>
      <c r="C226" t="s">
        <v>64</v>
      </c>
      <c r="D226" s="1">
        <v>1</v>
      </c>
      <c r="E226" s="1">
        <v>0</v>
      </c>
      <c r="F226" s="1">
        <v>1</v>
      </c>
      <c r="G226" s="1">
        <v>3</v>
      </c>
      <c r="H226" s="1">
        <v>1</v>
      </c>
      <c r="I226" s="1">
        <v>0</v>
      </c>
      <c r="J226" s="1">
        <v>0</v>
      </c>
      <c r="K226" s="1">
        <v>2</v>
      </c>
      <c r="L226" s="1">
        <v>2</v>
      </c>
      <c r="M226" s="1">
        <v>2</v>
      </c>
      <c r="N226" s="1">
        <v>1</v>
      </c>
      <c r="O226" s="1">
        <v>1</v>
      </c>
      <c r="P226" s="1">
        <v>3</v>
      </c>
      <c r="Q226" s="1">
        <v>1</v>
      </c>
      <c r="R226" s="1">
        <v>2</v>
      </c>
      <c r="S226" s="1">
        <v>4</v>
      </c>
      <c r="T226" s="1">
        <v>0</v>
      </c>
      <c r="U226" s="1">
        <v>6</v>
      </c>
      <c r="V226" s="1" t="s">
        <v>301</v>
      </c>
    </row>
    <row r="227" spans="1:81">
      <c r="A227" t="s">
        <v>55</v>
      </c>
      <c r="B227" t="s">
        <v>57</v>
      </c>
      <c r="C227" t="s">
        <v>65</v>
      </c>
      <c r="D227" s="1">
        <v>0</v>
      </c>
      <c r="E227" s="1">
        <v>0</v>
      </c>
      <c r="F227" s="1">
        <v>0</v>
      </c>
      <c r="G227" s="1">
        <v>0</v>
      </c>
      <c r="H227" s="1">
        <v>0</v>
      </c>
      <c r="I227" s="1">
        <v>0</v>
      </c>
      <c r="J227" s="1">
        <v>0</v>
      </c>
      <c r="K227" s="1">
        <v>0</v>
      </c>
      <c r="L227" s="1">
        <v>0</v>
      </c>
      <c r="M227" s="1">
        <v>0</v>
      </c>
      <c r="N227" s="1">
        <v>0</v>
      </c>
      <c r="O227" s="1">
        <v>0</v>
      </c>
      <c r="P227" s="1">
        <v>0</v>
      </c>
      <c r="Q227" s="1">
        <v>0</v>
      </c>
      <c r="R227" s="1">
        <v>0</v>
      </c>
      <c r="S227" s="1">
        <v>0</v>
      </c>
      <c r="T227" s="1">
        <v>0</v>
      </c>
      <c r="U227" s="1">
        <v>0</v>
      </c>
      <c r="V227" s="1" t="s">
        <v>301</v>
      </c>
    </row>
    <row r="229" spans="1:81">
      <c r="A229" s="43">
        <f>setup!C18</f>
        <v>3818</v>
      </c>
    </row>
    <row r="230" spans="1:81" s="43" customFormat="1">
      <c r="A230" s="43" t="str">
        <f>_xlfn.CONCAT(setup!D18," - ",setup!E18)</f>
        <v>OSEP – Developmental Delay - Paper - OSEP_DD_P</v>
      </c>
      <c r="BI230"/>
      <c r="BJ230"/>
      <c r="BK230"/>
      <c r="BL230"/>
      <c r="BM230"/>
      <c r="BN230"/>
      <c r="BO230"/>
      <c r="BP230"/>
      <c r="BQ230"/>
      <c r="BR230"/>
      <c r="BS230"/>
      <c r="BT230"/>
      <c r="BU230"/>
      <c r="BV230"/>
      <c r="BW230"/>
      <c r="BX230"/>
      <c r="BY230"/>
      <c r="BZ230"/>
      <c r="CA230"/>
      <c r="CB230"/>
      <c r="CC230"/>
    </row>
    <row r="231" spans="1:81">
      <c r="A231" t="s">
        <v>35</v>
      </c>
      <c r="B231" t="s">
        <v>36</v>
      </c>
      <c r="C231" t="s">
        <v>37</v>
      </c>
      <c r="D231" s="1" t="s">
        <v>38</v>
      </c>
      <c r="E231" s="1" t="s">
        <v>39</v>
      </c>
      <c r="F231" s="1" t="s">
        <v>40</v>
      </c>
      <c r="G231" s="1" t="s">
        <v>41</v>
      </c>
      <c r="H231" s="1" t="s">
        <v>42</v>
      </c>
      <c r="I231" s="1" t="s">
        <v>43</v>
      </c>
      <c r="J231" s="1" t="s">
        <v>44</v>
      </c>
      <c r="K231" s="1" t="s">
        <v>45</v>
      </c>
      <c r="L231" s="1" t="s">
        <v>46</v>
      </c>
      <c r="M231" s="1" t="s">
        <v>47</v>
      </c>
      <c r="N231" s="1" t="s">
        <v>48</v>
      </c>
      <c r="O231" s="1" t="s">
        <v>49</v>
      </c>
      <c r="P231" s="1" t="s">
        <v>50</v>
      </c>
      <c r="Q231" s="1" t="s">
        <v>51</v>
      </c>
      <c r="R231" s="1" t="s">
        <v>52</v>
      </c>
      <c r="S231" s="1" t="s">
        <v>53</v>
      </c>
      <c r="T231" t="s">
        <v>54</v>
      </c>
      <c r="U231" s="1" t="s">
        <v>55</v>
      </c>
      <c r="V231" t="s">
        <v>56</v>
      </c>
    </row>
    <row r="232" spans="1:81">
      <c r="A232" t="s">
        <v>187</v>
      </c>
      <c r="B232" t="s">
        <v>57</v>
      </c>
      <c r="C232" t="s">
        <v>58</v>
      </c>
      <c r="D232" s="1">
        <v>0</v>
      </c>
      <c r="E232" s="1">
        <v>0</v>
      </c>
      <c r="F232" s="1">
        <v>0</v>
      </c>
      <c r="G232" s="1">
        <v>0</v>
      </c>
      <c r="H232" s="1">
        <v>0</v>
      </c>
      <c r="I232" s="1">
        <v>0</v>
      </c>
      <c r="J232" s="1">
        <v>0</v>
      </c>
      <c r="K232" s="1">
        <v>0</v>
      </c>
      <c r="L232" s="1">
        <v>0</v>
      </c>
      <c r="M232" s="1">
        <v>0</v>
      </c>
      <c r="N232" s="1">
        <v>0</v>
      </c>
      <c r="O232" s="1">
        <v>0</v>
      </c>
      <c r="P232" s="1">
        <v>0</v>
      </c>
      <c r="Q232" s="1">
        <v>0</v>
      </c>
      <c r="R232" s="1">
        <v>0</v>
      </c>
      <c r="S232" s="1">
        <v>0</v>
      </c>
      <c r="T232" s="1">
        <v>0</v>
      </c>
      <c r="U232" s="1">
        <v>7</v>
      </c>
      <c r="V232" s="1" t="s">
        <v>301</v>
      </c>
    </row>
    <row r="233" spans="1:81">
      <c r="A233" t="s">
        <v>187</v>
      </c>
      <c r="B233" t="s">
        <v>57</v>
      </c>
      <c r="C233" t="s">
        <v>59</v>
      </c>
      <c r="D233" s="1">
        <v>0</v>
      </c>
      <c r="E233" s="1">
        <v>0</v>
      </c>
      <c r="F233" s="1">
        <v>0</v>
      </c>
      <c r="G233" s="1">
        <v>0</v>
      </c>
      <c r="H233" s="1">
        <v>0</v>
      </c>
      <c r="I233" s="1">
        <v>0</v>
      </c>
      <c r="J233" s="1">
        <v>0</v>
      </c>
      <c r="K233" s="1">
        <v>0</v>
      </c>
      <c r="L233" s="1">
        <v>0</v>
      </c>
      <c r="M233" s="1">
        <v>0</v>
      </c>
      <c r="N233" s="1">
        <v>0</v>
      </c>
      <c r="O233" s="1">
        <v>0</v>
      </c>
      <c r="P233" s="1">
        <v>0</v>
      </c>
      <c r="Q233" s="1">
        <v>0</v>
      </c>
      <c r="R233" s="1">
        <v>0</v>
      </c>
      <c r="S233" s="1">
        <v>0</v>
      </c>
      <c r="T233" s="1">
        <v>0</v>
      </c>
      <c r="U233" s="1">
        <v>0</v>
      </c>
      <c r="V233" s="1" t="s">
        <v>301</v>
      </c>
    </row>
    <row r="234" spans="1:81">
      <c r="A234" t="s">
        <v>187</v>
      </c>
      <c r="B234" t="s">
        <v>57</v>
      </c>
      <c r="C234" t="s">
        <v>60</v>
      </c>
      <c r="D234" s="1">
        <v>0</v>
      </c>
      <c r="E234" s="1">
        <v>0</v>
      </c>
      <c r="F234" s="1">
        <v>0</v>
      </c>
      <c r="G234" s="1">
        <v>0</v>
      </c>
      <c r="H234" s="1">
        <v>0</v>
      </c>
      <c r="I234" s="1">
        <v>0</v>
      </c>
      <c r="J234" s="1">
        <v>0</v>
      </c>
      <c r="K234" s="1">
        <v>0</v>
      </c>
      <c r="L234" s="1">
        <v>0</v>
      </c>
      <c r="M234" s="1">
        <v>0</v>
      </c>
      <c r="N234" s="1">
        <v>0</v>
      </c>
      <c r="O234" s="1">
        <v>0</v>
      </c>
      <c r="P234" s="1">
        <v>0</v>
      </c>
      <c r="Q234" s="1">
        <v>0</v>
      </c>
      <c r="R234" s="1">
        <v>0</v>
      </c>
      <c r="S234" s="1">
        <v>0</v>
      </c>
      <c r="T234" s="1">
        <v>0</v>
      </c>
      <c r="U234" s="1">
        <v>0</v>
      </c>
      <c r="V234" s="1" t="s">
        <v>301</v>
      </c>
    </row>
    <row r="235" spans="1:81">
      <c r="A235" t="s">
        <v>187</v>
      </c>
      <c r="B235" t="s">
        <v>57</v>
      </c>
      <c r="C235" t="s">
        <v>61</v>
      </c>
      <c r="D235" s="1">
        <v>0</v>
      </c>
      <c r="E235" s="1">
        <v>0</v>
      </c>
      <c r="F235" s="1">
        <v>0</v>
      </c>
      <c r="G235" s="1">
        <v>0</v>
      </c>
      <c r="H235" s="1">
        <v>0</v>
      </c>
      <c r="I235" s="1">
        <v>0</v>
      </c>
      <c r="J235" s="1">
        <v>0</v>
      </c>
      <c r="K235" s="1">
        <v>0</v>
      </c>
      <c r="L235" s="1">
        <v>0</v>
      </c>
      <c r="M235" s="1">
        <v>0</v>
      </c>
      <c r="N235" s="1">
        <v>0</v>
      </c>
      <c r="O235" s="1">
        <v>0</v>
      </c>
      <c r="P235" s="1">
        <v>0</v>
      </c>
      <c r="Q235" s="1">
        <v>0</v>
      </c>
      <c r="R235" s="1">
        <v>0</v>
      </c>
      <c r="S235" s="1">
        <v>0</v>
      </c>
      <c r="T235" s="1">
        <v>0</v>
      </c>
      <c r="U235" s="1">
        <v>0</v>
      </c>
      <c r="V235" s="1" t="s">
        <v>301</v>
      </c>
    </row>
    <row r="236" spans="1:81">
      <c r="A236" t="s">
        <v>187</v>
      </c>
      <c r="B236" t="s">
        <v>57</v>
      </c>
      <c r="C236" t="s">
        <v>62</v>
      </c>
      <c r="D236" s="1">
        <v>0</v>
      </c>
      <c r="E236" s="1">
        <v>0</v>
      </c>
      <c r="F236" s="1">
        <v>0</v>
      </c>
      <c r="G236" s="1">
        <v>0</v>
      </c>
      <c r="H236" s="1">
        <v>0</v>
      </c>
      <c r="I236" s="1">
        <v>0</v>
      </c>
      <c r="J236" s="1">
        <v>0</v>
      </c>
      <c r="K236" s="1">
        <v>0</v>
      </c>
      <c r="L236" s="1">
        <v>0</v>
      </c>
      <c r="M236" s="1">
        <v>0</v>
      </c>
      <c r="N236" s="1">
        <v>0</v>
      </c>
      <c r="O236" s="1">
        <v>0</v>
      </c>
      <c r="P236" s="1">
        <v>0</v>
      </c>
      <c r="Q236" s="1">
        <v>0</v>
      </c>
      <c r="R236" s="1">
        <v>0</v>
      </c>
      <c r="S236" s="1">
        <v>0</v>
      </c>
      <c r="T236" s="1">
        <v>0</v>
      </c>
      <c r="U236" s="1">
        <v>0</v>
      </c>
      <c r="V236" s="1" t="s">
        <v>301</v>
      </c>
    </row>
    <row r="237" spans="1:81">
      <c r="A237" t="s">
        <v>187</v>
      </c>
      <c r="B237" t="s">
        <v>57</v>
      </c>
      <c r="C237" t="s">
        <v>63</v>
      </c>
      <c r="D237" s="1">
        <v>0</v>
      </c>
      <c r="E237" s="1">
        <v>0</v>
      </c>
      <c r="F237" s="1">
        <v>0</v>
      </c>
      <c r="G237" s="1">
        <v>0</v>
      </c>
      <c r="H237" s="1">
        <v>0</v>
      </c>
      <c r="I237" s="1">
        <v>0</v>
      </c>
      <c r="J237" s="1">
        <v>0</v>
      </c>
      <c r="K237" s="1">
        <v>0</v>
      </c>
      <c r="L237" s="1">
        <v>0</v>
      </c>
      <c r="M237" s="1">
        <v>0</v>
      </c>
      <c r="N237" s="1">
        <v>0</v>
      </c>
      <c r="O237" s="1">
        <v>0</v>
      </c>
      <c r="P237" s="1">
        <v>0</v>
      </c>
      <c r="Q237" s="1">
        <v>0</v>
      </c>
      <c r="R237" s="1">
        <v>0</v>
      </c>
      <c r="S237" s="1">
        <v>0</v>
      </c>
      <c r="T237" s="1">
        <v>0</v>
      </c>
      <c r="U237" s="1">
        <v>0</v>
      </c>
      <c r="V237" s="1" t="s">
        <v>301</v>
      </c>
    </row>
    <row r="238" spans="1:81">
      <c r="A238" t="s">
        <v>187</v>
      </c>
      <c r="B238" t="s">
        <v>57</v>
      </c>
      <c r="C238" t="s">
        <v>64</v>
      </c>
      <c r="D238" s="1">
        <v>0</v>
      </c>
      <c r="E238" s="1">
        <v>0</v>
      </c>
      <c r="F238" s="1">
        <v>0</v>
      </c>
      <c r="G238" s="1">
        <v>0</v>
      </c>
      <c r="H238" s="1">
        <v>0</v>
      </c>
      <c r="I238" s="1">
        <v>0</v>
      </c>
      <c r="J238" s="1">
        <v>0</v>
      </c>
      <c r="K238" s="1">
        <v>0</v>
      </c>
      <c r="L238" s="1">
        <v>0</v>
      </c>
      <c r="M238" s="1">
        <v>0</v>
      </c>
      <c r="N238" s="1">
        <v>0</v>
      </c>
      <c r="O238" s="1">
        <v>0</v>
      </c>
      <c r="P238" s="1">
        <v>0</v>
      </c>
      <c r="Q238" s="1">
        <v>0</v>
      </c>
      <c r="R238" s="1">
        <v>0</v>
      </c>
      <c r="S238" s="1">
        <v>0</v>
      </c>
      <c r="T238" s="1">
        <v>0</v>
      </c>
      <c r="U238" s="1">
        <v>0</v>
      </c>
      <c r="V238" s="1" t="s">
        <v>301</v>
      </c>
    </row>
    <row r="239" spans="1:81">
      <c r="A239" t="s">
        <v>187</v>
      </c>
      <c r="B239" t="s">
        <v>57</v>
      </c>
      <c r="C239" t="s">
        <v>65</v>
      </c>
      <c r="D239" s="1">
        <v>0</v>
      </c>
      <c r="E239" s="1">
        <v>0</v>
      </c>
      <c r="F239" s="1">
        <v>0</v>
      </c>
      <c r="G239" s="1">
        <v>0</v>
      </c>
      <c r="H239" s="1">
        <v>0</v>
      </c>
      <c r="I239" s="1">
        <v>0</v>
      </c>
      <c r="J239" s="1">
        <v>0</v>
      </c>
      <c r="K239" s="1">
        <v>0</v>
      </c>
      <c r="L239" s="1">
        <v>0</v>
      </c>
      <c r="M239" s="1">
        <v>0</v>
      </c>
      <c r="N239" s="1">
        <v>0</v>
      </c>
      <c r="O239" s="1">
        <v>0</v>
      </c>
      <c r="P239" s="1">
        <v>0</v>
      </c>
      <c r="Q239" s="1">
        <v>0</v>
      </c>
      <c r="R239" s="1">
        <v>0</v>
      </c>
      <c r="S239" s="1">
        <v>0</v>
      </c>
      <c r="T239" s="1">
        <v>0</v>
      </c>
      <c r="U239" s="1">
        <v>0</v>
      </c>
      <c r="V239" s="1" t="s">
        <v>301</v>
      </c>
    </row>
    <row r="240" spans="1:81">
      <c r="A240" t="s">
        <v>188</v>
      </c>
      <c r="B240" t="s">
        <v>57</v>
      </c>
      <c r="C240" t="s">
        <v>58</v>
      </c>
      <c r="D240" s="1">
        <v>0</v>
      </c>
      <c r="E240" s="1">
        <v>0</v>
      </c>
      <c r="F240" s="1">
        <v>0</v>
      </c>
      <c r="G240" s="1">
        <v>0</v>
      </c>
      <c r="H240" s="1">
        <v>0</v>
      </c>
      <c r="I240" s="1">
        <v>0</v>
      </c>
      <c r="J240" s="1">
        <v>0</v>
      </c>
      <c r="K240" s="1">
        <v>0</v>
      </c>
      <c r="L240" s="1">
        <v>0</v>
      </c>
      <c r="M240" s="1">
        <v>0</v>
      </c>
      <c r="N240" s="1">
        <v>0</v>
      </c>
      <c r="O240" s="1">
        <v>0</v>
      </c>
      <c r="P240" s="1">
        <v>0</v>
      </c>
      <c r="Q240" s="1">
        <v>0</v>
      </c>
      <c r="R240" s="1">
        <v>0</v>
      </c>
      <c r="S240" s="1">
        <v>0</v>
      </c>
      <c r="T240" s="1">
        <v>0</v>
      </c>
      <c r="U240" s="1">
        <v>7</v>
      </c>
      <c r="V240" s="1" t="s">
        <v>301</v>
      </c>
    </row>
    <row r="241" spans="1:22">
      <c r="A241" t="s">
        <v>188</v>
      </c>
      <c r="B241" t="s">
        <v>57</v>
      </c>
      <c r="C241" t="s">
        <v>59</v>
      </c>
      <c r="D241" s="1">
        <v>0</v>
      </c>
      <c r="E241" s="1">
        <v>1</v>
      </c>
      <c r="F241" s="1">
        <v>0</v>
      </c>
      <c r="G241" s="1">
        <v>0</v>
      </c>
      <c r="H241" s="1">
        <v>0</v>
      </c>
      <c r="I241" s="1">
        <v>0</v>
      </c>
      <c r="J241" s="1">
        <v>1</v>
      </c>
      <c r="K241" s="1">
        <v>0</v>
      </c>
      <c r="L241" s="1">
        <v>0</v>
      </c>
      <c r="M241" s="1">
        <v>0</v>
      </c>
      <c r="N241" s="1">
        <v>1</v>
      </c>
      <c r="O241" s="1">
        <v>0</v>
      </c>
      <c r="P241" s="1">
        <v>0</v>
      </c>
      <c r="Q241" s="1">
        <v>0</v>
      </c>
      <c r="R241" s="1">
        <v>0</v>
      </c>
      <c r="S241" s="1">
        <v>1</v>
      </c>
      <c r="T241" s="1">
        <v>0</v>
      </c>
      <c r="U241" s="1">
        <v>1</v>
      </c>
      <c r="V241" s="1" t="s">
        <v>301</v>
      </c>
    </row>
    <row r="242" spans="1:22">
      <c r="A242" t="s">
        <v>188</v>
      </c>
      <c r="B242" t="s">
        <v>57</v>
      </c>
      <c r="C242" t="s">
        <v>60</v>
      </c>
      <c r="D242" s="1">
        <v>0</v>
      </c>
      <c r="E242" s="1">
        <v>0</v>
      </c>
      <c r="F242" s="1">
        <v>0</v>
      </c>
      <c r="G242" s="1">
        <v>0</v>
      </c>
      <c r="H242" s="1">
        <v>0</v>
      </c>
      <c r="I242" s="1">
        <v>0</v>
      </c>
      <c r="J242" s="1">
        <v>0</v>
      </c>
      <c r="K242" s="1">
        <v>0</v>
      </c>
      <c r="L242" s="1">
        <v>0</v>
      </c>
      <c r="M242" s="1">
        <v>0</v>
      </c>
      <c r="N242" s="1">
        <v>0</v>
      </c>
      <c r="O242" s="1">
        <v>0</v>
      </c>
      <c r="P242" s="1">
        <v>0</v>
      </c>
      <c r="Q242" s="1">
        <v>0</v>
      </c>
      <c r="R242" s="1">
        <v>0</v>
      </c>
      <c r="S242" s="1">
        <v>0</v>
      </c>
      <c r="T242" s="1">
        <v>0</v>
      </c>
      <c r="U242" s="1">
        <v>0</v>
      </c>
      <c r="V242" s="1" t="s">
        <v>301</v>
      </c>
    </row>
    <row r="243" spans="1:22">
      <c r="A243" t="s">
        <v>188</v>
      </c>
      <c r="B243" t="s">
        <v>57</v>
      </c>
      <c r="C243" t="s">
        <v>61</v>
      </c>
      <c r="D243" s="1">
        <v>0</v>
      </c>
      <c r="E243" s="1">
        <v>0</v>
      </c>
      <c r="F243" s="1">
        <v>0</v>
      </c>
      <c r="G243" s="1">
        <v>0</v>
      </c>
      <c r="H243" s="1">
        <v>0</v>
      </c>
      <c r="I243" s="1">
        <v>0</v>
      </c>
      <c r="J243" s="1">
        <v>0</v>
      </c>
      <c r="K243" s="1">
        <v>0</v>
      </c>
      <c r="L243" s="1">
        <v>0</v>
      </c>
      <c r="M243" s="1">
        <v>0</v>
      </c>
      <c r="N243" s="1">
        <v>0</v>
      </c>
      <c r="O243" s="1">
        <v>0</v>
      </c>
      <c r="P243" s="1">
        <v>0</v>
      </c>
      <c r="Q243" s="1">
        <v>0</v>
      </c>
      <c r="R243" s="1">
        <v>0</v>
      </c>
      <c r="S243" s="1">
        <v>0</v>
      </c>
      <c r="T243" s="1">
        <v>0</v>
      </c>
      <c r="U243" s="1">
        <v>0</v>
      </c>
      <c r="V243" s="1" t="s">
        <v>301</v>
      </c>
    </row>
    <row r="244" spans="1:22">
      <c r="A244" t="s">
        <v>188</v>
      </c>
      <c r="B244" t="s">
        <v>57</v>
      </c>
      <c r="C244" t="s">
        <v>62</v>
      </c>
      <c r="D244" s="1">
        <v>0</v>
      </c>
      <c r="E244" s="1">
        <v>0</v>
      </c>
      <c r="F244" s="1">
        <v>0</v>
      </c>
      <c r="G244" s="1">
        <v>0</v>
      </c>
      <c r="H244" s="1">
        <v>0</v>
      </c>
      <c r="I244" s="1">
        <v>0</v>
      </c>
      <c r="J244" s="1">
        <v>0</v>
      </c>
      <c r="K244" s="1">
        <v>0</v>
      </c>
      <c r="L244" s="1">
        <v>0</v>
      </c>
      <c r="M244" s="1">
        <v>0</v>
      </c>
      <c r="N244" s="1">
        <v>0</v>
      </c>
      <c r="O244" s="1">
        <v>0</v>
      </c>
      <c r="P244" s="1">
        <v>0</v>
      </c>
      <c r="Q244" s="1">
        <v>0</v>
      </c>
      <c r="R244" s="1">
        <v>0</v>
      </c>
      <c r="S244" s="1">
        <v>0</v>
      </c>
      <c r="T244" s="1">
        <v>0</v>
      </c>
      <c r="U244" s="1">
        <v>0</v>
      </c>
      <c r="V244" s="1" t="s">
        <v>301</v>
      </c>
    </row>
    <row r="245" spans="1:22">
      <c r="A245" t="s">
        <v>188</v>
      </c>
      <c r="B245" t="s">
        <v>57</v>
      </c>
      <c r="C245" t="s">
        <v>63</v>
      </c>
      <c r="D245" s="1">
        <v>0</v>
      </c>
      <c r="E245" s="1">
        <v>0</v>
      </c>
      <c r="F245" s="1">
        <v>0</v>
      </c>
      <c r="G245" s="1">
        <v>0</v>
      </c>
      <c r="H245" s="1">
        <v>0</v>
      </c>
      <c r="I245" s="1">
        <v>0</v>
      </c>
      <c r="J245" s="1">
        <v>0</v>
      </c>
      <c r="K245" s="1">
        <v>0</v>
      </c>
      <c r="L245" s="1">
        <v>0</v>
      </c>
      <c r="M245" s="1">
        <v>0</v>
      </c>
      <c r="N245" s="1">
        <v>0</v>
      </c>
      <c r="O245" s="1">
        <v>0</v>
      </c>
      <c r="P245" s="1">
        <v>0</v>
      </c>
      <c r="Q245" s="1">
        <v>0</v>
      </c>
      <c r="R245" s="1">
        <v>0</v>
      </c>
      <c r="S245" s="1">
        <v>0</v>
      </c>
      <c r="T245" s="1">
        <v>0</v>
      </c>
      <c r="U245" s="1">
        <v>0</v>
      </c>
      <c r="V245" s="1" t="s">
        <v>301</v>
      </c>
    </row>
    <row r="246" spans="1:22">
      <c r="A246" t="s">
        <v>188</v>
      </c>
      <c r="B246" t="s">
        <v>57</v>
      </c>
      <c r="C246" t="s">
        <v>64</v>
      </c>
      <c r="D246" s="1">
        <v>0</v>
      </c>
      <c r="E246" s="1">
        <v>1</v>
      </c>
      <c r="F246" s="1">
        <v>0</v>
      </c>
      <c r="G246" s="1">
        <v>0</v>
      </c>
      <c r="H246" s="1">
        <v>0</v>
      </c>
      <c r="I246" s="1">
        <v>0</v>
      </c>
      <c r="J246" s="1">
        <v>1</v>
      </c>
      <c r="K246" s="1">
        <v>0</v>
      </c>
      <c r="L246" s="1">
        <v>0</v>
      </c>
      <c r="M246" s="1">
        <v>0</v>
      </c>
      <c r="N246" s="1">
        <v>1</v>
      </c>
      <c r="O246" s="1">
        <v>0</v>
      </c>
      <c r="P246" s="1">
        <v>0</v>
      </c>
      <c r="Q246" s="1">
        <v>0</v>
      </c>
      <c r="R246" s="1">
        <v>0</v>
      </c>
      <c r="S246" s="1">
        <v>1</v>
      </c>
      <c r="T246" s="1">
        <v>0</v>
      </c>
      <c r="U246" s="1">
        <v>1</v>
      </c>
      <c r="V246" s="1" t="s">
        <v>301</v>
      </c>
    </row>
    <row r="247" spans="1:22">
      <c r="A247" t="s">
        <v>188</v>
      </c>
      <c r="B247" t="s">
        <v>57</v>
      </c>
      <c r="C247" t="s">
        <v>65</v>
      </c>
      <c r="D247" s="1">
        <v>0</v>
      </c>
      <c r="E247" s="1">
        <v>0</v>
      </c>
      <c r="F247" s="1">
        <v>0</v>
      </c>
      <c r="G247" s="1">
        <v>0</v>
      </c>
      <c r="H247" s="1">
        <v>0</v>
      </c>
      <c r="I247" s="1">
        <v>0</v>
      </c>
      <c r="J247" s="1">
        <v>0</v>
      </c>
      <c r="K247" s="1">
        <v>0</v>
      </c>
      <c r="L247" s="1">
        <v>0</v>
      </c>
      <c r="M247" s="1">
        <v>0</v>
      </c>
      <c r="N247" s="1">
        <v>0</v>
      </c>
      <c r="O247" s="1">
        <v>0</v>
      </c>
      <c r="P247" s="1">
        <v>0</v>
      </c>
      <c r="Q247" s="1">
        <v>0</v>
      </c>
      <c r="R247" s="1">
        <v>0</v>
      </c>
      <c r="S247" s="1">
        <v>0</v>
      </c>
      <c r="T247" s="1">
        <v>0</v>
      </c>
      <c r="U247" s="1">
        <v>0</v>
      </c>
      <c r="V247" s="1" t="s">
        <v>301</v>
      </c>
    </row>
    <row r="248" spans="1:22">
      <c r="A248" t="s">
        <v>66</v>
      </c>
      <c r="B248" t="s">
        <v>57</v>
      </c>
      <c r="C248" t="s">
        <v>58</v>
      </c>
      <c r="D248" s="1">
        <v>0</v>
      </c>
      <c r="E248" s="1">
        <v>0</v>
      </c>
      <c r="F248" s="1">
        <v>0</v>
      </c>
      <c r="G248" s="1">
        <v>0</v>
      </c>
      <c r="H248" s="1">
        <v>0</v>
      </c>
      <c r="I248" s="1">
        <v>0</v>
      </c>
      <c r="J248" s="1">
        <v>0</v>
      </c>
      <c r="K248" s="1">
        <v>0</v>
      </c>
      <c r="L248" s="1">
        <v>0</v>
      </c>
      <c r="M248" s="1">
        <v>0</v>
      </c>
      <c r="N248" s="1">
        <v>0</v>
      </c>
      <c r="O248" s="1">
        <v>0</v>
      </c>
      <c r="P248" s="1">
        <v>0</v>
      </c>
      <c r="Q248" s="1">
        <v>0</v>
      </c>
      <c r="R248" s="1">
        <v>0</v>
      </c>
      <c r="S248" s="1">
        <v>0</v>
      </c>
      <c r="T248" s="1">
        <v>0</v>
      </c>
      <c r="U248" s="1">
        <v>5</v>
      </c>
      <c r="V248" s="1" t="s">
        <v>301</v>
      </c>
    </row>
    <row r="249" spans="1:22">
      <c r="A249" t="s">
        <v>66</v>
      </c>
      <c r="B249" t="s">
        <v>57</v>
      </c>
      <c r="C249" t="s">
        <v>59</v>
      </c>
      <c r="D249" s="1">
        <v>0</v>
      </c>
      <c r="E249" s="1">
        <v>0</v>
      </c>
      <c r="F249" s="1">
        <v>0</v>
      </c>
      <c r="G249" s="1">
        <v>0</v>
      </c>
      <c r="H249" s="1">
        <v>0</v>
      </c>
      <c r="I249" s="1">
        <v>0</v>
      </c>
      <c r="J249" s="1">
        <v>0</v>
      </c>
      <c r="K249" s="1">
        <v>0</v>
      </c>
      <c r="L249" s="1">
        <v>0</v>
      </c>
      <c r="M249" s="1">
        <v>0</v>
      </c>
      <c r="N249" s="1">
        <v>0</v>
      </c>
      <c r="O249" s="1">
        <v>0</v>
      </c>
      <c r="P249" s="1">
        <v>0</v>
      </c>
      <c r="Q249" s="1">
        <v>0</v>
      </c>
      <c r="R249" s="1">
        <v>0</v>
      </c>
      <c r="S249" s="1">
        <v>0</v>
      </c>
      <c r="T249" s="1">
        <v>0</v>
      </c>
      <c r="U249" s="1">
        <v>0</v>
      </c>
      <c r="V249" s="1" t="s">
        <v>301</v>
      </c>
    </row>
    <row r="250" spans="1:22">
      <c r="A250" t="s">
        <v>66</v>
      </c>
      <c r="B250" t="s">
        <v>57</v>
      </c>
      <c r="C250" t="s">
        <v>60</v>
      </c>
      <c r="D250" s="1">
        <v>0</v>
      </c>
      <c r="E250" s="1">
        <v>0</v>
      </c>
      <c r="F250" s="1">
        <v>0</v>
      </c>
      <c r="G250" s="1">
        <v>0</v>
      </c>
      <c r="H250" s="1">
        <v>0</v>
      </c>
      <c r="I250" s="1">
        <v>0</v>
      </c>
      <c r="J250" s="1">
        <v>0</v>
      </c>
      <c r="K250" s="1">
        <v>0</v>
      </c>
      <c r="L250" s="1">
        <v>0</v>
      </c>
      <c r="M250" s="1">
        <v>0</v>
      </c>
      <c r="N250" s="1">
        <v>0</v>
      </c>
      <c r="O250" s="1">
        <v>0</v>
      </c>
      <c r="P250" s="1">
        <v>0</v>
      </c>
      <c r="Q250" s="1">
        <v>0</v>
      </c>
      <c r="R250" s="1">
        <v>0</v>
      </c>
      <c r="S250" s="1">
        <v>0</v>
      </c>
      <c r="T250" s="1">
        <v>0</v>
      </c>
      <c r="U250" s="1">
        <v>0</v>
      </c>
      <c r="V250" s="1" t="s">
        <v>301</v>
      </c>
    </row>
    <row r="251" spans="1:22">
      <c r="A251" t="s">
        <v>66</v>
      </c>
      <c r="B251" t="s">
        <v>57</v>
      </c>
      <c r="C251" t="s">
        <v>61</v>
      </c>
      <c r="D251" s="1">
        <v>0</v>
      </c>
      <c r="E251" s="1">
        <v>0</v>
      </c>
      <c r="F251" s="1">
        <v>0</v>
      </c>
      <c r="G251" s="1">
        <v>0</v>
      </c>
      <c r="H251" s="1">
        <v>0</v>
      </c>
      <c r="I251" s="1">
        <v>0</v>
      </c>
      <c r="J251" s="1">
        <v>0</v>
      </c>
      <c r="K251" s="1">
        <v>0</v>
      </c>
      <c r="L251" s="1">
        <v>0</v>
      </c>
      <c r="M251" s="1">
        <v>0</v>
      </c>
      <c r="N251" s="1">
        <v>0</v>
      </c>
      <c r="O251" s="1">
        <v>0</v>
      </c>
      <c r="P251" s="1">
        <v>0</v>
      </c>
      <c r="Q251" s="1">
        <v>0</v>
      </c>
      <c r="R251" s="1">
        <v>0</v>
      </c>
      <c r="S251" s="1">
        <v>0</v>
      </c>
      <c r="T251" s="1">
        <v>0</v>
      </c>
      <c r="U251" s="1">
        <v>0</v>
      </c>
      <c r="V251" s="1" t="s">
        <v>301</v>
      </c>
    </row>
    <row r="252" spans="1:22">
      <c r="A252" t="s">
        <v>66</v>
      </c>
      <c r="B252" t="s">
        <v>57</v>
      </c>
      <c r="C252" t="s">
        <v>62</v>
      </c>
      <c r="D252" s="1">
        <v>0</v>
      </c>
      <c r="E252" s="1">
        <v>0</v>
      </c>
      <c r="F252" s="1">
        <v>0</v>
      </c>
      <c r="G252" s="1">
        <v>0</v>
      </c>
      <c r="H252" s="1">
        <v>0</v>
      </c>
      <c r="I252" s="1">
        <v>0</v>
      </c>
      <c r="J252" s="1">
        <v>0</v>
      </c>
      <c r="K252" s="1">
        <v>0</v>
      </c>
      <c r="L252" s="1">
        <v>0</v>
      </c>
      <c r="M252" s="1">
        <v>0</v>
      </c>
      <c r="N252" s="1">
        <v>0</v>
      </c>
      <c r="O252" s="1">
        <v>0</v>
      </c>
      <c r="P252" s="1">
        <v>0</v>
      </c>
      <c r="Q252" s="1">
        <v>0</v>
      </c>
      <c r="R252" s="1">
        <v>0</v>
      </c>
      <c r="S252" s="1">
        <v>0</v>
      </c>
      <c r="T252" s="1">
        <v>0</v>
      </c>
      <c r="U252" s="1">
        <v>0</v>
      </c>
      <c r="V252" s="1" t="s">
        <v>301</v>
      </c>
    </row>
    <row r="253" spans="1:22">
      <c r="A253" t="s">
        <v>66</v>
      </c>
      <c r="B253" t="s">
        <v>57</v>
      </c>
      <c r="C253" t="s">
        <v>63</v>
      </c>
      <c r="D253" s="1">
        <v>0</v>
      </c>
      <c r="E253" s="1">
        <v>0</v>
      </c>
      <c r="F253" s="1">
        <v>0</v>
      </c>
      <c r="G253" s="1">
        <v>0</v>
      </c>
      <c r="H253" s="1">
        <v>0</v>
      </c>
      <c r="I253" s="1">
        <v>0</v>
      </c>
      <c r="J253" s="1">
        <v>0</v>
      </c>
      <c r="K253" s="1">
        <v>0</v>
      </c>
      <c r="L253" s="1">
        <v>0</v>
      </c>
      <c r="M253" s="1">
        <v>0</v>
      </c>
      <c r="N253" s="1">
        <v>0</v>
      </c>
      <c r="O253" s="1">
        <v>0</v>
      </c>
      <c r="P253" s="1">
        <v>0</v>
      </c>
      <c r="Q253" s="1">
        <v>0</v>
      </c>
      <c r="R253" s="1">
        <v>0</v>
      </c>
      <c r="S253" s="1">
        <v>0</v>
      </c>
      <c r="T253" s="1">
        <v>0</v>
      </c>
      <c r="U253" s="1">
        <v>0</v>
      </c>
      <c r="V253" s="1" t="s">
        <v>301</v>
      </c>
    </row>
    <row r="254" spans="1:22">
      <c r="A254" t="s">
        <v>66</v>
      </c>
      <c r="B254" t="s">
        <v>57</v>
      </c>
      <c r="C254" t="s">
        <v>64</v>
      </c>
      <c r="D254" s="1">
        <v>0</v>
      </c>
      <c r="E254" s="1">
        <v>0</v>
      </c>
      <c r="F254" s="1">
        <v>0</v>
      </c>
      <c r="G254" s="1">
        <v>0</v>
      </c>
      <c r="H254" s="1">
        <v>0</v>
      </c>
      <c r="I254" s="1">
        <v>0</v>
      </c>
      <c r="J254" s="1">
        <v>0</v>
      </c>
      <c r="K254" s="1">
        <v>0</v>
      </c>
      <c r="L254" s="1">
        <v>0</v>
      </c>
      <c r="M254" s="1">
        <v>0</v>
      </c>
      <c r="N254" s="1">
        <v>0</v>
      </c>
      <c r="O254" s="1">
        <v>0</v>
      </c>
      <c r="P254" s="1">
        <v>0</v>
      </c>
      <c r="Q254" s="1">
        <v>0</v>
      </c>
      <c r="R254" s="1">
        <v>0</v>
      </c>
      <c r="S254" s="1">
        <v>0</v>
      </c>
      <c r="T254" s="1">
        <v>0</v>
      </c>
      <c r="U254" s="1">
        <v>0</v>
      </c>
      <c r="V254" s="1" t="s">
        <v>301</v>
      </c>
    </row>
    <row r="255" spans="1:22">
      <c r="A255" t="s">
        <v>66</v>
      </c>
      <c r="B255" t="s">
        <v>57</v>
      </c>
      <c r="C255" t="s">
        <v>65</v>
      </c>
      <c r="D255" s="1">
        <v>0</v>
      </c>
      <c r="E255" s="1">
        <v>0</v>
      </c>
      <c r="F255" s="1">
        <v>0</v>
      </c>
      <c r="G255" s="1">
        <v>0</v>
      </c>
      <c r="H255" s="1">
        <v>0</v>
      </c>
      <c r="I255" s="1">
        <v>0</v>
      </c>
      <c r="J255" s="1">
        <v>0</v>
      </c>
      <c r="K255" s="1">
        <v>0</v>
      </c>
      <c r="L255" s="1">
        <v>0</v>
      </c>
      <c r="M255" s="1">
        <v>0</v>
      </c>
      <c r="N255" s="1">
        <v>0</v>
      </c>
      <c r="O255" s="1">
        <v>0</v>
      </c>
      <c r="P255" s="1">
        <v>0</v>
      </c>
      <c r="Q255" s="1">
        <v>0</v>
      </c>
      <c r="R255" s="1">
        <v>0</v>
      </c>
      <c r="S255" s="1">
        <v>0</v>
      </c>
      <c r="T255" s="1">
        <v>0</v>
      </c>
      <c r="U255" s="1">
        <v>0</v>
      </c>
      <c r="V255" s="1" t="s">
        <v>301</v>
      </c>
    </row>
    <row r="256" spans="1:22">
      <c r="A256" t="s">
        <v>189</v>
      </c>
      <c r="B256" t="s">
        <v>57</v>
      </c>
      <c r="C256" t="s">
        <v>58</v>
      </c>
      <c r="D256" s="1">
        <v>0</v>
      </c>
      <c r="E256" s="1">
        <v>0</v>
      </c>
      <c r="F256" s="1">
        <v>0</v>
      </c>
      <c r="G256" s="1">
        <v>0</v>
      </c>
      <c r="H256" s="1">
        <v>0</v>
      </c>
      <c r="I256" s="1">
        <v>0</v>
      </c>
      <c r="J256" s="1">
        <v>0</v>
      </c>
      <c r="K256" s="1">
        <v>0</v>
      </c>
      <c r="L256" s="1">
        <v>0</v>
      </c>
      <c r="M256" s="1">
        <v>0</v>
      </c>
      <c r="N256" s="1">
        <v>0</v>
      </c>
      <c r="O256" s="1">
        <v>0</v>
      </c>
      <c r="P256" s="1">
        <v>0</v>
      </c>
      <c r="Q256" s="1">
        <v>0</v>
      </c>
      <c r="R256" s="1">
        <v>0</v>
      </c>
      <c r="S256" s="1">
        <v>0</v>
      </c>
      <c r="T256" s="1">
        <v>0</v>
      </c>
      <c r="U256" s="1">
        <v>3</v>
      </c>
      <c r="V256" s="1" t="s">
        <v>301</v>
      </c>
    </row>
    <row r="257" spans="1:22">
      <c r="A257" t="s">
        <v>189</v>
      </c>
      <c r="B257" t="s">
        <v>57</v>
      </c>
      <c r="C257" t="s">
        <v>59</v>
      </c>
      <c r="D257" s="1">
        <v>0</v>
      </c>
      <c r="E257" s="1">
        <v>0</v>
      </c>
      <c r="F257" s="1">
        <v>0</v>
      </c>
      <c r="G257" s="1">
        <v>0</v>
      </c>
      <c r="H257" s="1">
        <v>0</v>
      </c>
      <c r="I257" s="1">
        <v>0</v>
      </c>
      <c r="J257" s="1">
        <v>0</v>
      </c>
      <c r="K257" s="1">
        <v>0</v>
      </c>
      <c r="L257" s="1">
        <v>0</v>
      </c>
      <c r="M257" s="1">
        <v>0</v>
      </c>
      <c r="N257" s="1">
        <v>0</v>
      </c>
      <c r="O257" s="1">
        <v>0</v>
      </c>
      <c r="P257" s="1">
        <v>0</v>
      </c>
      <c r="Q257" s="1">
        <v>0</v>
      </c>
      <c r="R257" s="1">
        <v>0</v>
      </c>
      <c r="S257" s="1">
        <v>0</v>
      </c>
      <c r="T257" s="1">
        <v>0</v>
      </c>
      <c r="U257" s="1">
        <v>0</v>
      </c>
      <c r="V257" s="1" t="s">
        <v>301</v>
      </c>
    </row>
    <row r="258" spans="1:22">
      <c r="A258" t="s">
        <v>189</v>
      </c>
      <c r="B258" t="s">
        <v>57</v>
      </c>
      <c r="C258" t="s">
        <v>60</v>
      </c>
      <c r="D258" s="1">
        <v>0</v>
      </c>
      <c r="E258" s="1">
        <v>0</v>
      </c>
      <c r="F258" s="1">
        <v>0</v>
      </c>
      <c r="G258" s="1">
        <v>0</v>
      </c>
      <c r="H258" s="1">
        <v>0</v>
      </c>
      <c r="I258" s="1">
        <v>0</v>
      </c>
      <c r="J258" s="1">
        <v>0</v>
      </c>
      <c r="K258" s="1">
        <v>0</v>
      </c>
      <c r="L258" s="1">
        <v>0</v>
      </c>
      <c r="M258" s="1">
        <v>0</v>
      </c>
      <c r="N258" s="1">
        <v>0</v>
      </c>
      <c r="O258" s="1">
        <v>0</v>
      </c>
      <c r="P258" s="1">
        <v>0</v>
      </c>
      <c r="Q258" s="1">
        <v>0</v>
      </c>
      <c r="R258" s="1">
        <v>0</v>
      </c>
      <c r="S258" s="1">
        <v>0</v>
      </c>
      <c r="T258" s="1">
        <v>0</v>
      </c>
      <c r="U258" s="1">
        <v>0</v>
      </c>
      <c r="V258" s="1" t="s">
        <v>301</v>
      </c>
    </row>
    <row r="259" spans="1:22">
      <c r="A259" t="s">
        <v>189</v>
      </c>
      <c r="B259" t="s">
        <v>57</v>
      </c>
      <c r="C259" t="s">
        <v>61</v>
      </c>
      <c r="D259" s="1">
        <v>0</v>
      </c>
      <c r="E259" s="1">
        <v>0</v>
      </c>
      <c r="F259" s="1">
        <v>0</v>
      </c>
      <c r="G259" s="1">
        <v>0</v>
      </c>
      <c r="H259" s="1">
        <v>0</v>
      </c>
      <c r="I259" s="1">
        <v>0</v>
      </c>
      <c r="J259" s="1">
        <v>0</v>
      </c>
      <c r="K259" s="1">
        <v>0</v>
      </c>
      <c r="L259" s="1">
        <v>0</v>
      </c>
      <c r="M259" s="1">
        <v>0</v>
      </c>
      <c r="N259" s="1">
        <v>0</v>
      </c>
      <c r="O259" s="1">
        <v>0</v>
      </c>
      <c r="P259" s="1">
        <v>0</v>
      </c>
      <c r="Q259" s="1">
        <v>0</v>
      </c>
      <c r="R259" s="1">
        <v>0</v>
      </c>
      <c r="S259" s="1">
        <v>0</v>
      </c>
      <c r="T259" s="1">
        <v>0</v>
      </c>
      <c r="U259" s="1">
        <v>0</v>
      </c>
      <c r="V259" s="1" t="s">
        <v>301</v>
      </c>
    </row>
    <row r="260" spans="1:22">
      <c r="A260" t="s">
        <v>189</v>
      </c>
      <c r="B260" t="s">
        <v>57</v>
      </c>
      <c r="C260" t="s">
        <v>62</v>
      </c>
      <c r="D260" s="1">
        <v>0</v>
      </c>
      <c r="E260" s="1">
        <v>0</v>
      </c>
      <c r="F260" s="1">
        <v>0</v>
      </c>
      <c r="G260" s="1">
        <v>0</v>
      </c>
      <c r="H260" s="1">
        <v>0</v>
      </c>
      <c r="I260" s="1">
        <v>0</v>
      </c>
      <c r="J260" s="1">
        <v>0</v>
      </c>
      <c r="K260" s="1">
        <v>0</v>
      </c>
      <c r="L260" s="1">
        <v>0</v>
      </c>
      <c r="M260" s="1">
        <v>0</v>
      </c>
      <c r="N260" s="1">
        <v>0</v>
      </c>
      <c r="O260" s="1">
        <v>0</v>
      </c>
      <c r="P260" s="1">
        <v>0</v>
      </c>
      <c r="Q260" s="1">
        <v>0</v>
      </c>
      <c r="R260" s="1">
        <v>0</v>
      </c>
      <c r="S260" s="1">
        <v>0</v>
      </c>
      <c r="T260" s="1">
        <v>0</v>
      </c>
      <c r="U260" s="1">
        <v>0</v>
      </c>
      <c r="V260" s="1" t="s">
        <v>301</v>
      </c>
    </row>
    <row r="261" spans="1:22">
      <c r="A261" t="s">
        <v>189</v>
      </c>
      <c r="B261" t="s">
        <v>57</v>
      </c>
      <c r="C261" t="s">
        <v>63</v>
      </c>
      <c r="D261" s="1">
        <v>0</v>
      </c>
      <c r="E261" s="1">
        <v>0</v>
      </c>
      <c r="F261" s="1">
        <v>0</v>
      </c>
      <c r="G261" s="1">
        <v>0</v>
      </c>
      <c r="H261" s="1">
        <v>0</v>
      </c>
      <c r="I261" s="1">
        <v>0</v>
      </c>
      <c r="J261" s="1">
        <v>0</v>
      </c>
      <c r="K261" s="1">
        <v>0</v>
      </c>
      <c r="L261" s="1">
        <v>0</v>
      </c>
      <c r="M261" s="1">
        <v>0</v>
      </c>
      <c r="N261" s="1">
        <v>0</v>
      </c>
      <c r="O261" s="1">
        <v>0</v>
      </c>
      <c r="P261" s="1">
        <v>0</v>
      </c>
      <c r="Q261" s="1">
        <v>0</v>
      </c>
      <c r="R261" s="1">
        <v>0</v>
      </c>
      <c r="S261" s="1">
        <v>0</v>
      </c>
      <c r="T261" s="1">
        <v>0</v>
      </c>
      <c r="U261" s="1">
        <v>0</v>
      </c>
      <c r="V261" s="1" t="s">
        <v>301</v>
      </c>
    </row>
    <row r="262" spans="1:22">
      <c r="A262" t="s">
        <v>189</v>
      </c>
      <c r="B262" t="s">
        <v>57</v>
      </c>
      <c r="C262" t="s">
        <v>64</v>
      </c>
      <c r="D262" s="1">
        <v>0</v>
      </c>
      <c r="E262" s="1">
        <v>0</v>
      </c>
      <c r="F262" s="1">
        <v>0</v>
      </c>
      <c r="G262" s="1">
        <v>0</v>
      </c>
      <c r="H262" s="1">
        <v>0</v>
      </c>
      <c r="I262" s="1">
        <v>0</v>
      </c>
      <c r="J262" s="1">
        <v>0</v>
      </c>
      <c r="K262" s="1">
        <v>0</v>
      </c>
      <c r="L262" s="1">
        <v>0</v>
      </c>
      <c r="M262" s="1">
        <v>0</v>
      </c>
      <c r="N262" s="1">
        <v>0</v>
      </c>
      <c r="O262" s="1">
        <v>0</v>
      </c>
      <c r="P262" s="1">
        <v>0</v>
      </c>
      <c r="Q262" s="1">
        <v>0</v>
      </c>
      <c r="R262" s="1">
        <v>0</v>
      </c>
      <c r="S262" s="1">
        <v>0</v>
      </c>
      <c r="T262" s="1">
        <v>0</v>
      </c>
      <c r="U262" s="1">
        <v>0</v>
      </c>
      <c r="V262" s="1" t="s">
        <v>301</v>
      </c>
    </row>
    <row r="263" spans="1:22">
      <c r="A263" t="s">
        <v>189</v>
      </c>
      <c r="B263" t="s">
        <v>57</v>
      </c>
      <c r="C263" t="s">
        <v>65</v>
      </c>
      <c r="D263" s="1">
        <v>0</v>
      </c>
      <c r="E263" s="1">
        <v>0</v>
      </c>
      <c r="F263" s="1">
        <v>0</v>
      </c>
      <c r="G263" s="1">
        <v>0</v>
      </c>
      <c r="H263" s="1">
        <v>0</v>
      </c>
      <c r="I263" s="1">
        <v>0</v>
      </c>
      <c r="J263" s="1">
        <v>0</v>
      </c>
      <c r="K263" s="1">
        <v>0</v>
      </c>
      <c r="L263" s="1">
        <v>0</v>
      </c>
      <c r="M263" s="1">
        <v>0</v>
      </c>
      <c r="N263" s="1">
        <v>0</v>
      </c>
      <c r="O263" s="1">
        <v>0</v>
      </c>
      <c r="P263" s="1">
        <v>0</v>
      </c>
      <c r="Q263" s="1">
        <v>0</v>
      </c>
      <c r="R263" s="1">
        <v>0</v>
      </c>
      <c r="S263" s="1">
        <v>0</v>
      </c>
      <c r="T263" s="1">
        <v>0</v>
      </c>
      <c r="U263" s="1">
        <v>0</v>
      </c>
      <c r="V263" s="1" t="s">
        <v>301</v>
      </c>
    </row>
    <row r="264" spans="1:22">
      <c r="A264" t="s">
        <v>55</v>
      </c>
      <c r="B264" t="s">
        <v>57</v>
      </c>
      <c r="C264" t="s">
        <v>58</v>
      </c>
      <c r="D264" s="1">
        <v>0</v>
      </c>
      <c r="E264" s="1">
        <v>0</v>
      </c>
      <c r="F264" s="1">
        <v>0</v>
      </c>
      <c r="G264" s="1">
        <v>0</v>
      </c>
      <c r="H264" s="1">
        <v>0</v>
      </c>
      <c r="I264" s="1">
        <v>0</v>
      </c>
      <c r="J264" s="1">
        <v>0</v>
      </c>
      <c r="K264" s="1">
        <v>0</v>
      </c>
      <c r="L264" s="1">
        <v>0</v>
      </c>
      <c r="M264" s="1">
        <v>0</v>
      </c>
      <c r="N264" s="1">
        <v>0</v>
      </c>
      <c r="O264" s="1">
        <v>0</v>
      </c>
      <c r="P264" s="1">
        <v>0</v>
      </c>
      <c r="Q264" s="1">
        <v>0</v>
      </c>
      <c r="R264" s="1">
        <v>0</v>
      </c>
      <c r="S264" s="1">
        <v>0</v>
      </c>
      <c r="T264" s="1">
        <v>0</v>
      </c>
      <c r="U264" s="1">
        <v>22</v>
      </c>
      <c r="V264" s="1" t="s">
        <v>301</v>
      </c>
    </row>
    <row r="265" spans="1:22">
      <c r="A265" t="s">
        <v>55</v>
      </c>
      <c r="B265" t="s">
        <v>57</v>
      </c>
      <c r="C265" t="s">
        <v>59</v>
      </c>
      <c r="D265" s="1">
        <v>0</v>
      </c>
      <c r="E265" s="1">
        <v>1</v>
      </c>
      <c r="F265" s="1">
        <v>0</v>
      </c>
      <c r="G265" s="1">
        <v>0</v>
      </c>
      <c r="H265" s="1">
        <v>0</v>
      </c>
      <c r="I265" s="1">
        <v>0</v>
      </c>
      <c r="J265" s="1">
        <v>1</v>
      </c>
      <c r="K265" s="1">
        <v>0</v>
      </c>
      <c r="L265" s="1">
        <v>0</v>
      </c>
      <c r="M265" s="1">
        <v>0</v>
      </c>
      <c r="N265" s="1">
        <v>1</v>
      </c>
      <c r="O265" s="1">
        <v>0</v>
      </c>
      <c r="P265" s="1">
        <v>0</v>
      </c>
      <c r="Q265" s="1">
        <v>0</v>
      </c>
      <c r="R265" s="1">
        <v>0</v>
      </c>
      <c r="S265" s="1">
        <v>1</v>
      </c>
      <c r="T265" s="1">
        <v>0</v>
      </c>
      <c r="U265" s="1">
        <v>1</v>
      </c>
      <c r="V265" s="1" t="s">
        <v>301</v>
      </c>
    </row>
    <row r="266" spans="1:22">
      <c r="A266" t="s">
        <v>55</v>
      </c>
      <c r="B266" t="s">
        <v>57</v>
      </c>
      <c r="C266" t="s">
        <v>60</v>
      </c>
      <c r="D266" s="1">
        <v>0</v>
      </c>
      <c r="E266" s="1">
        <v>0</v>
      </c>
      <c r="F266" s="1">
        <v>0</v>
      </c>
      <c r="G266" s="1">
        <v>0</v>
      </c>
      <c r="H266" s="1">
        <v>0</v>
      </c>
      <c r="I266" s="1">
        <v>0</v>
      </c>
      <c r="J266" s="1">
        <v>0</v>
      </c>
      <c r="K266" s="1">
        <v>0</v>
      </c>
      <c r="L266" s="1">
        <v>0</v>
      </c>
      <c r="M266" s="1">
        <v>0</v>
      </c>
      <c r="N266" s="1">
        <v>0</v>
      </c>
      <c r="O266" s="1">
        <v>0</v>
      </c>
      <c r="P266" s="1">
        <v>0</v>
      </c>
      <c r="Q266" s="1">
        <v>0</v>
      </c>
      <c r="R266" s="1">
        <v>0</v>
      </c>
      <c r="S266" s="1">
        <v>0</v>
      </c>
      <c r="T266" s="1">
        <v>0</v>
      </c>
      <c r="U266" s="1">
        <v>0</v>
      </c>
      <c r="V266" s="1" t="s">
        <v>301</v>
      </c>
    </row>
    <row r="267" spans="1:22">
      <c r="A267" t="s">
        <v>55</v>
      </c>
      <c r="B267" t="s">
        <v>57</v>
      </c>
      <c r="C267" t="s">
        <v>61</v>
      </c>
      <c r="D267" s="1">
        <v>0</v>
      </c>
      <c r="E267" s="1">
        <v>0</v>
      </c>
      <c r="F267" s="1">
        <v>0</v>
      </c>
      <c r="G267" s="1">
        <v>0</v>
      </c>
      <c r="H267" s="1">
        <v>0</v>
      </c>
      <c r="I267" s="1">
        <v>0</v>
      </c>
      <c r="J267" s="1">
        <v>0</v>
      </c>
      <c r="K267" s="1">
        <v>0</v>
      </c>
      <c r="L267" s="1">
        <v>0</v>
      </c>
      <c r="M267" s="1">
        <v>0</v>
      </c>
      <c r="N267" s="1">
        <v>0</v>
      </c>
      <c r="O267" s="1">
        <v>0</v>
      </c>
      <c r="P267" s="1">
        <v>0</v>
      </c>
      <c r="Q267" s="1">
        <v>0</v>
      </c>
      <c r="R267" s="1">
        <v>0</v>
      </c>
      <c r="S267" s="1">
        <v>0</v>
      </c>
      <c r="T267" s="1">
        <v>0</v>
      </c>
      <c r="U267" s="1">
        <v>0</v>
      </c>
      <c r="V267" s="1" t="s">
        <v>301</v>
      </c>
    </row>
    <row r="268" spans="1:22">
      <c r="A268" t="s">
        <v>55</v>
      </c>
      <c r="B268" t="s">
        <v>57</v>
      </c>
      <c r="C268" t="s">
        <v>62</v>
      </c>
      <c r="D268" s="1">
        <v>0</v>
      </c>
      <c r="E268" s="1">
        <v>0</v>
      </c>
      <c r="F268" s="1">
        <v>0</v>
      </c>
      <c r="G268" s="1">
        <v>0</v>
      </c>
      <c r="H268" s="1">
        <v>0</v>
      </c>
      <c r="I268" s="1">
        <v>0</v>
      </c>
      <c r="J268" s="1">
        <v>0</v>
      </c>
      <c r="K268" s="1">
        <v>0</v>
      </c>
      <c r="L268" s="1">
        <v>0</v>
      </c>
      <c r="M268" s="1">
        <v>0</v>
      </c>
      <c r="N268" s="1">
        <v>0</v>
      </c>
      <c r="O268" s="1">
        <v>0</v>
      </c>
      <c r="P268" s="1">
        <v>0</v>
      </c>
      <c r="Q268" s="1">
        <v>0</v>
      </c>
      <c r="R268" s="1">
        <v>0</v>
      </c>
      <c r="S268" s="1">
        <v>0</v>
      </c>
      <c r="T268" s="1">
        <v>0</v>
      </c>
      <c r="U268" s="1">
        <v>0</v>
      </c>
      <c r="V268" s="1" t="s">
        <v>301</v>
      </c>
    </row>
    <row r="269" spans="1:22">
      <c r="A269" t="s">
        <v>55</v>
      </c>
      <c r="B269" t="s">
        <v>57</v>
      </c>
      <c r="C269" t="s">
        <v>63</v>
      </c>
      <c r="D269" s="1">
        <v>0</v>
      </c>
      <c r="E269" s="1">
        <v>0</v>
      </c>
      <c r="F269" s="1">
        <v>0</v>
      </c>
      <c r="G269" s="1">
        <v>0</v>
      </c>
      <c r="H269" s="1">
        <v>0</v>
      </c>
      <c r="I269" s="1">
        <v>0</v>
      </c>
      <c r="J269" s="1">
        <v>0</v>
      </c>
      <c r="K269" s="1">
        <v>0</v>
      </c>
      <c r="L269" s="1">
        <v>0</v>
      </c>
      <c r="M269" s="1">
        <v>0</v>
      </c>
      <c r="N269" s="1">
        <v>0</v>
      </c>
      <c r="O269" s="1">
        <v>0</v>
      </c>
      <c r="P269" s="1">
        <v>0</v>
      </c>
      <c r="Q269" s="1">
        <v>0</v>
      </c>
      <c r="R269" s="1">
        <v>0</v>
      </c>
      <c r="S269" s="1">
        <v>0</v>
      </c>
      <c r="T269" s="1">
        <v>0</v>
      </c>
      <c r="U269" s="1">
        <v>0</v>
      </c>
      <c r="V269" s="1" t="s">
        <v>301</v>
      </c>
    </row>
    <row r="270" spans="1:22">
      <c r="A270" t="s">
        <v>55</v>
      </c>
      <c r="B270" t="s">
        <v>57</v>
      </c>
      <c r="C270" t="s">
        <v>64</v>
      </c>
      <c r="D270" s="1">
        <v>0</v>
      </c>
      <c r="E270" s="1">
        <v>1</v>
      </c>
      <c r="F270" s="1">
        <v>0</v>
      </c>
      <c r="G270" s="1">
        <v>0</v>
      </c>
      <c r="H270" s="1">
        <v>0</v>
      </c>
      <c r="I270" s="1">
        <v>0</v>
      </c>
      <c r="J270" s="1">
        <v>1</v>
      </c>
      <c r="K270" s="1">
        <v>0</v>
      </c>
      <c r="L270" s="1">
        <v>0</v>
      </c>
      <c r="M270" s="1">
        <v>0</v>
      </c>
      <c r="N270" s="1">
        <v>1</v>
      </c>
      <c r="O270" s="1">
        <v>0</v>
      </c>
      <c r="P270" s="1">
        <v>0</v>
      </c>
      <c r="Q270" s="1">
        <v>0</v>
      </c>
      <c r="R270" s="1">
        <v>0</v>
      </c>
      <c r="S270" s="1">
        <v>1</v>
      </c>
      <c r="T270" s="1">
        <v>0</v>
      </c>
      <c r="U270" s="1">
        <v>1</v>
      </c>
      <c r="V270" s="1" t="s">
        <v>301</v>
      </c>
    </row>
    <row r="271" spans="1:22">
      <c r="A271" t="s">
        <v>55</v>
      </c>
      <c r="B271" t="s">
        <v>57</v>
      </c>
      <c r="C271" t="s">
        <v>65</v>
      </c>
      <c r="D271" s="1">
        <v>0</v>
      </c>
      <c r="E271" s="1">
        <v>0</v>
      </c>
      <c r="F271" s="1">
        <v>0</v>
      </c>
      <c r="G271" s="1">
        <v>0</v>
      </c>
      <c r="H271" s="1">
        <v>0</v>
      </c>
      <c r="I271" s="1">
        <v>0</v>
      </c>
      <c r="J271" s="1">
        <v>0</v>
      </c>
      <c r="K271" s="1">
        <v>0</v>
      </c>
      <c r="L271" s="1">
        <v>0</v>
      </c>
      <c r="M271" s="1">
        <v>0</v>
      </c>
      <c r="N271" s="1">
        <v>0</v>
      </c>
      <c r="O271" s="1">
        <v>0</v>
      </c>
      <c r="P271" s="1">
        <v>0</v>
      </c>
      <c r="Q271" s="1">
        <v>0</v>
      </c>
      <c r="R271" s="1">
        <v>0</v>
      </c>
      <c r="S271" s="1">
        <v>0</v>
      </c>
      <c r="T271" s="1">
        <v>0</v>
      </c>
      <c r="U271" s="1">
        <v>0</v>
      </c>
      <c r="V271" s="1" t="s">
        <v>301</v>
      </c>
    </row>
    <row r="272" spans="1:22"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</row>
    <row r="273" spans="4:21"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</row>
    <row r="274" spans="4:21"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</row>
    <row r="275" spans="4:21"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</row>
    <row r="276" spans="4:21"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</row>
    <row r="277" spans="4:21"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</row>
    <row r="278" spans="4:21"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</row>
    <row r="279" spans="4:21"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</row>
    <row r="280" spans="4:21"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</row>
    <row r="281" spans="4:21"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</row>
    <row r="282" spans="4:21"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</row>
    <row r="283" spans="4:21"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</row>
    <row r="284" spans="4:21"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</row>
    <row r="285" spans="4:21"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</row>
    <row r="286" spans="4:21"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</row>
    <row r="287" spans="4:21"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</row>
    <row r="288" spans="4:21"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</row>
    <row r="289" spans="4:21"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</row>
    <row r="290" spans="4:21"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</row>
    <row r="291" spans="4:21"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</row>
    <row r="292" spans="4:21"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</row>
    <row r="293" spans="4:21"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</row>
    <row r="294" spans="4:21"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</row>
    <row r="295" spans="4:21"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</row>
    <row r="296" spans="4:21"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</row>
    <row r="297" spans="4:21"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</row>
    <row r="298" spans="4:21"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</row>
    <row r="299" spans="4:21"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</row>
    <row r="300" spans="4:21"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</row>
    <row r="301" spans="4:21"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</row>
    <row r="302" spans="4:21"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</row>
    <row r="303" spans="4:21"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</row>
    <row r="304" spans="4:21"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</row>
    <row r="305" spans="4:21"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</row>
    <row r="306" spans="4:21"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</row>
    <row r="307" spans="4:21"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</row>
    <row r="308" spans="4:21"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</row>
    <row r="309" spans="4:21"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</row>
    <row r="310" spans="4:21"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</row>
    <row r="311" spans="4:21"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</row>
    <row r="312" spans="4:21"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</row>
    <row r="313" spans="4:21"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</row>
    <row r="314" spans="4:21"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</row>
    <row r="315" spans="4:21"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</row>
    <row r="316" spans="4:21"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</row>
    <row r="317" spans="4:21"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</row>
    <row r="318" spans="4:21"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</row>
    <row r="319" spans="4:21"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</row>
    <row r="320" spans="4:21"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</row>
    <row r="321" spans="1:22"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</row>
    <row r="322" spans="1:22"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</row>
    <row r="323" spans="1:22"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</row>
    <row r="324" spans="1:22"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</row>
    <row r="325" spans="1:22"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</row>
    <row r="326" spans="1:22"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</row>
    <row r="327" spans="1:22"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</row>
    <row r="328" spans="1:22"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</row>
    <row r="329" spans="1:22">
      <c r="A329">
        <f>setup!C19</f>
        <v>3830</v>
      </c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</row>
    <row r="330" spans="1:22">
      <c r="A330" t="str">
        <f>_xlfn.CONCAT(setup!D19, " - ",setup!E19)</f>
        <v>OSEP – Developmental Delay - Digital - OSEP_DD_D</v>
      </c>
    </row>
    <row r="331" spans="1:22">
      <c r="A331" t="s">
        <v>35</v>
      </c>
      <c r="B331" t="s">
        <v>36</v>
      </c>
      <c r="C331" t="s">
        <v>37</v>
      </c>
      <c r="D331" s="1" t="s">
        <v>38</v>
      </c>
      <c r="E331" s="1" t="s">
        <v>39</v>
      </c>
      <c r="F331" s="1" t="s">
        <v>40</v>
      </c>
      <c r="G331" s="1" t="s">
        <v>41</v>
      </c>
      <c r="H331" s="1" t="s">
        <v>42</v>
      </c>
      <c r="I331" s="1" t="s">
        <v>43</v>
      </c>
      <c r="J331" s="1" t="s">
        <v>44</v>
      </c>
      <c r="K331" s="1" t="s">
        <v>45</v>
      </c>
      <c r="L331" s="1" t="s">
        <v>46</v>
      </c>
      <c r="M331" s="1" t="s">
        <v>47</v>
      </c>
      <c r="N331" s="1" t="s">
        <v>48</v>
      </c>
      <c r="O331" s="1" t="s">
        <v>49</v>
      </c>
      <c r="P331" s="1" t="s">
        <v>50</v>
      </c>
      <c r="Q331" s="1" t="s">
        <v>51</v>
      </c>
      <c r="R331" s="1" t="s">
        <v>52</v>
      </c>
      <c r="S331" s="1" t="s">
        <v>53</v>
      </c>
      <c r="T331" t="s">
        <v>54</v>
      </c>
      <c r="U331" s="1" t="s">
        <v>55</v>
      </c>
      <c r="V331" t="s">
        <v>56</v>
      </c>
    </row>
    <row r="332" spans="1:22">
      <c r="A332" t="s">
        <v>187</v>
      </c>
      <c r="B332" t="s">
        <v>57</v>
      </c>
      <c r="C332" t="s">
        <v>58</v>
      </c>
      <c r="D332" s="1">
        <v>0</v>
      </c>
      <c r="E332" s="1">
        <v>0</v>
      </c>
      <c r="F332" s="1">
        <v>0</v>
      </c>
      <c r="G332" s="1">
        <v>0</v>
      </c>
      <c r="H332" s="1">
        <v>0</v>
      </c>
      <c r="I332" s="1">
        <v>0</v>
      </c>
      <c r="J332" s="1">
        <v>0</v>
      </c>
      <c r="K332" s="1">
        <v>0</v>
      </c>
      <c r="L332" s="1">
        <v>0</v>
      </c>
      <c r="M332" s="1">
        <v>0</v>
      </c>
      <c r="N332" s="1">
        <v>0</v>
      </c>
      <c r="O332" s="1">
        <v>0</v>
      </c>
      <c r="P332" s="1">
        <v>0</v>
      </c>
      <c r="Q332" s="1">
        <v>0</v>
      </c>
      <c r="R332" s="1">
        <v>0</v>
      </c>
      <c r="S332" s="1">
        <v>0</v>
      </c>
      <c r="T332" s="1">
        <v>0</v>
      </c>
      <c r="U332" s="1">
        <v>2</v>
      </c>
      <c r="V332" s="1" t="s">
        <v>301</v>
      </c>
    </row>
    <row r="333" spans="1:22">
      <c r="A333" t="s">
        <v>187</v>
      </c>
      <c r="B333" t="s">
        <v>57</v>
      </c>
      <c r="C333" t="s">
        <v>59</v>
      </c>
      <c r="D333" s="1">
        <v>0</v>
      </c>
      <c r="E333" s="1">
        <v>0</v>
      </c>
      <c r="F333" s="1">
        <v>0</v>
      </c>
      <c r="G333" s="1">
        <v>0</v>
      </c>
      <c r="H333" s="1">
        <v>0</v>
      </c>
      <c r="I333" s="1">
        <v>0</v>
      </c>
      <c r="J333" s="1">
        <v>0</v>
      </c>
      <c r="K333" s="1">
        <v>0</v>
      </c>
      <c r="L333" s="1">
        <v>0</v>
      </c>
      <c r="M333" s="1">
        <v>0</v>
      </c>
      <c r="N333" s="1">
        <v>0</v>
      </c>
      <c r="O333" s="1">
        <v>0</v>
      </c>
      <c r="P333" s="1">
        <v>0</v>
      </c>
      <c r="Q333" s="1">
        <v>0</v>
      </c>
      <c r="R333" s="1">
        <v>0</v>
      </c>
      <c r="S333" s="1">
        <v>0</v>
      </c>
      <c r="T333" s="1">
        <v>0</v>
      </c>
      <c r="U333" s="1">
        <v>0</v>
      </c>
      <c r="V333" s="1" t="s">
        <v>301</v>
      </c>
    </row>
    <row r="334" spans="1:22">
      <c r="A334" t="s">
        <v>187</v>
      </c>
      <c r="B334" t="s">
        <v>57</v>
      </c>
      <c r="C334" t="s">
        <v>60</v>
      </c>
      <c r="D334" s="1">
        <v>0</v>
      </c>
      <c r="E334" s="1">
        <v>0</v>
      </c>
      <c r="F334" s="1">
        <v>0</v>
      </c>
      <c r="G334" s="1">
        <v>0</v>
      </c>
      <c r="H334" s="1">
        <v>0</v>
      </c>
      <c r="I334" s="1">
        <v>0</v>
      </c>
      <c r="J334" s="1">
        <v>0</v>
      </c>
      <c r="K334" s="1">
        <v>0</v>
      </c>
      <c r="L334" s="1">
        <v>0</v>
      </c>
      <c r="M334" s="1">
        <v>0</v>
      </c>
      <c r="N334" s="1">
        <v>0</v>
      </c>
      <c r="O334" s="1">
        <v>0</v>
      </c>
      <c r="P334" s="1">
        <v>0</v>
      </c>
      <c r="Q334" s="1">
        <v>0</v>
      </c>
      <c r="R334" s="1">
        <v>0</v>
      </c>
      <c r="S334" s="1">
        <v>0</v>
      </c>
      <c r="T334" s="1">
        <v>0</v>
      </c>
      <c r="U334" s="1">
        <v>0</v>
      </c>
      <c r="V334" s="1" t="s">
        <v>301</v>
      </c>
    </row>
    <row r="335" spans="1:22">
      <c r="A335" t="s">
        <v>187</v>
      </c>
      <c r="B335" t="s">
        <v>57</v>
      </c>
      <c r="C335" t="s">
        <v>61</v>
      </c>
      <c r="D335" s="1">
        <v>0</v>
      </c>
      <c r="E335" s="1">
        <v>0</v>
      </c>
      <c r="F335" s="1">
        <v>0</v>
      </c>
      <c r="G335" s="1">
        <v>0</v>
      </c>
      <c r="H335" s="1">
        <v>0</v>
      </c>
      <c r="I335" s="1">
        <v>0</v>
      </c>
      <c r="J335" s="1">
        <v>0</v>
      </c>
      <c r="K335" s="1">
        <v>0</v>
      </c>
      <c r="L335" s="1">
        <v>0</v>
      </c>
      <c r="M335" s="1">
        <v>0</v>
      </c>
      <c r="N335" s="1">
        <v>0</v>
      </c>
      <c r="O335" s="1">
        <v>0</v>
      </c>
      <c r="P335" s="1">
        <v>0</v>
      </c>
      <c r="Q335" s="1">
        <v>0</v>
      </c>
      <c r="R335" s="1">
        <v>0</v>
      </c>
      <c r="S335" s="1">
        <v>0</v>
      </c>
      <c r="T335" s="1">
        <v>0</v>
      </c>
      <c r="U335" s="1">
        <v>0</v>
      </c>
      <c r="V335" s="1" t="s">
        <v>301</v>
      </c>
    </row>
    <row r="336" spans="1:22">
      <c r="A336" t="s">
        <v>187</v>
      </c>
      <c r="B336" t="s">
        <v>57</v>
      </c>
      <c r="C336" t="s">
        <v>62</v>
      </c>
      <c r="D336" s="1">
        <v>0</v>
      </c>
      <c r="E336" s="1">
        <v>0</v>
      </c>
      <c r="F336" s="1">
        <v>0</v>
      </c>
      <c r="G336" s="1">
        <v>0</v>
      </c>
      <c r="H336" s="1">
        <v>0</v>
      </c>
      <c r="I336" s="1">
        <v>0</v>
      </c>
      <c r="J336" s="1">
        <v>0</v>
      </c>
      <c r="K336" s="1">
        <v>0</v>
      </c>
      <c r="L336" s="1">
        <v>0</v>
      </c>
      <c r="M336" s="1">
        <v>0</v>
      </c>
      <c r="N336" s="1">
        <v>0</v>
      </c>
      <c r="O336" s="1">
        <v>0</v>
      </c>
      <c r="P336" s="1">
        <v>0</v>
      </c>
      <c r="Q336" s="1">
        <v>0</v>
      </c>
      <c r="R336" s="1">
        <v>0</v>
      </c>
      <c r="S336" s="1">
        <v>0</v>
      </c>
      <c r="T336" s="1">
        <v>0</v>
      </c>
      <c r="U336" s="1">
        <v>0</v>
      </c>
      <c r="V336" s="1" t="s">
        <v>301</v>
      </c>
    </row>
    <row r="337" spans="1:22">
      <c r="A337" t="s">
        <v>187</v>
      </c>
      <c r="B337" t="s">
        <v>57</v>
      </c>
      <c r="C337" t="s">
        <v>63</v>
      </c>
      <c r="D337" s="1">
        <v>0</v>
      </c>
      <c r="E337" s="1">
        <v>0</v>
      </c>
      <c r="F337" s="1">
        <v>0</v>
      </c>
      <c r="G337" s="1">
        <v>0</v>
      </c>
      <c r="H337" s="1">
        <v>0</v>
      </c>
      <c r="I337" s="1">
        <v>0</v>
      </c>
      <c r="J337" s="1">
        <v>0</v>
      </c>
      <c r="K337" s="1">
        <v>0</v>
      </c>
      <c r="L337" s="1">
        <v>0</v>
      </c>
      <c r="M337" s="1">
        <v>0</v>
      </c>
      <c r="N337" s="1">
        <v>0</v>
      </c>
      <c r="O337" s="1">
        <v>0</v>
      </c>
      <c r="P337" s="1">
        <v>0</v>
      </c>
      <c r="Q337" s="1">
        <v>0</v>
      </c>
      <c r="R337" s="1">
        <v>0</v>
      </c>
      <c r="S337" s="1">
        <v>0</v>
      </c>
      <c r="T337" s="1">
        <v>0</v>
      </c>
      <c r="U337" s="1">
        <v>0</v>
      </c>
      <c r="V337" s="1" t="s">
        <v>301</v>
      </c>
    </row>
    <row r="338" spans="1:22">
      <c r="A338" t="s">
        <v>187</v>
      </c>
      <c r="B338" t="s">
        <v>57</v>
      </c>
      <c r="C338" t="s">
        <v>64</v>
      </c>
      <c r="D338" s="1">
        <v>0</v>
      </c>
      <c r="E338" s="1">
        <v>0</v>
      </c>
      <c r="F338" s="1">
        <v>0</v>
      </c>
      <c r="G338" s="1">
        <v>0</v>
      </c>
      <c r="H338" s="1">
        <v>0</v>
      </c>
      <c r="I338" s="1">
        <v>0</v>
      </c>
      <c r="J338" s="1">
        <v>0</v>
      </c>
      <c r="K338" s="1">
        <v>0</v>
      </c>
      <c r="L338" s="1">
        <v>0</v>
      </c>
      <c r="M338" s="1">
        <v>0</v>
      </c>
      <c r="N338" s="1">
        <v>0</v>
      </c>
      <c r="O338" s="1">
        <v>0</v>
      </c>
      <c r="P338" s="1">
        <v>0</v>
      </c>
      <c r="Q338" s="1">
        <v>0</v>
      </c>
      <c r="R338" s="1">
        <v>0</v>
      </c>
      <c r="S338" s="1">
        <v>0</v>
      </c>
      <c r="T338" s="1">
        <v>0</v>
      </c>
      <c r="U338" s="1">
        <v>0</v>
      </c>
      <c r="V338" s="1" t="s">
        <v>301</v>
      </c>
    </row>
    <row r="339" spans="1:22">
      <c r="A339" t="s">
        <v>187</v>
      </c>
      <c r="B339" t="s">
        <v>57</v>
      </c>
      <c r="C339" t="s">
        <v>65</v>
      </c>
      <c r="D339" s="1">
        <v>0</v>
      </c>
      <c r="E339" s="1">
        <v>0</v>
      </c>
      <c r="F339" s="1">
        <v>0</v>
      </c>
      <c r="G339" s="1">
        <v>0</v>
      </c>
      <c r="H339" s="1">
        <v>0</v>
      </c>
      <c r="I339" s="1">
        <v>0</v>
      </c>
      <c r="J339" s="1">
        <v>0</v>
      </c>
      <c r="K339" s="1">
        <v>0</v>
      </c>
      <c r="L339" s="1">
        <v>0</v>
      </c>
      <c r="M339" s="1">
        <v>0</v>
      </c>
      <c r="N339" s="1">
        <v>0</v>
      </c>
      <c r="O339" s="1">
        <v>0</v>
      </c>
      <c r="P339" s="1">
        <v>0</v>
      </c>
      <c r="Q339" s="1">
        <v>0</v>
      </c>
      <c r="R339" s="1">
        <v>0</v>
      </c>
      <c r="S339" s="1">
        <v>0</v>
      </c>
      <c r="T339" s="1">
        <v>0</v>
      </c>
      <c r="U339" s="1">
        <v>0</v>
      </c>
      <c r="V339" s="1" t="s">
        <v>301</v>
      </c>
    </row>
    <row r="340" spans="1:22">
      <c r="A340" t="s">
        <v>188</v>
      </c>
      <c r="B340" t="s">
        <v>57</v>
      </c>
      <c r="C340" t="s">
        <v>58</v>
      </c>
      <c r="D340" s="1">
        <v>0</v>
      </c>
      <c r="E340" s="1">
        <v>0</v>
      </c>
      <c r="F340" s="1">
        <v>0</v>
      </c>
      <c r="G340" s="1">
        <v>0</v>
      </c>
      <c r="H340" s="1">
        <v>0</v>
      </c>
      <c r="I340" s="1">
        <v>0</v>
      </c>
      <c r="J340" s="1">
        <v>0</v>
      </c>
      <c r="K340" s="1">
        <v>0</v>
      </c>
      <c r="L340" s="1">
        <v>0</v>
      </c>
      <c r="M340" s="1">
        <v>0</v>
      </c>
      <c r="N340" s="1">
        <v>0</v>
      </c>
      <c r="O340" s="1">
        <v>0</v>
      </c>
      <c r="P340" s="1">
        <v>0</v>
      </c>
      <c r="Q340" s="1">
        <v>0</v>
      </c>
      <c r="R340" s="1">
        <v>0</v>
      </c>
      <c r="S340" s="1">
        <v>0</v>
      </c>
      <c r="T340" s="1">
        <v>0</v>
      </c>
      <c r="U340" s="1">
        <v>2</v>
      </c>
      <c r="V340" s="1" t="s">
        <v>301</v>
      </c>
    </row>
    <row r="341" spans="1:22">
      <c r="A341" t="s">
        <v>188</v>
      </c>
      <c r="B341" t="s">
        <v>57</v>
      </c>
      <c r="C341" t="s">
        <v>59</v>
      </c>
      <c r="D341" s="1">
        <v>0</v>
      </c>
      <c r="E341" s="1">
        <v>0</v>
      </c>
      <c r="F341" s="1">
        <v>0</v>
      </c>
      <c r="G341" s="1">
        <v>0</v>
      </c>
      <c r="H341" s="1">
        <v>0</v>
      </c>
      <c r="I341" s="1">
        <v>0</v>
      </c>
      <c r="J341" s="1">
        <v>0</v>
      </c>
      <c r="K341" s="1">
        <v>0</v>
      </c>
      <c r="L341" s="1">
        <v>0</v>
      </c>
      <c r="M341" s="1">
        <v>0</v>
      </c>
      <c r="N341" s="1">
        <v>0</v>
      </c>
      <c r="O341" s="1">
        <v>0</v>
      </c>
      <c r="P341" s="1">
        <v>0</v>
      </c>
      <c r="Q341" s="1">
        <v>0</v>
      </c>
      <c r="R341" s="1">
        <v>0</v>
      </c>
      <c r="S341" s="1">
        <v>0</v>
      </c>
      <c r="T341" s="1">
        <v>0</v>
      </c>
      <c r="U341" s="1">
        <v>0</v>
      </c>
      <c r="V341" s="1" t="s">
        <v>301</v>
      </c>
    </row>
    <row r="342" spans="1:22">
      <c r="A342" t="s">
        <v>188</v>
      </c>
      <c r="B342" t="s">
        <v>57</v>
      </c>
      <c r="C342" t="s">
        <v>60</v>
      </c>
      <c r="D342" s="1">
        <v>0</v>
      </c>
      <c r="E342" s="1">
        <v>0</v>
      </c>
      <c r="F342" s="1">
        <v>0</v>
      </c>
      <c r="G342" s="1">
        <v>0</v>
      </c>
      <c r="H342" s="1">
        <v>0</v>
      </c>
      <c r="I342" s="1">
        <v>0</v>
      </c>
      <c r="J342" s="1">
        <v>0</v>
      </c>
      <c r="K342" s="1">
        <v>0</v>
      </c>
      <c r="L342" s="1">
        <v>0</v>
      </c>
      <c r="M342" s="1">
        <v>0</v>
      </c>
      <c r="N342" s="1">
        <v>0</v>
      </c>
      <c r="O342" s="1">
        <v>0</v>
      </c>
      <c r="P342" s="1">
        <v>0</v>
      </c>
      <c r="Q342" s="1">
        <v>0</v>
      </c>
      <c r="R342" s="1">
        <v>0</v>
      </c>
      <c r="S342" s="1">
        <v>0</v>
      </c>
      <c r="T342" s="1">
        <v>0</v>
      </c>
      <c r="U342" s="1">
        <v>0</v>
      </c>
      <c r="V342" s="1" t="s">
        <v>301</v>
      </c>
    </row>
    <row r="343" spans="1:22">
      <c r="A343" t="s">
        <v>188</v>
      </c>
      <c r="B343" t="s">
        <v>57</v>
      </c>
      <c r="C343" t="s">
        <v>61</v>
      </c>
      <c r="D343" s="1">
        <v>0</v>
      </c>
      <c r="E343" s="1">
        <v>0</v>
      </c>
      <c r="F343" s="1">
        <v>0</v>
      </c>
      <c r="G343" s="1">
        <v>0</v>
      </c>
      <c r="H343" s="1">
        <v>0</v>
      </c>
      <c r="I343" s="1">
        <v>0</v>
      </c>
      <c r="J343" s="1">
        <v>0</v>
      </c>
      <c r="K343" s="1">
        <v>0</v>
      </c>
      <c r="L343" s="1">
        <v>0</v>
      </c>
      <c r="M343" s="1">
        <v>0</v>
      </c>
      <c r="N343" s="1">
        <v>0</v>
      </c>
      <c r="O343" s="1">
        <v>0</v>
      </c>
      <c r="P343" s="1">
        <v>0</v>
      </c>
      <c r="Q343" s="1">
        <v>0</v>
      </c>
      <c r="R343" s="1">
        <v>0</v>
      </c>
      <c r="S343" s="1">
        <v>0</v>
      </c>
      <c r="T343" s="1">
        <v>0</v>
      </c>
      <c r="U343" s="1">
        <v>0</v>
      </c>
      <c r="V343" s="1" t="s">
        <v>301</v>
      </c>
    </row>
    <row r="344" spans="1:22">
      <c r="A344" t="s">
        <v>188</v>
      </c>
      <c r="B344" t="s">
        <v>57</v>
      </c>
      <c r="C344" t="s">
        <v>62</v>
      </c>
      <c r="D344" s="1">
        <v>0</v>
      </c>
      <c r="E344" s="1">
        <v>0</v>
      </c>
      <c r="F344" s="1">
        <v>0</v>
      </c>
      <c r="G344" s="1">
        <v>0</v>
      </c>
      <c r="H344" s="1">
        <v>0</v>
      </c>
      <c r="I344" s="1">
        <v>0</v>
      </c>
      <c r="J344" s="1">
        <v>0</v>
      </c>
      <c r="K344" s="1">
        <v>0</v>
      </c>
      <c r="L344" s="1">
        <v>0</v>
      </c>
      <c r="M344" s="1">
        <v>0</v>
      </c>
      <c r="N344" s="1">
        <v>0</v>
      </c>
      <c r="O344" s="1">
        <v>0</v>
      </c>
      <c r="P344" s="1">
        <v>0</v>
      </c>
      <c r="Q344" s="1">
        <v>0</v>
      </c>
      <c r="R344" s="1">
        <v>0</v>
      </c>
      <c r="S344" s="1">
        <v>0</v>
      </c>
      <c r="T344" s="1">
        <v>0</v>
      </c>
      <c r="U344" s="1">
        <v>0</v>
      </c>
      <c r="V344" s="1" t="s">
        <v>301</v>
      </c>
    </row>
    <row r="345" spans="1:22">
      <c r="A345" t="s">
        <v>188</v>
      </c>
      <c r="B345" t="s">
        <v>57</v>
      </c>
      <c r="C345" t="s">
        <v>63</v>
      </c>
      <c r="D345" s="1">
        <v>0</v>
      </c>
      <c r="E345" s="1">
        <v>0</v>
      </c>
      <c r="F345" s="1">
        <v>0</v>
      </c>
      <c r="G345" s="1">
        <v>0</v>
      </c>
      <c r="H345" s="1">
        <v>0</v>
      </c>
      <c r="I345" s="1">
        <v>0</v>
      </c>
      <c r="J345" s="1">
        <v>0</v>
      </c>
      <c r="K345" s="1">
        <v>0</v>
      </c>
      <c r="L345" s="1">
        <v>0</v>
      </c>
      <c r="M345" s="1">
        <v>0</v>
      </c>
      <c r="N345" s="1">
        <v>0</v>
      </c>
      <c r="O345" s="1">
        <v>0</v>
      </c>
      <c r="P345" s="1">
        <v>0</v>
      </c>
      <c r="Q345" s="1">
        <v>0</v>
      </c>
      <c r="R345" s="1">
        <v>0</v>
      </c>
      <c r="S345" s="1">
        <v>0</v>
      </c>
      <c r="T345" s="1">
        <v>0</v>
      </c>
      <c r="U345" s="1">
        <v>0</v>
      </c>
      <c r="V345" s="1" t="s">
        <v>301</v>
      </c>
    </row>
    <row r="346" spans="1:22">
      <c r="A346" t="s">
        <v>188</v>
      </c>
      <c r="B346" t="s">
        <v>57</v>
      </c>
      <c r="C346" t="s">
        <v>64</v>
      </c>
      <c r="D346" s="1">
        <v>0</v>
      </c>
      <c r="E346" s="1">
        <v>0</v>
      </c>
      <c r="F346" s="1">
        <v>0</v>
      </c>
      <c r="G346" s="1">
        <v>0</v>
      </c>
      <c r="H346" s="1">
        <v>0</v>
      </c>
      <c r="I346" s="1">
        <v>0</v>
      </c>
      <c r="J346" s="1">
        <v>0</v>
      </c>
      <c r="K346" s="1">
        <v>0</v>
      </c>
      <c r="L346" s="1">
        <v>0</v>
      </c>
      <c r="M346" s="1">
        <v>0</v>
      </c>
      <c r="N346" s="1">
        <v>0</v>
      </c>
      <c r="O346" s="1">
        <v>0</v>
      </c>
      <c r="P346" s="1">
        <v>0</v>
      </c>
      <c r="Q346" s="1">
        <v>0</v>
      </c>
      <c r="R346" s="1">
        <v>0</v>
      </c>
      <c r="S346" s="1">
        <v>0</v>
      </c>
      <c r="T346" s="1">
        <v>0</v>
      </c>
      <c r="U346" s="1">
        <v>0</v>
      </c>
      <c r="V346" s="1" t="s">
        <v>301</v>
      </c>
    </row>
    <row r="347" spans="1:22">
      <c r="A347" t="s">
        <v>188</v>
      </c>
      <c r="B347" t="s">
        <v>57</v>
      </c>
      <c r="C347" t="s">
        <v>65</v>
      </c>
      <c r="D347" s="1">
        <v>0</v>
      </c>
      <c r="E347" s="1">
        <v>0</v>
      </c>
      <c r="F347" s="1">
        <v>0</v>
      </c>
      <c r="G347" s="1">
        <v>0</v>
      </c>
      <c r="H347" s="1">
        <v>0</v>
      </c>
      <c r="I347" s="1">
        <v>0</v>
      </c>
      <c r="J347" s="1">
        <v>0</v>
      </c>
      <c r="K347" s="1">
        <v>0</v>
      </c>
      <c r="L347" s="1">
        <v>0</v>
      </c>
      <c r="M347" s="1">
        <v>0</v>
      </c>
      <c r="N347" s="1">
        <v>0</v>
      </c>
      <c r="O347" s="1">
        <v>0</v>
      </c>
      <c r="P347" s="1">
        <v>0</v>
      </c>
      <c r="Q347" s="1">
        <v>0</v>
      </c>
      <c r="R347" s="1">
        <v>0</v>
      </c>
      <c r="S347" s="1">
        <v>0</v>
      </c>
      <c r="T347" s="1">
        <v>0</v>
      </c>
      <c r="U347" s="1">
        <v>0</v>
      </c>
      <c r="V347" s="1" t="s">
        <v>301</v>
      </c>
    </row>
    <row r="348" spans="1:22">
      <c r="A348" t="s">
        <v>66</v>
      </c>
      <c r="B348" t="s">
        <v>57</v>
      </c>
      <c r="C348" t="s">
        <v>58</v>
      </c>
      <c r="D348" s="1">
        <v>0</v>
      </c>
      <c r="E348" s="1">
        <v>0</v>
      </c>
      <c r="F348" s="1">
        <v>0</v>
      </c>
      <c r="G348" s="1">
        <v>0</v>
      </c>
      <c r="H348" s="1">
        <v>0</v>
      </c>
      <c r="I348" s="1">
        <v>0</v>
      </c>
      <c r="J348" s="1">
        <v>0</v>
      </c>
      <c r="K348" s="1">
        <v>0</v>
      </c>
      <c r="L348" s="1">
        <v>0</v>
      </c>
      <c r="M348" s="1">
        <v>0</v>
      </c>
      <c r="N348" s="1">
        <v>0</v>
      </c>
      <c r="O348" s="1">
        <v>0</v>
      </c>
      <c r="P348" s="1">
        <v>0</v>
      </c>
      <c r="Q348" s="1">
        <v>0</v>
      </c>
      <c r="R348" s="1">
        <v>0</v>
      </c>
      <c r="S348" s="1">
        <v>0</v>
      </c>
      <c r="T348" s="1">
        <v>0</v>
      </c>
      <c r="U348" s="1">
        <v>1</v>
      </c>
      <c r="V348" s="1" t="s">
        <v>301</v>
      </c>
    </row>
    <row r="349" spans="1:22">
      <c r="A349" t="s">
        <v>66</v>
      </c>
      <c r="B349" t="s">
        <v>57</v>
      </c>
      <c r="C349" t="s">
        <v>59</v>
      </c>
      <c r="D349" s="1">
        <v>0</v>
      </c>
      <c r="E349" s="1">
        <v>0</v>
      </c>
      <c r="F349" s="1">
        <v>0</v>
      </c>
      <c r="G349" s="1">
        <v>0</v>
      </c>
      <c r="H349" s="1">
        <v>0</v>
      </c>
      <c r="I349" s="1">
        <v>0</v>
      </c>
      <c r="J349" s="1">
        <v>0</v>
      </c>
      <c r="K349" s="1">
        <v>0</v>
      </c>
      <c r="L349" s="1">
        <v>0</v>
      </c>
      <c r="M349" s="1">
        <v>0</v>
      </c>
      <c r="N349" s="1">
        <v>0</v>
      </c>
      <c r="O349" s="1">
        <v>0</v>
      </c>
      <c r="P349" s="1">
        <v>0</v>
      </c>
      <c r="Q349" s="1">
        <v>0</v>
      </c>
      <c r="R349" s="1">
        <v>0</v>
      </c>
      <c r="S349" s="1">
        <v>0</v>
      </c>
      <c r="T349" s="1">
        <v>0</v>
      </c>
      <c r="U349" s="1">
        <v>0</v>
      </c>
      <c r="V349" s="1" t="s">
        <v>301</v>
      </c>
    </row>
    <row r="350" spans="1:22">
      <c r="A350" t="s">
        <v>66</v>
      </c>
      <c r="B350" t="s">
        <v>57</v>
      </c>
      <c r="C350" t="s">
        <v>60</v>
      </c>
      <c r="D350" s="1">
        <v>0</v>
      </c>
      <c r="E350" s="1">
        <v>0</v>
      </c>
      <c r="F350" s="1">
        <v>0</v>
      </c>
      <c r="G350" s="1">
        <v>0</v>
      </c>
      <c r="H350" s="1">
        <v>0</v>
      </c>
      <c r="I350" s="1">
        <v>0</v>
      </c>
      <c r="J350" s="1">
        <v>0</v>
      </c>
      <c r="K350" s="1">
        <v>0</v>
      </c>
      <c r="L350" s="1">
        <v>0</v>
      </c>
      <c r="M350" s="1">
        <v>0</v>
      </c>
      <c r="N350" s="1">
        <v>0</v>
      </c>
      <c r="O350" s="1">
        <v>0</v>
      </c>
      <c r="P350" s="1">
        <v>0</v>
      </c>
      <c r="Q350" s="1">
        <v>0</v>
      </c>
      <c r="R350" s="1">
        <v>0</v>
      </c>
      <c r="S350" s="1">
        <v>0</v>
      </c>
      <c r="T350" s="1">
        <v>0</v>
      </c>
      <c r="U350" s="1">
        <v>0</v>
      </c>
      <c r="V350" s="1" t="s">
        <v>301</v>
      </c>
    </row>
    <row r="351" spans="1:22">
      <c r="A351" t="s">
        <v>66</v>
      </c>
      <c r="B351" t="s">
        <v>57</v>
      </c>
      <c r="C351" t="s">
        <v>61</v>
      </c>
      <c r="D351" s="1">
        <v>0</v>
      </c>
      <c r="E351" s="1">
        <v>0</v>
      </c>
      <c r="F351" s="1">
        <v>0</v>
      </c>
      <c r="G351" s="1">
        <v>0</v>
      </c>
      <c r="H351" s="1">
        <v>0</v>
      </c>
      <c r="I351" s="1">
        <v>0</v>
      </c>
      <c r="J351" s="1">
        <v>0</v>
      </c>
      <c r="K351" s="1">
        <v>0</v>
      </c>
      <c r="L351" s="1">
        <v>0</v>
      </c>
      <c r="M351" s="1">
        <v>0</v>
      </c>
      <c r="N351" s="1">
        <v>0</v>
      </c>
      <c r="O351" s="1">
        <v>0</v>
      </c>
      <c r="P351" s="1">
        <v>0</v>
      </c>
      <c r="Q351" s="1">
        <v>0</v>
      </c>
      <c r="R351" s="1">
        <v>0</v>
      </c>
      <c r="S351" s="1">
        <v>0</v>
      </c>
      <c r="T351" s="1">
        <v>0</v>
      </c>
      <c r="U351" s="1">
        <v>0</v>
      </c>
      <c r="V351" s="1" t="s">
        <v>301</v>
      </c>
    </row>
    <row r="352" spans="1:22">
      <c r="A352" t="s">
        <v>66</v>
      </c>
      <c r="B352" t="s">
        <v>57</v>
      </c>
      <c r="C352" t="s">
        <v>62</v>
      </c>
      <c r="D352" s="1">
        <v>0</v>
      </c>
      <c r="E352" s="1">
        <v>0</v>
      </c>
      <c r="F352" s="1">
        <v>0</v>
      </c>
      <c r="G352" s="1">
        <v>0</v>
      </c>
      <c r="H352" s="1">
        <v>0</v>
      </c>
      <c r="I352" s="1">
        <v>0</v>
      </c>
      <c r="J352" s="1">
        <v>0</v>
      </c>
      <c r="K352" s="1">
        <v>0</v>
      </c>
      <c r="L352" s="1">
        <v>0</v>
      </c>
      <c r="M352" s="1">
        <v>0</v>
      </c>
      <c r="N352" s="1">
        <v>0</v>
      </c>
      <c r="O352" s="1">
        <v>0</v>
      </c>
      <c r="P352" s="1">
        <v>0</v>
      </c>
      <c r="Q352" s="1">
        <v>0</v>
      </c>
      <c r="R352" s="1">
        <v>0</v>
      </c>
      <c r="S352" s="1">
        <v>0</v>
      </c>
      <c r="T352" s="1">
        <v>0</v>
      </c>
      <c r="U352" s="1">
        <v>0</v>
      </c>
      <c r="V352" s="1" t="s">
        <v>301</v>
      </c>
    </row>
    <row r="353" spans="1:22">
      <c r="A353" t="s">
        <v>66</v>
      </c>
      <c r="B353" t="s">
        <v>57</v>
      </c>
      <c r="C353" t="s">
        <v>63</v>
      </c>
      <c r="D353" s="1">
        <v>0</v>
      </c>
      <c r="E353" s="1">
        <v>0</v>
      </c>
      <c r="F353" s="1">
        <v>0</v>
      </c>
      <c r="G353" s="1">
        <v>0</v>
      </c>
      <c r="H353" s="1">
        <v>0</v>
      </c>
      <c r="I353" s="1">
        <v>0</v>
      </c>
      <c r="J353" s="1">
        <v>0</v>
      </c>
      <c r="K353" s="1">
        <v>0</v>
      </c>
      <c r="L353" s="1">
        <v>0</v>
      </c>
      <c r="M353" s="1">
        <v>0</v>
      </c>
      <c r="N353" s="1">
        <v>0</v>
      </c>
      <c r="O353" s="1">
        <v>0</v>
      </c>
      <c r="P353" s="1">
        <v>0</v>
      </c>
      <c r="Q353" s="1">
        <v>0</v>
      </c>
      <c r="R353" s="1">
        <v>0</v>
      </c>
      <c r="S353" s="1">
        <v>0</v>
      </c>
      <c r="T353" s="1">
        <v>0</v>
      </c>
      <c r="U353" s="1">
        <v>0</v>
      </c>
      <c r="V353" s="1" t="s">
        <v>301</v>
      </c>
    </row>
    <row r="354" spans="1:22">
      <c r="A354" t="s">
        <v>66</v>
      </c>
      <c r="B354" t="s">
        <v>57</v>
      </c>
      <c r="C354" t="s">
        <v>64</v>
      </c>
      <c r="D354" s="1">
        <v>0</v>
      </c>
      <c r="E354" s="1">
        <v>0</v>
      </c>
      <c r="F354" s="1">
        <v>0</v>
      </c>
      <c r="G354" s="1">
        <v>0</v>
      </c>
      <c r="H354" s="1">
        <v>0</v>
      </c>
      <c r="I354" s="1">
        <v>0</v>
      </c>
      <c r="J354" s="1">
        <v>0</v>
      </c>
      <c r="K354" s="1">
        <v>0</v>
      </c>
      <c r="L354" s="1">
        <v>0</v>
      </c>
      <c r="M354" s="1">
        <v>0</v>
      </c>
      <c r="N354" s="1">
        <v>0</v>
      </c>
      <c r="O354" s="1">
        <v>0</v>
      </c>
      <c r="P354" s="1">
        <v>0</v>
      </c>
      <c r="Q354" s="1">
        <v>0</v>
      </c>
      <c r="R354" s="1">
        <v>0</v>
      </c>
      <c r="S354" s="1">
        <v>0</v>
      </c>
      <c r="T354" s="1">
        <v>0</v>
      </c>
      <c r="U354" s="1">
        <v>0</v>
      </c>
      <c r="V354" s="1" t="s">
        <v>301</v>
      </c>
    </row>
    <row r="355" spans="1:22">
      <c r="A355" t="s">
        <v>66</v>
      </c>
      <c r="B355" t="s">
        <v>57</v>
      </c>
      <c r="C355" t="s">
        <v>65</v>
      </c>
      <c r="D355" s="1">
        <v>0</v>
      </c>
      <c r="E355" s="1">
        <v>0</v>
      </c>
      <c r="F355" s="1">
        <v>0</v>
      </c>
      <c r="G355" s="1">
        <v>0</v>
      </c>
      <c r="H355" s="1">
        <v>0</v>
      </c>
      <c r="I355" s="1">
        <v>0</v>
      </c>
      <c r="J355" s="1">
        <v>0</v>
      </c>
      <c r="K355" s="1">
        <v>0</v>
      </c>
      <c r="L355" s="1">
        <v>0</v>
      </c>
      <c r="M355" s="1">
        <v>0</v>
      </c>
      <c r="N355" s="1">
        <v>0</v>
      </c>
      <c r="O355" s="1">
        <v>0</v>
      </c>
      <c r="P355" s="1">
        <v>0</v>
      </c>
      <c r="Q355" s="1">
        <v>0</v>
      </c>
      <c r="R355" s="1">
        <v>0</v>
      </c>
      <c r="S355" s="1">
        <v>0</v>
      </c>
      <c r="T355" s="1">
        <v>0</v>
      </c>
      <c r="U355" s="1">
        <v>0</v>
      </c>
      <c r="V355" s="1" t="s">
        <v>301</v>
      </c>
    </row>
    <row r="356" spans="1:22">
      <c r="A356" t="s">
        <v>189</v>
      </c>
      <c r="B356" t="s">
        <v>57</v>
      </c>
      <c r="C356" t="s">
        <v>58</v>
      </c>
      <c r="D356" s="1">
        <v>0</v>
      </c>
      <c r="E356" s="1">
        <v>0</v>
      </c>
      <c r="F356" s="1">
        <v>0</v>
      </c>
      <c r="G356" s="1">
        <v>0</v>
      </c>
      <c r="H356" s="1">
        <v>0</v>
      </c>
      <c r="I356" s="1">
        <v>0</v>
      </c>
      <c r="J356" s="1">
        <v>0</v>
      </c>
      <c r="K356" s="1">
        <v>0</v>
      </c>
      <c r="L356" s="1">
        <v>0</v>
      </c>
      <c r="M356" s="1">
        <v>0</v>
      </c>
      <c r="N356" s="1">
        <v>0</v>
      </c>
      <c r="O356" s="1">
        <v>0</v>
      </c>
      <c r="P356" s="1">
        <v>0</v>
      </c>
      <c r="Q356" s="1">
        <v>0</v>
      </c>
      <c r="R356" s="1">
        <v>0</v>
      </c>
      <c r="S356" s="1">
        <v>0</v>
      </c>
      <c r="T356" s="1">
        <v>0</v>
      </c>
      <c r="U356" s="1">
        <v>1</v>
      </c>
      <c r="V356" s="1" t="s">
        <v>301</v>
      </c>
    </row>
    <row r="357" spans="1:22">
      <c r="A357" t="s">
        <v>189</v>
      </c>
      <c r="B357" t="s">
        <v>57</v>
      </c>
      <c r="C357" t="s">
        <v>59</v>
      </c>
      <c r="D357" s="1">
        <v>0</v>
      </c>
      <c r="E357" s="1">
        <v>0</v>
      </c>
      <c r="F357" s="1">
        <v>0</v>
      </c>
      <c r="G357" s="1">
        <v>0</v>
      </c>
      <c r="H357" s="1">
        <v>0</v>
      </c>
      <c r="I357" s="1">
        <v>0</v>
      </c>
      <c r="J357" s="1">
        <v>0</v>
      </c>
      <c r="K357" s="1">
        <v>0</v>
      </c>
      <c r="L357" s="1">
        <v>0</v>
      </c>
      <c r="M357" s="1">
        <v>0</v>
      </c>
      <c r="N357" s="1">
        <v>0</v>
      </c>
      <c r="O357" s="1">
        <v>0</v>
      </c>
      <c r="P357" s="1">
        <v>0</v>
      </c>
      <c r="Q357" s="1">
        <v>0</v>
      </c>
      <c r="R357" s="1">
        <v>0</v>
      </c>
      <c r="S357" s="1">
        <v>0</v>
      </c>
      <c r="T357" s="1">
        <v>0</v>
      </c>
      <c r="U357" s="1">
        <v>0</v>
      </c>
      <c r="V357" s="1" t="s">
        <v>301</v>
      </c>
    </row>
    <row r="358" spans="1:22">
      <c r="A358" t="s">
        <v>189</v>
      </c>
      <c r="B358" t="s">
        <v>57</v>
      </c>
      <c r="C358" t="s">
        <v>60</v>
      </c>
      <c r="D358" s="1">
        <v>0</v>
      </c>
      <c r="E358" s="1">
        <v>0</v>
      </c>
      <c r="F358" s="1">
        <v>0</v>
      </c>
      <c r="G358" s="1">
        <v>0</v>
      </c>
      <c r="H358" s="1">
        <v>0</v>
      </c>
      <c r="I358" s="1">
        <v>0</v>
      </c>
      <c r="J358" s="1">
        <v>0</v>
      </c>
      <c r="K358" s="1">
        <v>0</v>
      </c>
      <c r="L358" s="1">
        <v>0</v>
      </c>
      <c r="M358" s="1">
        <v>0</v>
      </c>
      <c r="N358" s="1">
        <v>0</v>
      </c>
      <c r="O358" s="1">
        <v>0</v>
      </c>
      <c r="P358" s="1">
        <v>0</v>
      </c>
      <c r="Q358" s="1">
        <v>0</v>
      </c>
      <c r="R358" s="1">
        <v>0</v>
      </c>
      <c r="S358" s="1">
        <v>0</v>
      </c>
      <c r="T358" s="1">
        <v>0</v>
      </c>
      <c r="U358" s="1">
        <v>0</v>
      </c>
      <c r="V358" s="1" t="s">
        <v>301</v>
      </c>
    </row>
    <row r="359" spans="1:22">
      <c r="A359" t="s">
        <v>189</v>
      </c>
      <c r="B359" t="s">
        <v>57</v>
      </c>
      <c r="C359" t="s">
        <v>61</v>
      </c>
      <c r="D359" s="1">
        <v>0</v>
      </c>
      <c r="E359" s="1">
        <v>0</v>
      </c>
      <c r="F359" s="1">
        <v>0</v>
      </c>
      <c r="G359" s="1">
        <v>0</v>
      </c>
      <c r="H359" s="1">
        <v>0</v>
      </c>
      <c r="I359" s="1">
        <v>0</v>
      </c>
      <c r="J359" s="1">
        <v>0</v>
      </c>
      <c r="K359" s="1">
        <v>0</v>
      </c>
      <c r="L359" s="1">
        <v>0</v>
      </c>
      <c r="M359" s="1">
        <v>0</v>
      </c>
      <c r="N359" s="1">
        <v>0</v>
      </c>
      <c r="O359" s="1">
        <v>0</v>
      </c>
      <c r="P359" s="1">
        <v>0</v>
      </c>
      <c r="Q359" s="1">
        <v>0</v>
      </c>
      <c r="R359" s="1">
        <v>0</v>
      </c>
      <c r="S359" s="1">
        <v>0</v>
      </c>
      <c r="T359" s="1">
        <v>0</v>
      </c>
      <c r="U359" s="1">
        <v>0</v>
      </c>
      <c r="V359" s="1" t="s">
        <v>301</v>
      </c>
    </row>
    <row r="360" spans="1:22">
      <c r="A360" t="s">
        <v>189</v>
      </c>
      <c r="B360" t="s">
        <v>57</v>
      </c>
      <c r="C360" t="s">
        <v>62</v>
      </c>
      <c r="D360" s="1">
        <v>0</v>
      </c>
      <c r="E360" s="1">
        <v>0</v>
      </c>
      <c r="F360" s="1">
        <v>0</v>
      </c>
      <c r="G360" s="1">
        <v>0</v>
      </c>
      <c r="H360" s="1">
        <v>0</v>
      </c>
      <c r="I360" s="1">
        <v>0</v>
      </c>
      <c r="J360" s="1">
        <v>0</v>
      </c>
      <c r="K360" s="1">
        <v>0</v>
      </c>
      <c r="L360" s="1">
        <v>0</v>
      </c>
      <c r="M360" s="1">
        <v>0</v>
      </c>
      <c r="N360" s="1">
        <v>0</v>
      </c>
      <c r="O360" s="1">
        <v>0</v>
      </c>
      <c r="P360" s="1">
        <v>0</v>
      </c>
      <c r="Q360" s="1">
        <v>0</v>
      </c>
      <c r="R360" s="1">
        <v>0</v>
      </c>
      <c r="S360" s="1">
        <v>0</v>
      </c>
      <c r="T360" s="1">
        <v>0</v>
      </c>
      <c r="U360" s="1">
        <v>0</v>
      </c>
      <c r="V360" s="1" t="s">
        <v>301</v>
      </c>
    </row>
    <row r="361" spans="1:22">
      <c r="A361" t="s">
        <v>189</v>
      </c>
      <c r="B361" t="s">
        <v>57</v>
      </c>
      <c r="C361" t="s">
        <v>63</v>
      </c>
      <c r="D361" s="1">
        <v>0</v>
      </c>
      <c r="E361" s="1">
        <v>0</v>
      </c>
      <c r="F361" s="1">
        <v>0</v>
      </c>
      <c r="G361" s="1">
        <v>0</v>
      </c>
      <c r="H361" s="1">
        <v>0</v>
      </c>
      <c r="I361" s="1">
        <v>0</v>
      </c>
      <c r="J361" s="1">
        <v>0</v>
      </c>
      <c r="K361" s="1">
        <v>0</v>
      </c>
      <c r="L361" s="1">
        <v>0</v>
      </c>
      <c r="M361" s="1">
        <v>0</v>
      </c>
      <c r="N361" s="1">
        <v>0</v>
      </c>
      <c r="O361" s="1">
        <v>0</v>
      </c>
      <c r="P361" s="1">
        <v>0</v>
      </c>
      <c r="Q361" s="1">
        <v>0</v>
      </c>
      <c r="R361" s="1">
        <v>0</v>
      </c>
      <c r="S361" s="1">
        <v>0</v>
      </c>
      <c r="T361" s="1">
        <v>0</v>
      </c>
      <c r="U361" s="1">
        <v>0</v>
      </c>
      <c r="V361" s="1" t="s">
        <v>301</v>
      </c>
    </row>
    <row r="362" spans="1:22">
      <c r="A362" t="s">
        <v>189</v>
      </c>
      <c r="B362" t="s">
        <v>57</v>
      </c>
      <c r="C362" t="s">
        <v>64</v>
      </c>
      <c r="D362" s="1">
        <v>0</v>
      </c>
      <c r="E362" s="1">
        <v>0</v>
      </c>
      <c r="F362" s="1">
        <v>0</v>
      </c>
      <c r="G362" s="1">
        <v>0</v>
      </c>
      <c r="H362" s="1">
        <v>0</v>
      </c>
      <c r="I362" s="1">
        <v>0</v>
      </c>
      <c r="J362" s="1">
        <v>0</v>
      </c>
      <c r="K362" s="1">
        <v>0</v>
      </c>
      <c r="L362" s="1">
        <v>0</v>
      </c>
      <c r="M362" s="1">
        <v>0</v>
      </c>
      <c r="N362" s="1">
        <v>0</v>
      </c>
      <c r="O362" s="1">
        <v>0</v>
      </c>
      <c r="P362" s="1">
        <v>0</v>
      </c>
      <c r="Q362" s="1">
        <v>0</v>
      </c>
      <c r="R362" s="1">
        <v>0</v>
      </c>
      <c r="S362" s="1">
        <v>0</v>
      </c>
      <c r="T362" s="1">
        <v>0</v>
      </c>
      <c r="U362" s="1">
        <v>0</v>
      </c>
      <c r="V362" s="1" t="s">
        <v>301</v>
      </c>
    </row>
    <row r="363" spans="1:22">
      <c r="A363" t="s">
        <v>189</v>
      </c>
      <c r="B363" t="s">
        <v>57</v>
      </c>
      <c r="C363" t="s">
        <v>65</v>
      </c>
      <c r="D363" s="1">
        <v>0</v>
      </c>
      <c r="E363" s="1">
        <v>0</v>
      </c>
      <c r="F363" s="1">
        <v>0</v>
      </c>
      <c r="G363" s="1">
        <v>0</v>
      </c>
      <c r="H363" s="1">
        <v>0</v>
      </c>
      <c r="I363" s="1">
        <v>0</v>
      </c>
      <c r="J363" s="1">
        <v>0</v>
      </c>
      <c r="K363" s="1">
        <v>0</v>
      </c>
      <c r="L363" s="1">
        <v>0</v>
      </c>
      <c r="M363" s="1">
        <v>0</v>
      </c>
      <c r="N363" s="1">
        <v>0</v>
      </c>
      <c r="O363" s="1">
        <v>0</v>
      </c>
      <c r="P363" s="1">
        <v>0</v>
      </c>
      <c r="Q363" s="1">
        <v>0</v>
      </c>
      <c r="R363" s="1">
        <v>0</v>
      </c>
      <c r="S363" s="1">
        <v>0</v>
      </c>
      <c r="T363" s="1">
        <v>0</v>
      </c>
      <c r="U363" s="1">
        <v>0</v>
      </c>
      <c r="V363" s="1" t="s">
        <v>301</v>
      </c>
    </row>
    <row r="364" spans="1:22">
      <c r="A364" t="s">
        <v>55</v>
      </c>
      <c r="B364" t="s">
        <v>57</v>
      </c>
      <c r="C364" t="s">
        <v>58</v>
      </c>
      <c r="D364" s="1">
        <v>0</v>
      </c>
      <c r="E364" s="1">
        <v>0</v>
      </c>
      <c r="F364" s="1">
        <v>0</v>
      </c>
      <c r="G364" s="1">
        <v>0</v>
      </c>
      <c r="H364" s="1">
        <v>0</v>
      </c>
      <c r="I364" s="1">
        <v>0</v>
      </c>
      <c r="J364" s="1">
        <v>0</v>
      </c>
      <c r="K364" s="1">
        <v>0</v>
      </c>
      <c r="L364" s="1">
        <v>0</v>
      </c>
      <c r="M364" s="1">
        <v>0</v>
      </c>
      <c r="N364" s="1">
        <v>0</v>
      </c>
      <c r="O364" s="1">
        <v>0</v>
      </c>
      <c r="P364" s="1">
        <v>0</v>
      </c>
      <c r="Q364" s="1">
        <v>0</v>
      </c>
      <c r="R364" s="1">
        <v>0</v>
      </c>
      <c r="S364" s="1">
        <v>0</v>
      </c>
      <c r="T364" s="1">
        <v>0</v>
      </c>
      <c r="U364" s="1">
        <v>6</v>
      </c>
      <c r="V364" s="1" t="s">
        <v>301</v>
      </c>
    </row>
    <row r="365" spans="1:22">
      <c r="A365" t="s">
        <v>55</v>
      </c>
      <c r="B365" t="s">
        <v>57</v>
      </c>
      <c r="C365" t="s">
        <v>59</v>
      </c>
      <c r="D365" s="1">
        <v>0</v>
      </c>
      <c r="E365" s="1">
        <v>0</v>
      </c>
      <c r="F365" s="1">
        <v>0</v>
      </c>
      <c r="G365" s="1">
        <v>0</v>
      </c>
      <c r="H365" s="1">
        <v>0</v>
      </c>
      <c r="I365" s="1">
        <v>0</v>
      </c>
      <c r="J365" s="1">
        <v>0</v>
      </c>
      <c r="K365" s="1">
        <v>0</v>
      </c>
      <c r="L365" s="1">
        <v>0</v>
      </c>
      <c r="M365" s="1">
        <v>0</v>
      </c>
      <c r="N365" s="1">
        <v>0</v>
      </c>
      <c r="O365" s="1">
        <v>0</v>
      </c>
      <c r="P365" s="1">
        <v>0</v>
      </c>
      <c r="Q365" s="1">
        <v>0</v>
      </c>
      <c r="R365" s="1">
        <v>0</v>
      </c>
      <c r="S365" s="1">
        <v>0</v>
      </c>
      <c r="T365" s="1">
        <v>0</v>
      </c>
      <c r="U365" s="1">
        <v>0</v>
      </c>
      <c r="V365" s="1" t="s">
        <v>301</v>
      </c>
    </row>
    <row r="366" spans="1:22">
      <c r="A366" t="s">
        <v>55</v>
      </c>
      <c r="B366" t="s">
        <v>57</v>
      </c>
      <c r="C366" t="s">
        <v>60</v>
      </c>
      <c r="D366" s="1">
        <v>0</v>
      </c>
      <c r="E366" s="1">
        <v>0</v>
      </c>
      <c r="F366" s="1">
        <v>0</v>
      </c>
      <c r="G366" s="1">
        <v>0</v>
      </c>
      <c r="H366" s="1">
        <v>0</v>
      </c>
      <c r="I366" s="1">
        <v>0</v>
      </c>
      <c r="J366" s="1">
        <v>0</v>
      </c>
      <c r="K366" s="1">
        <v>0</v>
      </c>
      <c r="L366" s="1">
        <v>0</v>
      </c>
      <c r="M366" s="1">
        <v>0</v>
      </c>
      <c r="N366" s="1">
        <v>0</v>
      </c>
      <c r="O366" s="1">
        <v>0</v>
      </c>
      <c r="P366" s="1">
        <v>0</v>
      </c>
      <c r="Q366" s="1">
        <v>0</v>
      </c>
      <c r="R366" s="1">
        <v>0</v>
      </c>
      <c r="S366" s="1">
        <v>0</v>
      </c>
      <c r="T366" s="1">
        <v>0</v>
      </c>
      <c r="U366" s="1">
        <v>0</v>
      </c>
      <c r="V366" s="1" t="s">
        <v>301</v>
      </c>
    </row>
    <row r="367" spans="1:22">
      <c r="A367" t="s">
        <v>55</v>
      </c>
      <c r="B367" t="s">
        <v>57</v>
      </c>
      <c r="C367" t="s">
        <v>61</v>
      </c>
      <c r="D367" s="1">
        <v>0</v>
      </c>
      <c r="E367" s="1">
        <v>0</v>
      </c>
      <c r="F367" s="1">
        <v>0</v>
      </c>
      <c r="G367" s="1">
        <v>0</v>
      </c>
      <c r="H367" s="1">
        <v>0</v>
      </c>
      <c r="I367" s="1">
        <v>0</v>
      </c>
      <c r="J367" s="1">
        <v>0</v>
      </c>
      <c r="K367" s="1">
        <v>0</v>
      </c>
      <c r="L367" s="1">
        <v>0</v>
      </c>
      <c r="M367" s="1">
        <v>0</v>
      </c>
      <c r="N367" s="1">
        <v>0</v>
      </c>
      <c r="O367" s="1">
        <v>0</v>
      </c>
      <c r="P367" s="1">
        <v>0</v>
      </c>
      <c r="Q367" s="1">
        <v>0</v>
      </c>
      <c r="R367" s="1">
        <v>0</v>
      </c>
      <c r="S367" s="1">
        <v>0</v>
      </c>
      <c r="T367" s="1">
        <v>0</v>
      </c>
      <c r="U367" s="1">
        <v>0</v>
      </c>
      <c r="V367" s="1" t="s">
        <v>301</v>
      </c>
    </row>
    <row r="368" spans="1:22">
      <c r="A368" t="s">
        <v>55</v>
      </c>
      <c r="B368" t="s">
        <v>57</v>
      </c>
      <c r="C368" t="s">
        <v>62</v>
      </c>
      <c r="D368" s="1">
        <v>0</v>
      </c>
      <c r="E368" s="1">
        <v>0</v>
      </c>
      <c r="F368" s="1">
        <v>0</v>
      </c>
      <c r="G368" s="1">
        <v>0</v>
      </c>
      <c r="H368" s="1">
        <v>0</v>
      </c>
      <c r="I368" s="1">
        <v>0</v>
      </c>
      <c r="J368" s="1">
        <v>0</v>
      </c>
      <c r="K368" s="1">
        <v>0</v>
      </c>
      <c r="L368" s="1">
        <v>0</v>
      </c>
      <c r="M368" s="1">
        <v>0</v>
      </c>
      <c r="N368" s="1">
        <v>0</v>
      </c>
      <c r="O368" s="1">
        <v>0</v>
      </c>
      <c r="P368" s="1">
        <v>0</v>
      </c>
      <c r="Q368" s="1">
        <v>0</v>
      </c>
      <c r="R368" s="1">
        <v>0</v>
      </c>
      <c r="S368" s="1">
        <v>0</v>
      </c>
      <c r="T368" s="1">
        <v>0</v>
      </c>
      <c r="U368" s="1">
        <v>0</v>
      </c>
      <c r="V368" s="1" t="s">
        <v>301</v>
      </c>
    </row>
    <row r="369" spans="1:22">
      <c r="A369" t="s">
        <v>55</v>
      </c>
      <c r="B369" t="s">
        <v>57</v>
      </c>
      <c r="C369" t="s">
        <v>63</v>
      </c>
      <c r="D369" s="1">
        <v>0</v>
      </c>
      <c r="E369" s="1">
        <v>0</v>
      </c>
      <c r="F369" s="1">
        <v>0</v>
      </c>
      <c r="G369" s="1">
        <v>0</v>
      </c>
      <c r="H369" s="1">
        <v>0</v>
      </c>
      <c r="I369" s="1">
        <v>0</v>
      </c>
      <c r="J369" s="1">
        <v>0</v>
      </c>
      <c r="K369" s="1">
        <v>0</v>
      </c>
      <c r="L369" s="1">
        <v>0</v>
      </c>
      <c r="M369" s="1">
        <v>0</v>
      </c>
      <c r="N369" s="1">
        <v>0</v>
      </c>
      <c r="O369" s="1">
        <v>0</v>
      </c>
      <c r="P369" s="1">
        <v>0</v>
      </c>
      <c r="Q369" s="1">
        <v>0</v>
      </c>
      <c r="R369" s="1">
        <v>0</v>
      </c>
      <c r="S369" s="1">
        <v>0</v>
      </c>
      <c r="T369" s="1">
        <v>0</v>
      </c>
      <c r="U369" s="1">
        <v>0</v>
      </c>
      <c r="V369" s="1" t="s">
        <v>301</v>
      </c>
    </row>
    <row r="370" spans="1:22">
      <c r="A370" t="s">
        <v>55</v>
      </c>
      <c r="B370" t="s">
        <v>57</v>
      </c>
      <c r="C370" t="s">
        <v>64</v>
      </c>
      <c r="D370" s="1">
        <v>0</v>
      </c>
      <c r="E370" s="1">
        <v>0</v>
      </c>
      <c r="F370" s="1">
        <v>0</v>
      </c>
      <c r="G370" s="1">
        <v>0</v>
      </c>
      <c r="H370" s="1">
        <v>0</v>
      </c>
      <c r="I370" s="1">
        <v>0</v>
      </c>
      <c r="J370" s="1">
        <v>0</v>
      </c>
      <c r="K370" s="1">
        <v>0</v>
      </c>
      <c r="L370" s="1">
        <v>0</v>
      </c>
      <c r="M370" s="1">
        <v>0</v>
      </c>
      <c r="N370" s="1">
        <v>0</v>
      </c>
      <c r="O370" s="1">
        <v>0</v>
      </c>
      <c r="P370" s="1">
        <v>0</v>
      </c>
      <c r="Q370" s="1">
        <v>0</v>
      </c>
      <c r="R370" s="1">
        <v>0</v>
      </c>
      <c r="S370" s="1">
        <v>0</v>
      </c>
      <c r="T370" s="1">
        <v>0</v>
      </c>
      <c r="U370" s="1">
        <v>0</v>
      </c>
      <c r="V370" s="1" t="s">
        <v>301</v>
      </c>
    </row>
    <row r="371" spans="1:22">
      <c r="A371" t="s">
        <v>55</v>
      </c>
      <c r="B371" t="s">
        <v>57</v>
      </c>
      <c r="C371" t="s">
        <v>65</v>
      </c>
      <c r="D371" s="1">
        <v>0</v>
      </c>
      <c r="E371" s="1">
        <v>0</v>
      </c>
      <c r="F371" s="1">
        <v>0</v>
      </c>
      <c r="G371" s="1">
        <v>0</v>
      </c>
      <c r="H371" s="1">
        <v>0</v>
      </c>
      <c r="I371" s="1">
        <v>0</v>
      </c>
      <c r="J371" s="1">
        <v>0</v>
      </c>
      <c r="K371" s="1">
        <v>0</v>
      </c>
      <c r="L371" s="1">
        <v>0</v>
      </c>
      <c r="M371" s="1">
        <v>0</v>
      </c>
      <c r="N371" s="1">
        <v>0</v>
      </c>
      <c r="O371" s="1">
        <v>0</v>
      </c>
      <c r="P371" s="1">
        <v>0</v>
      </c>
      <c r="Q371" s="1">
        <v>0</v>
      </c>
      <c r="R371" s="1">
        <v>0</v>
      </c>
      <c r="S371" s="1">
        <v>0</v>
      </c>
      <c r="T371" s="1">
        <v>0</v>
      </c>
      <c r="U371" s="1">
        <v>0</v>
      </c>
      <c r="V371" s="1" t="s">
        <v>301</v>
      </c>
    </row>
    <row r="372" spans="1:22"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</row>
    <row r="373" spans="1:22"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</row>
    <row r="374" spans="1:22"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</row>
    <row r="375" spans="1:22"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</row>
    <row r="376" spans="1:22"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</row>
    <row r="377" spans="1:22"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</row>
    <row r="378" spans="1:22"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</row>
    <row r="379" spans="1:22"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</row>
    <row r="380" spans="1:22"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</row>
    <row r="381" spans="1:22"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</row>
    <row r="382" spans="1:22"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</row>
    <row r="383" spans="1:22"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</row>
    <row r="384" spans="1:22"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</row>
    <row r="385" spans="4:22"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</row>
    <row r="386" spans="4:22"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</row>
    <row r="387" spans="4:22"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</row>
    <row r="388" spans="4:22"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</row>
    <row r="389" spans="4:22"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</row>
    <row r="390" spans="4:22"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</row>
    <row r="391" spans="4:22"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</row>
    <row r="392" spans="4:22"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</row>
    <row r="393" spans="4:22"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</row>
    <row r="394" spans="4:22"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</row>
    <row r="395" spans="4:22"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</row>
    <row r="396" spans="4:22"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</row>
    <row r="397" spans="4:22"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</row>
    <row r="398" spans="4:22"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</row>
    <row r="399" spans="4:22"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</row>
    <row r="400" spans="4:22"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</row>
    <row r="401" spans="4:22"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</row>
    <row r="402" spans="4:22"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</row>
    <row r="403" spans="4:22"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</row>
    <row r="404" spans="4:22"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</row>
    <row r="405" spans="4:22"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</row>
    <row r="406" spans="4:22"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</row>
    <row r="407" spans="4:22"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</row>
    <row r="408" spans="4:22"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</row>
    <row r="409" spans="4:22"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</row>
    <row r="410" spans="4:22"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</row>
    <row r="411" spans="4:22"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</row>
    <row r="412" spans="4:22"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</row>
    <row r="413" spans="4:22"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</row>
    <row r="414" spans="4:22"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</row>
    <row r="415" spans="4:22"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</row>
    <row r="416" spans="4:22"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</row>
    <row r="417" spans="1:22"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</row>
    <row r="418" spans="1:22"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</row>
    <row r="419" spans="1:22"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</row>
    <row r="420" spans="1:22"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</row>
    <row r="421" spans="1:22"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</row>
    <row r="422" spans="1:22"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</row>
    <row r="423" spans="1:22"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</row>
    <row r="424" spans="1:22"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</row>
    <row r="425" spans="1:22"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</row>
    <row r="426" spans="1:22"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</row>
    <row r="427" spans="1:22"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</row>
    <row r="428" spans="1:22"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</row>
    <row r="429" spans="1:22">
      <c r="A429" s="1">
        <f>setup!C20</f>
        <v>3819</v>
      </c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</row>
    <row r="430" spans="1:22">
      <c r="A430" t="str">
        <f>_xlfn.CONCAT(setup!D20," - ",setup!E20)</f>
        <v>OSEP – Emotional Disturbance - Paper - OSEP_ED_P</v>
      </c>
      <c r="D430" s="1"/>
      <c r="E430" s="1"/>
      <c r="F430" s="1"/>
      <c r="G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</row>
    <row r="431" spans="1:22">
      <c r="A431" t="s">
        <v>35</v>
      </c>
      <c r="B431" t="s">
        <v>36</v>
      </c>
      <c r="C431" t="s">
        <v>37</v>
      </c>
      <c r="D431" s="1" t="s">
        <v>38</v>
      </c>
      <c r="E431" s="1" t="s">
        <v>39</v>
      </c>
      <c r="F431" s="1" t="s">
        <v>40</v>
      </c>
      <c r="G431" s="1" t="s">
        <v>41</v>
      </c>
      <c r="H431" s="1" t="s">
        <v>42</v>
      </c>
      <c r="I431" s="1" t="s">
        <v>43</v>
      </c>
      <c r="J431" s="1" t="s">
        <v>44</v>
      </c>
      <c r="K431" s="1" t="s">
        <v>45</v>
      </c>
      <c r="L431" s="1" t="s">
        <v>46</v>
      </c>
      <c r="M431" s="1" t="s">
        <v>47</v>
      </c>
      <c r="N431" s="1" t="s">
        <v>48</v>
      </c>
      <c r="O431" s="1" t="s">
        <v>49</v>
      </c>
      <c r="P431" s="1" t="s">
        <v>50</v>
      </c>
      <c r="Q431" s="1" t="s">
        <v>51</v>
      </c>
      <c r="R431" s="1" t="s">
        <v>52</v>
      </c>
      <c r="S431" s="1" t="s">
        <v>53</v>
      </c>
      <c r="T431" t="s">
        <v>54</v>
      </c>
      <c r="U431" s="1" t="s">
        <v>55</v>
      </c>
      <c r="V431" t="s">
        <v>56</v>
      </c>
    </row>
    <row r="432" spans="1:22">
      <c r="A432" t="s">
        <v>187</v>
      </c>
      <c r="B432" t="s">
        <v>57</v>
      </c>
      <c r="C432" t="s">
        <v>58</v>
      </c>
      <c r="D432" s="1">
        <v>0</v>
      </c>
      <c r="E432" s="1">
        <v>0</v>
      </c>
      <c r="F432" s="1">
        <v>0</v>
      </c>
      <c r="G432" s="1">
        <v>0</v>
      </c>
      <c r="H432" s="1">
        <v>0</v>
      </c>
      <c r="I432" s="1">
        <v>0</v>
      </c>
      <c r="J432" s="1">
        <v>0</v>
      </c>
      <c r="K432" s="1">
        <v>0</v>
      </c>
      <c r="L432" s="1">
        <v>0</v>
      </c>
      <c r="M432" s="1">
        <v>0</v>
      </c>
      <c r="N432" s="1">
        <v>0</v>
      </c>
      <c r="O432" s="1">
        <v>0</v>
      </c>
      <c r="P432" s="1">
        <v>0</v>
      </c>
      <c r="Q432" s="1">
        <v>0</v>
      </c>
      <c r="R432" s="1">
        <v>0</v>
      </c>
      <c r="S432" s="1">
        <v>0</v>
      </c>
      <c r="T432" s="1">
        <v>0</v>
      </c>
      <c r="U432" s="1">
        <v>1</v>
      </c>
      <c r="V432" s="1" t="s">
        <v>301</v>
      </c>
    </row>
    <row r="433" spans="1:22">
      <c r="A433" t="s">
        <v>187</v>
      </c>
      <c r="B433" t="s">
        <v>57</v>
      </c>
      <c r="C433" t="s">
        <v>59</v>
      </c>
      <c r="D433" s="1">
        <v>0</v>
      </c>
      <c r="E433" s="1">
        <v>0</v>
      </c>
      <c r="F433" s="1">
        <v>0</v>
      </c>
      <c r="G433" s="1">
        <v>0</v>
      </c>
      <c r="H433" s="1">
        <v>0</v>
      </c>
      <c r="I433" s="1">
        <v>0</v>
      </c>
      <c r="J433" s="1">
        <v>0</v>
      </c>
      <c r="K433" s="1">
        <v>0</v>
      </c>
      <c r="L433" s="1">
        <v>0</v>
      </c>
      <c r="M433" s="1">
        <v>0</v>
      </c>
      <c r="N433" s="1">
        <v>0</v>
      </c>
      <c r="O433" s="1">
        <v>0</v>
      </c>
      <c r="P433" s="1">
        <v>0</v>
      </c>
      <c r="Q433" s="1">
        <v>0</v>
      </c>
      <c r="R433" s="1">
        <v>0</v>
      </c>
      <c r="S433" s="1">
        <v>0</v>
      </c>
      <c r="T433" s="1">
        <v>0</v>
      </c>
      <c r="U433" s="1">
        <v>0</v>
      </c>
      <c r="V433" s="1" t="s">
        <v>301</v>
      </c>
    </row>
    <row r="434" spans="1:22">
      <c r="A434" t="s">
        <v>187</v>
      </c>
      <c r="B434" t="s">
        <v>57</v>
      </c>
      <c r="C434" t="s">
        <v>60</v>
      </c>
      <c r="D434" s="1">
        <v>0</v>
      </c>
      <c r="E434" s="1">
        <v>0</v>
      </c>
      <c r="F434" s="1">
        <v>0</v>
      </c>
      <c r="G434" s="1">
        <v>0</v>
      </c>
      <c r="H434" s="1">
        <v>0</v>
      </c>
      <c r="I434" s="1">
        <v>0</v>
      </c>
      <c r="J434" s="1">
        <v>0</v>
      </c>
      <c r="K434" s="1">
        <v>0</v>
      </c>
      <c r="L434" s="1">
        <v>0</v>
      </c>
      <c r="M434" s="1">
        <v>0</v>
      </c>
      <c r="N434" s="1">
        <v>0</v>
      </c>
      <c r="O434" s="1">
        <v>0</v>
      </c>
      <c r="P434" s="1">
        <v>0</v>
      </c>
      <c r="Q434" s="1">
        <v>0</v>
      </c>
      <c r="R434" s="1">
        <v>0</v>
      </c>
      <c r="S434" s="1">
        <v>0</v>
      </c>
      <c r="T434" s="1">
        <v>0</v>
      </c>
      <c r="U434" s="1">
        <v>0</v>
      </c>
      <c r="V434" s="1" t="s">
        <v>301</v>
      </c>
    </row>
    <row r="435" spans="1:22">
      <c r="A435" t="s">
        <v>187</v>
      </c>
      <c r="B435" t="s">
        <v>57</v>
      </c>
      <c r="C435" t="s">
        <v>61</v>
      </c>
      <c r="D435" s="1">
        <v>0</v>
      </c>
      <c r="E435" s="1">
        <v>0</v>
      </c>
      <c r="F435" s="1">
        <v>0</v>
      </c>
      <c r="G435" s="1">
        <v>0</v>
      </c>
      <c r="H435" s="1">
        <v>0</v>
      </c>
      <c r="I435" s="1">
        <v>0</v>
      </c>
      <c r="J435" s="1">
        <v>0</v>
      </c>
      <c r="K435" s="1">
        <v>0</v>
      </c>
      <c r="L435" s="1">
        <v>0</v>
      </c>
      <c r="M435" s="1">
        <v>0</v>
      </c>
      <c r="N435" s="1">
        <v>0</v>
      </c>
      <c r="O435" s="1">
        <v>0</v>
      </c>
      <c r="P435" s="1">
        <v>0</v>
      </c>
      <c r="Q435" s="1">
        <v>0</v>
      </c>
      <c r="R435" s="1">
        <v>0</v>
      </c>
      <c r="S435" s="1">
        <v>0</v>
      </c>
      <c r="T435" s="1">
        <v>0</v>
      </c>
      <c r="U435" s="1">
        <v>0</v>
      </c>
      <c r="V435" s="1" t="s">
        <v>301</v>
      </c>
    </row>
    <row r="436" spans="1:22">
      <c r="A436" t="s">
        <v>187</v>
      </c>
      <c r="B436" t="s">
        <v>57</v>
      </c>
      <c r="C436" t="s">
        <v>62</v>
      </c>
      <c r="D436" s="1">
        <v>0</v>
      </c>
      <c r="E436" s="1">
        <v>0</v>
      </c>
      <c r="F436" s="1">
        <v>0</v>
      </c>
      <c r="G436" s="1">
        <v>0</v>
      </c>
      <c r="H436" s="1">
        <v>0</v>
      </c>
      <c r="I436" s="1">
        <v>0</v>
      </c>
      <c r="J436" s="1">
        <v>0</v>
      </c>
      <c r="K436" s="1">
        <v>0</v>
      </c>
      <c r="L436" s="1">
        <v>0</v>
      </c>
      <c r="M436" s="1">
        <v>0</v>
      </c>
      <c r="N436" s="1">
        <v>0</v>
      </c>
      <c r="O436" s="1">
        <v>0</v>
      </c>
      <c r="P436" s="1">
        <v>0</v>
      </c>
      <c r="Q436" s="1">
        <v>0</v>
      </c>
      <c r="R436" s="1">
        <v>0</v>
      </c>
      <c r="S436" s="1">
        <v>0</v>
      </c>
      <c r="T436" s="1">
        <v>0</v>
      </c>
      <c r="U436" s="1">
        <v>0</v>
      </c>
      <c r="V436" s="1" t="s">
        <v>301</v>
      </c>
    </row>
    <row r="437" spans="1:22">
      <c r="A437" t="s">
        <v>187</v>
      </c>
      <c r="B437" t="s">
        <v>57</v>
      </c>
      <c r="C437" t="s">
        <v>63</v>
      </c>
      <c r="D437" s="1">
        <v>0</v>
      </c>
      <c r="E437" s="1">
        <v>0</v>
      </c>
      <c r="F437" s="1">
        <v>0</v>
      </c>
      <c r="G437" s="1">
        <v>0</v>
      </c>
      <c r="H437" s="1">
        <v>0</v>
      </c>
      <c r="I437" s="1">
        <v>0</v>
      </c>
      <c r="J437" s="1">
        <v>0</v>
      </c>
      <c r="K437" s="1">
        <v>0</v>
      </c>
      <c r="L437" s="1">
        <v>0</v>
      </c>
      <c r="M437" s="1">
        <v>0</v>
      </c>
      <c r="N437" s="1">
        <v>0</v>
      </c>
      <c r="O437" s="1">
        <v>0</v>
      </c>
      <c r="P437" s="1">
        <v>0</v>
      </c>
      <c r="Q437" s="1">
        <v>0</v>
      </c>
      <c r="R437" s="1">
        <v>0</v>
      </c>
      <c r="S437" s="1">
        <v>0</v>
      </c>
      <c r="T437" s="1">
        <v>0</v>
      </c>
      <c r="U437" s="1">
        <v>0</v>
      </c>
      <c r="V437" s="1" t="s">
        <v>301</v>
      </c>
    </row>
    <row r="438" spans="1:22">
      <c r="A438" t="s">
        <v>187</v>
      </c>
      <c r="B438" t="s">
        <v>57</v>
      </c>
      <c r="C438" t="s">
        <v>64</v>
      </c>
      <c r="D438" s="1">
        <v>0</v>
      </c>
      <c r="E438" s="1">
        <v>0</v>
      </c>
      <c r="F438" s="1">
        <v>0</v>
      </c>
      <c r="G438" s="1">
        <v>0</v>
      </c>
      <c r="H438" s="1">
        <v>0</v>
      </c>
      <c r="I438" s="1">
        <v>0</v>
      </c>
      <c r="J438" s="1">
        <v>0</v>
      </c>
      <c r="K438" s="1">
        <v>0</v>
      </c>
      <c r="L438" s="1">
        <v>0</v>
      </c>
      <c r="M438" s="1">
        <v>0</v>
      </c>
      <c r="N438" s="1">
        <v>0</v>
      </c>
      <c r="O438" s="1">
        <v>0</v>
      </c>
      <c r="P438" s="1">
        <v>0</v>
      </c>
      <c r="Q438" s="1">
        <v>0</v>
      </c>
      <c r="R438" s="1">
        <v>0</v>
      </c>
      <c r="S438" s="1">
        <v>0</v>
      </c>
      <c r="T438" s="1">
        <v>0</v>
      </c>
      <c r="U438" s="1">
        <v>0</v>
      </c>
      <c r="V438" s="1" t="s">
        <v>301</v>
      </c>
    </row>
    <row r="439" spans="1:22">
      <c r="A439" t="s">
        <v>187</v>
      </c>
      <c r="B439" t="s">
        <v>57</v>
      </c>
      <c r="C439" t="s">
        <v>65</v>
      </c>
      <c r="D439" s="1">
        <v>0</v>
      </c>
      <c r="E439" s="1">
        <v>0</v>
      </c>
      <c r="F439" s="1">
        <v>0</v>
      </c>
      <c r="G439" s="1">
        <v>0</v>
      </c>
      <c r="H439" s="1">
        <v>0</v>
      </c>
      <c r="I439" s="1">
        <v>0</v>
      </c>
      <c r="J439" s="1">
        <v>0</v>
      </c>
      <c r="K439" s="1">
        <v>0</v>
      </c>
      <c r="L439" s="1">
        <v>0</v>
      </c>
      <c r="M439" s="1">
        <v>0</v>
      </c>
      <c r="N439" s="1">
        <v>0</v>
      </c>
      <c r="O439" s="1">
        <v>0</v>
      </c>
      <c r="P439" s="1">
        <v>0</v>
      </c>
      <c r="Q439" s="1">
        <v>0</v>
      </c>
      <c r="R439" s="1">
        <v>0</v>
      </c>
      <c r="S439" s="1">
        <v>0</v>
      </c>
      <c r="T439" s="1">
        <v>0</v>
      </c>
      <c r="U439" s="1">
        <v>0</v>
      </c>
      <c r="V439" s="1" t="s">
        <v>301</v>
      </c>
    </row>
    <row r="440" spans="1:22">
      <c r="A440" t="s">
        <v>188</v>
      </c>
      <c r="B440" t="s">
        <v>57</v>
      </c>
      <c r="C440" t="s">
        <v>58</v>
      </c>
      <c r="D440" s="1">
        <v>0</v>
      </c>
      <c r="E440" s="1">
        <v>0</v>
      </c>
      <c r="F440" s="1">
        <v>0</v>
      </c>
      <c r="G440" s="1">
        <v>0</v>
      </c>
      <c r="H440" s="1">
        <v>0</v>
      </c>
      <c r="I440" s="1">
        <v>0</v>
      </c>
      <c r="J440" s="1">
        <v>0</v>
      </c>
      <c r="K440" s="1">
        <v>0</v>
      </c>
      <c r="L440" s="1">
        <v>0</v>
      </c>
      <c r="M440" s="1">
        <v>0</v>
      </c>
      <c r="N440" s="1">
        <v>0</v>
      </c>
      <c r="O440" s="1">
        <v>0</v>
      </c>
      <c r="P440" s="1">
        <v>0</v>
      </c>
      <c r="Q440" s="1">
        <v>0</v>
      </c>
      <c r="R440" s="1">
        <v>0</v>
      </c>
      <c r="S440" s="1">
        <v>0</v>
      </c>
      <c r="T440" s="1">
        <v>0</v>
      </c>
      <c r="U440" s="1">
        <v>2</v>
      </c>
      <c r="V440" s="1" t="s">
        <v>301</v>
      </c>
    </row>
    <row r="441" spans="1:22">
      <c r="A441" t="s">
        <v>188</v>
      </c>
      <c r="B441" t="s">
        <v>57</v>
      </c>
      <c r="C441" t="s">
        <v>59</v>
      </c>
      <c r="D441" s="1">
        <v>0</v>
      </c>
      <c r="E441" s="1">
        <v>0</v>
      </c>
      <c r="F441" s="1">
        <v>0</v>
      </c>
      <c r="G441" s="1">
        <v>0</v>
      </c>
      <c r="H441" s="1">
        <v>0</v>
      </c>
      <c r="I441" s="1">
        <v>0</v>
      </c>
      <c r="J441" s="1">
        <v>0</v>
      </c>
      <c r="K441" s="1">
        <v>0</v>
      </c>
      <c r="L441" s="1">
        <v>0</v>
      </c>
      <c r="M441" s="1">
        <v>0</v>
      </c>
      <c r="N441" s="1">
        <v>0</v>
      </c>
      <c r="O441" s="1">
        <v>0</v>
      </c>
      <c r="P441" s="1">
        <v>0</v>
      </c>
      <c r="Q441" s="1">
        <v>0</v>
      </c>
      <c r="R441" s="1">
        <v>0</v>
      </c>
      <c r="S441" s="1">
        <v>0</v>
      </c>
      <c r="T441" s="1">
        <v>0</v>
      </c>
      <c r="U441" s="1">
        <v>0</v>
      </c>
      <c r="V441" s="1" t="s">
        <v>301</v>
      </c>
    </row>
    <row r="442" spans="1:22">
      <c r="A442" t="s">
        <v>188</v>
      </c>
      <c r="B442" t="s">
        <v>57</v>
      </c>
      <c r="C442" t="s">
        <v>60</v>
      </c>
      <c r="D442" s="1">
        <v>0</v>
      </c>
      <c r="E442" s="1">
        <v>0</v>
      </c>
      <c r="F442" s="1">
        <v>0</v>
      </c>
      <c r="G442" s="1">
        <v>0</v>
      </c>
      <c r="H442" s="1">
        <v>0</v>
      </c>
      <c r="I442" s="1">
        <v>0</v>
      </c>
      <c r="J442" s="1">
        <v>0</v>
      </c>
      <c r="K442" s="1">
        <v>0</v>
      </c>
      <c r="L442" s="1">
        <v>0</v>
      </c>
      <c r="M442" s="1">
        <v>0</v>
      </c>
      <c r="N442" s="1">
        <v>0</v>
      </c>
      <c r="O442" s="1">
        <v>0</v>
      </c>
      <c r="P442" s="1">
        <v>0</v>
      </c>
      <c r="Q442" s="1">
        <v>0</v>
      </c>
      <c r="R442" s="1">
        <v>0</v>
      </c>
      <c r="S442" s="1">
        <v>0</v>
      </c>
      <c r="T442" s="1">
        <v>0</v>
      </c>
      <c r="U442" s="1">
        <v>0</v>
      </c>
      <c r="V442" s="1" t="s">
        <v>301</v>
      </c>
    </row>
    <row r="443" spans="1:22">
      <c r="A443" t="s">
        <v>188</v>
      </c>
      <c r="B443" t="s">
        <v>57</v>
      </c>
      <c r="C443" t="s">
        <v>61</v>
      </c>
      <c r="D443" s="1">
        <v>0</v>
      </c>
      <c r="E443" s="1">
        <v>0</v>
      </c>
      <c r="F443" s="1">
        <v>0</v>
      </c>
      <c r="G443" s="1">
        <v>0</v>
      </c>
      <c r="H443" s="1">
        <v>0</v>
      </c>
      <c r="I443" s="1">
        <v>0</v>
      </c>
      <c r="J443" s="1">
        <v>0</v>
      </c>
      <c r="K443" s="1">
        <v>0</v>
      </c>
      <c r="L443" s="1">
        <v>0</v>
      </c>
      <c r="M443" s="1">
        <v>0</v>
      </c>
      <c r="N443" s="1">
        <v>0</v>
      </c>
      <c r="O443" s="1">
        <v>0</v>
      </c>
      <c r="P443" s="1">
        <v>0</v>
      </c>
      <c r="Q443" s="1">
        <v>0</v>
      </c>
      <c r="R443" s="1">
        <v>0</v>
      </c>
      <c r="S443" s="1">
        <v>0</v>
      </c>
      <c r="T443" s="1">
        <v>0</v>
      </c>
      <c r="U443" s="1">
        <v>0</v>
      </c>
      <c r="V443" s="1" t="s">
        <v>301</v>
      </c>
    </row>
    <row r="444" spans="1:22">
      <c r="A444" t="s">
        <v>188</v>
      </c>
      <c r="B444" t="s">
        <v>57</v>
      </c>
      <c r="C444" t="s">
        <v>62</v>
      </c>
      <c r="D444" s="1">
        <v>0</v>
      </c>
      <c r="E444" s="1">
        <v>0</v>
      </c>
      <c r="F444" s="1">
        <v>0</v>
      </c>
      <c r="G444" s="1">
        <v>0</v>
      </c>
      <c r="H444" s="1">
        <v>0</v>
      </c>
      <c r="I444" s="1">
        <v>0</v>
      </c>
      <c r="J444" s="1">
        <v>0</v>
      </c>
      <c r="K444" s="1">
        <v>0</v>
      </c>
      <c r="L444" s="1">
        <v>0</v>
      </c>
      <c r="M444" s="1">
        <v>0</v>
      </c>
      <c r="N444" s="1">
        <v>0</v>
      </c>
      <c r="O444" s="1">
        <v>0</v>
      </c>
      <c r="P444" s="1">
        <v>0</v>
      </c>
      <c r="Q444" s="1">
        <v>0</v>
      </c>
      <c r="R444" s="1">
        <v>0</v>
      </c>
      <c r="S444" s="1">
        <v>0</v>
      </c>
      <c r="T444" s="1">
        <v>0</v>
      </c>
      <c r="U444" s="1">
        <v>0</v>
      </c>
      <c r="V444" s="1" t="s">
        <v>301</v>
      </c>
    </row>
    <row r="445" spans="1:22">
      <c r="A445" t="s">
        <v>188</v>
      </c>
      <c r="B445" t="s">
        <v>57</v>
      </c>
      <c r="C445" t="s">
        <v>63</v>
      </c>
      <c r="D445" s="1">
        <v>0</v>
      </c>
      <c r="E445" s="1">
        <v>0</v>
      </c>
      <c r="F445" s="1">
        <v>0</v>
      </c>
      <c r="G445" s="1">
        <v>0</v>
      </c>
      <c r="H445" s="1">
        <v>0</v>
      </c>
      <c r="I445" s="1">
        <v>0</v>
      </c>
      <c r="J445" s="1">
        <v>0</v>
      </c>
      <c r="K445" s="1">
        <v>0</v>
      </c>
      <c r="L445" s="1">
        <v>0</v>
      </c>
      <c r="M445" s="1">
        <v>0</v>
      </c>
      <c r="N445" s="1">
        <v>0</v>
      </c>
      <c r="O445" s="1">
        <v>0</v>
      </c>
      <c r="P445" s="1">
        <v>0</v>
      </c>
      <c r="Q445" s="1">
        <v>0</v>
      </c>
      <c r="R445" s="1">
        <v>0</v>
      </c>
      <c r="S445" s="1">
        <v>0</v>
      </c>
      <c r="T445" s="1">
        <v>0</v>
      </c>
      <c r="U445" s="1">
        <v>0</v>
      </c>
      <c r="V445" s="1" t="s">
        <v>301</v>
      </c>
    </row>
    <row r="446" spans="1:22">
      <c r="A446" t="s">
        <v>188</v>
      </c>
      <c r="B446" t="s">
        <v>57</v>
      </c>
      <c r="C446" t="s">
        <v>64</v>
      </c>
      <c r="D446" s="1">
        <v>0</v>
      </c>
      <c r="E446" s="1">
        <v>0</v>
      </c>
      <c r="F446" s="1">
        <v>0</v>
      </c>
      <c r="G446" s="1">
        <v>0</v>
      </c>
      <c r="H446" s="1">
        <v>0</v>
      </c>
      <c r="I446" s="1">
        <v>0</v>
      </c>
      <c r="J446" s="1">
        <v>0</v>
      </c>
      <c r="K446" s="1">
        <v>0</v>
      </c>
      <c r="L446" s="1">
        <v>0</v>
      </c>
      <c r="M446" s="1">
        <v>0</v>
      </c>
      <c r="N446" s="1">
        <v>0</v>
      </c>
      <c r="O446" s="1">
        <v>0</v>
      </c>
      <c r="P446" s="1">
        <v>0</v>
      </c>
      <c r="Q446" s="1">
        <v>0</v>
      </c>
      <c r="R446" s="1">
        <v>0</v>
      </c>
      <c r="S446" s="1">
        <v>0</v>
      </c>
      <c r="T446" s="1">
        <v>0</v>
      </c>
      <c r="U446" s="1">
        <v>0</v>
      </c>
      <c r="V446" s="1" t="s">
        <v>301</v>
      </c>
    </row>
    <row r="447" spans="1:22">
      <c r="A447" t="s">
        <v>188</v>
      </c>
      <c r="B447" t="s">
        <v>57</v>
      </c>
      <c r="C447" t="s">
        <v>65</v>
      </c>
      <c r="D447" s="1">
        <v>0</v>
      </c>
      <c r="E447" s="1">
        <v>0</v>
      </c>
      <c r="F447" s="1">
        <v>0</v>
      </c>
      <c r="G447" s="1">
        <v>0</v>
      </c>
      <c r="H447" s="1">
        <v>0</v>
      </c>
      <c r="I447" s="1">
        <v>0</v>
      </c>
      <c r="J447" s="1">
        <v>0</v>
      </c>
      <c r="K447" s="1">
        <v>0</v>
      </c>
      <c r="L447" s="1">
        <v>0</v>
      </c>
      <c r="M447" s="1">
        <v>0</v>
      </c>
      <c r="N447" s="1">
        <v>0</v>
      </c>
      <c r="O447" s="1">
        <v>0</v>
      </c>
      <c r="P447" s="1">
        <v>0</v>
      </c>
      <c r="Q447" s="1">
        <v>0</v>
      </c>
      <c r="R447" s="1">
        <v>0</v>
      </c>
      <c r="S447" s="1">
        <v>0</v>
      </c>
      <c r="T447" s="1">
        <v>0</v>
      </c>
      <c r="U447" s="1">
        <v>0</v>
      </c>
      <c r="V447" s="1" t="s">
        <v>301</v>
      </c>
    </row>
    <row r="448" spans="1:22">
      <c r="A448" t="s">
        <v>66</v>
      </c>
      <c r="B448" t="s">
        <v>57</v>
      </c>
      <c r="C448" t="s">
        <v>58</v>
      </c>
      <c r="D448" s="1">
        <v>0</v>
      </c>
      <c r="E448" s="1">
        <v>0</v>
      </c>
      <c r="F448" s="1">
        <v>0</v>
      </c>
      <c r="G448" s="1">
        <v>0</v>
      </c>
      <c r="H448" s="1">
        <v>0</v>
      </c>
      <c r="I448" s="1">
        <v>0</v>
      </c>
      <c r="J448" s="1">
        <v>0</v>
      </c>
      <c r="K448" s="1">
        <v>0</v>
      </c>
      <c r="L448" s="1">
        <v>0</v>
      </c>
      <c r="M448" s="1">
        <v>0</v>
      </c>
      <c r="N448" s="1">
        <v>0</v>
      </c>
      <c r="O448" s="1">
        <v>0</v>
      </c>
      <c r="P448" s="1">
        <v>0</v>
      </c>
      <c r="Q448" s="1">
        <v>0</v>
      </c>
      <c r="R448" s="1">
        <v>0</v>
      </c>
      <c r="S448" s="1">
        <v>0</v>
      </c>
      <c r="T448" s="1">
        <v>0</v>
      </c>
      <c r="U448" s="1">
        <v>1</v>
      </c>
      <c r="V448" s="1" t="s">
        <v>301</v>
      </c>
    </row>
    <row r="449" spans="1:22">
      <c r="A449" t="s">
        <v>66</v>
      </c>
      <c r="B449" t="s">
        <v>57</v>
      </c>
      <c r="C449" t="s">
        <v>59</v>
      </c>
      <c r="D449" s="1">
        <v>0</v>
      </c>
      <c r="E449" s="1">
        <v>0</v>
      </c>
      <c r="F449" s="1">
        <v>0</v>
      </c>
      <c r="G449" s="1">
        <v>0</v>
      </c>
      <c r="H449" s="1">
        <v>0</v>
      </c>
      <c r="I449" s="1">
        <v>0</v>
      </c>
      <c r="J449" s="1">
        <v>0</v>
      </c>
      <c r="K449" s="1">
        <v>0</v>
      </c>
      <c r="L449" s="1">
        <v>0</v>
      </c>
      <c r="M449" s="1">
        <v>0</v>
      </c>
      <c r="N449" s="1">
        <v>0</v>
      </c>
      <c r="O449" s="1">
        <v>0</v>
      </c>
      <c r="P449" s="1">
        <v>0</v>
      </c>
      <c r="Q449" s="1">
        <v>0</v>
      </c>
      <c r="R449" s="1">
        <v>0</v>
      </c>
      <c r="S449" s="1">
        <v>0</v>
      </c>
      <c r="T449" s="1">
        <v>0</v>
      </c>
      <c r="U449" s="1">
        <v>0</v>
      </c>
      <c r="V449" s="1" t="s">
        <v>301</v>
      </c>
    </row>
    <row r="450" spans="1:22">
      <c r="A450" t="s">
        <v>66</v>
      </c>
      <c r="B450" t="s">
        <v>57</v>
      </c>
      <c r="C450" t="s">
        <v>60</v>
      </c>
      <c r="D450" s="1">
        <v>0</v>
      </c>
      <c r="E450" s="1">
        <v>0</v>
      </c>
      <c r="F450" s="1">
        <v>0</v>
      </c>
      <c r="G450" s="1">
        <v>0</v>
      </c>
      <c r="H450" s="1">
        <v>0</v>
      </c>
      <c r="I450" s="1">
        <v>0</v>
      </c>
      <c r="J450" s="1">
        <v>0</v>
      </c>
      <c r="K450" s="1">
        <v>0</v>
      </c>
      <c r="L450" s="1">
        <v>0</v>
      </c>
      <c r="M450" s="1">
        <v>0</v>
      </c>
      <c r="N450" s="1">
        <v>0</v>
      </c>
      <c r="O450" s="1">
        <v>0</v>
      </c>
      <c r="P450" s="1">
        <v>0</v>
      </c>
      <c r="Q450" s="1">
        <v>0</v>
      </c>
      <c r="R450" s="1">
        <v>0</v>
      </c>
      <c r="S450" s="1">
        <v>0</v>
      </c>
      <c r="T450" s="1">
        <v>0</v>
      </c>
      <c r="U450" s="1">
        <v>0</v>
      </c>
      <c r="V450" s="1" t="s">
        <v>301</v>
      </c>
    </row>
    <row r="451" spans="1:22">
      <c r="A451" t="s">
        <v>66</v>
      </c>
      <c r="B451" t="s">
        <v>57</v>
      </c>
      <c r="C451" t="s">
        <v>61</v>
      </c>
      <c r="D451" s="1">
        <v>0</v>
      </c>
      <c r="E451" s="1">
        <v>0</v>
      </c>
      <c r="F451" s="1">
        <v>0</v>
      </c>
      <c r="G451" s="1">
        <v>0</v>
      </c>
      <c r="H451" s="1">
        <v>0</v>
      </c>
      <c r="I451" s="1">
        <v>0</v>
      </c>
      <c r="J451" s="1">
        <v>0</v>
      </c>
      <c r="K451" s="1">
        <v>0</v>
      </c>
      <c r="L451" s="1">
        <v>0</v>
      </c>
      <c r="M451" s="1">
        <v>0</v>
      </c>
      <c r="N451" s="1">
        <v>0</v>
      </c>
      <c r="O451" s="1">
        <v>0</v>
      </c>
      <c r="P451" s="1">
        <v>0</v>
      </c>
      <c r="Q451" s="1">
        <v>0</v>
      </c>
      <c r="R451" s="1">
        <v>0</v>
      </c>
      <c r="S451" s="1">
        <v>0</v>
      </c>
      <c r="T451" s="1">
        <v>0</v>
      </c>
      <c r="U451" s="1">
        <v>0</v>
      </c>
      <c r="V451" s="1" t="s">
        <v>301</v>
      </c>
    </row>
    <row r="452" spans="1:22">
      <c r="A452" t="s">
        <v>66</v>
      </c>
      <c r="B452" t="s">
        <v>57</v>
      </c>
      <c r="C452" t="s">
        <v>62</v>
      </c>
      <c r="D452" s="1">
        <v>0</v>
      </c>
      <c r="E452" s="1">
        <v>0</v>
      </c>
      <c r="F452" s="1">
        <v>0</v>
      </c>
      <c r="G452" s="1">
        <v>0</v>
      </c>
      <c r="H452" s="1">
        <v>0</v>
      </c>
      <c r="I452" s="1">
        <v>0</v>
      </c>
      <c r="J452" s="1">
        <v>0</v>
      </c>
      <c r="K452" s="1">
        <v>0</v>
      </c>
      <c r="L452" s="1">
        <v>0</v>
      </c>
      <c r="M452" s="1">
        <v>0</v>
      </c>
      <c r="N452" s="1">
        <v>0</v>
      </c>
      <c r="O452" s="1">
        <v>0</v>
      </c>
      <c r="P452" s="1">
        <v>0</v>
      </c>
      <c r="Q452" s="1">
        <v>0</v>
      </c>
      <c r="R452" s="1">
        <v>0</v>
      </c>
      <c r="S452" s="1">
        <v>0</v>
      </c>
      <c r="T452" s="1">
        <v>0</v>
      </c>
      <c r="U452" s="1">
        <v>0</v>
      </c>
      <c r="V452" s="1" t="s">
        <v>301</v>
      </c>
    </row>
    <row r="453" spans="1:22">
      <c r="A453" t="s">
        <v>66</v>
      </c>
      <c r="B453" t="s">
        <v>57</v>
      </c>
      <c r="C453" t="s">
        <v>63</v>
      </c>
      <c r="D453" s="1">
        <v>0</v>
      </c>
      <c r="E453" s="1">
        <v>0</v>
      </c>
      <c r="F453" s="1">
        <v>0</v>
      </c>
      <c r="G453" s="1">
        <v>0</v>
      </c>
      <c r="H453" s="1">
        <v>0</v>
      </c>
      <c r="I453" s="1">
        <v>0</v>
      </c>
      <c r="J453" s="1">
        <v>0</v>
      </c>
      <c r="K453" s="1">
        <v>0</v>
      </c>
      <c r="L453" s="1">
        <v>0</v>
      </c>
      <c r="M453" s="1">
        <v>0</v>
      </c>
      <c r="N453" s="1">
        <v>0</v>
      </c>
      <c r="O453" s="1">
        <v>0</v>
      </c>
      <c r="P453" s="1">
        <v>0</v>
      </c>
      <c r="Q453" s="1">
        <v>0</v>
      </c>
      <c r="R453" s="1">
        <v>0</v>
      </c>
      <c r="S453" s="1">
        <v>0</v>
      </c>
      <c r="T453" s="1">
        <v>0</v>
      </c>
      <c r="U453" s="1">
        <v>0</v>
      </c>
      <c r="V453" s="1" t="s">
        <v>301</v>
      </c>
    </row>
    <row r="454" spans="1:22">
      <c r="A454" t="s">
        <v>66</v>
      </c>
      <c r="B454" t="s">
        <v>57</v>
      </c>
      <c r="C454" t="s">
        <v>64</v>
      </c>
      <c r="D454" s="1">
        <v>0</v>
      </c>
      <c r="E454" s="1">
        <v>0</v>
      </c>
      <c r="F454" s="1">
        <v>0</v>
      </c>
      <c r="G454" s="1">
        <v>0</v>
      </c>
      <c r="H454" s="1">
        <v>0</v>
      </c>
      <c r="I454" s="1">
        <v>0</v>
      </c>
      <c r="J454" s="1">
        <v>0</v>
      </c>
      <c r="K454" s="1">
        <v>0</v>
      </c>
      <c r="L454" s="1">
        <v>0</v>
      </c>
      <c r="M454" s="1">
        <v>0</v>
      </c>
      <c r="N454" s="1">
        <v>0</v>
      </c>
      <c r="O454" s="1">
        <v>0</v>
      </c>
      <c r="P454" s="1">
        <v>0</v>
      </c>
      <c r="Q454" s="1">
        <v>0</v>
      </c>
      <c r="R454" s="1">
        <v>0</v>
      </c>
      <c r="S454" s="1">
        <v>0</v>
      </c>
      <c r="T454" s="1">
        <v>0</v>
      </c>
      <c r="U454" s="1">
        <v>0</v>
      </c>
      <c r="V454" s="1" t="s">
        <v>301</v>
      </c>
    </row>
    <row r="455" spans="1:22">
      <c r="A455" t="s">
        <v>66</v>
      </c>
      <c r="B455" t="s">
        <v>57</v>
      </c>
      <c r="C455" t="s">
        <v>65</v>
      </c>
      <c r="D455" s="1">
        <v>0</v>
      </c>
      <c r="E455" s="1">
        <v>0</v>
      </c>
      <c r="F455" s="1">
        <v>0</v>
      </c>
      <c r="G455" s="1">
        <v>0</v>
      </c>
      <c r="H455" s="1">
        <v>0</v>
      </c>
      <c r="I455" s="1">
        <v>0</v>
      </c>
      <c r="J455" s="1">
        <v>0</v>
      </c>
      <c r="K455" s="1">
        <v>0</v>
      </c>
      <c r="L455" s="1">
        <v>0</v>
      </c>
      <c r="M455" s="1">
        <v>0</v>
      </c>
      <c r="N455" s="1">
        <v>0</v>
      </c>
      <c r="O455" s="1">
        <v>0</v>
      </c>
      <c r="P455" s="1">
        <v>0</v>
      </c>
      <c r="Q455" s="1">
        <v>0</v>
      </c>
      <c r="R455" s="1">
        <v>0</v>
      </c>
      <c r="S455" s="1">
        <v>0</v>
      </c>
      <c r="T455" s="1">
        <v>0</v>
      </c>
      <c r="U455" s="1">
        <v>0</v>
      </c>
      <c r="V455" s="1" t="s">
        <v>301</v>
      </c>
    </row>
    <row r="456" spans="1:22">
      <c r="A456" t="s">
        <v>189</v>
      </c>
      <c r="B456" t="s">
        <v>57</v>
      </c>
      <c r="C456" t="s">
        <v>58</v>
      </c>
      <c r="D456" s="1">
        <v>0</v>
      </c>
      <c r="E456" s="1">
        <v>0</v>
      </c>
      <c r="F456" s="1">
        <v>0</v>
      </c>
      <c r="G456" s="1">
        <v>0</v>
      </c>
      <c r="H456" s="1">
        <v>0</v>
      </c>
      <c r="I456" s="1">
        <v>0</v>
      </c>
      <c r="J456" s="1">
        <v>0</v>
      </c>
      <c r="K456" s="1">
        <v>0</v>
      </c>
      <c r="L456" s="1">
        <v>0</v>
      </c>
      <c r="M456" s="1">
        <v>0</v>
      </c>
      <c r="N456" s="1">
        <v>0</v>
      </c>
      <c r="O456" s="1">
        <v>0</v>
      </c>
      <c r="P456" s="1">
        <v>0</v>
      </c>
      <c r="Q456" s="1">
        <v>0</v>
      </c>
      <c r="R456" s="1">
        <v>0</v>
      </c>
      <c r="S456" s="1">
        <v>0</v>
      </c>
      <c r="T456" s="1">
        <v>0</v>
      </c>
      <c r="U456" s="1">
        <v>2</v>
      </c>
      <c r="V456" s="1" t="s">
        <v>301</v>
      </c>
    </row>
    <row r="457" spans="1:22">
      <c r="A457" t="s">
        <v>189</v>
      </c>
      <c r="B457" t="s">
        <v>57</v>
      </c>
      <c r="C457" t="s">
        <v>59</v>
      </c>
      <c r="D457" s="1">
        <v>0</v>
      </c>
      <c r="E457" s="1">
        <v>0</v>
      </c>
      <c r="F457" s="1">
        <v>0</v>
      </c>
      <c r="G457" s="1">
        <v>0</v>
      </c>
      <c r="H457" s="1">
        <v>0</v>
      </c>
      <c r="I457" s="1">
        <v>0</v>
      </c>
      <c r="J457" s="1">
        <v>0</v>
      </c>
      <c r="K457" s="1">
        <v>0</v>
      </c>
      <c r="L457" s="1">
        <v>0</v>
      </c>
      <c r="M457" s="1">
        <v>0</v>
      </c>
      <c r="N457" s="1">
        <v>0</v>
      </c>
      <c r="O457" s="1">
        <v>0</v>
      </c>
      <c r="P457" s="1">
        <v>0</v>
      </c>
      <c r="Q457" s="1">
        <v>0</v>
      </c>
      <c r="R457" s="1">
        <v>0</v>
      </c>
      <c r="S457" s="1">
        <v>0</v>
      </c>
      <c r="T457" s="1">
        <v>0</v>
      </c>
      <c r="U457" s="1">
        <v>0</v>
      </c>
      <c r="V457" s="1" t="s">
        <v>301</v>
      </c>
    </row>
    <row r="458" spans="1:22">
      <c r="A458" t="s">
        <v>189</v>
      </c>
      <c r="B458" t="s">
        <v>57</v>
      </c>
      <c r="C458" t="s">
        <v>60</v>
      </c>
      <c r="D458" s="1">
        <v>0</v>
      </c>
      <c r="E458" s="1">
        <v>0</v>
      </c>
      <c r="F458" s="1">
        <v>0</v>
      </c>
      <c r="G458" s="1">
        <v>0</v>
      </c>
      <c r="H458" s="1">
        <v>0</v>
      </c>
      <c r="I458" s="1">
        <v>0</v>
      </c>
      <c r="J458" s="1">
        <v>0</v>
      </c>
      <c r="K458" s="1">
        <v>0</v>
      </c>
      <c r="L458" s="1">
        <v>0</v>
      </c>
      <c r="M458" s="1">
        <v>0</v>
      </c>
      <c r="N458" s="1">
        <v>0</v>
      </c>
      <c r="O458" s="1">
        <v>0</v>
      </c>
      <c r="P458" s="1">
        <v>0</v>
      </c>
      <c r="Q458" s="1">
        <v>0</v>
      </c>
      <c r="R458" s="1">
        <v>0</v>
      </c>
      <c r="S458" s="1">
        <v>0</v>
      </c>
      <c r="T458" s="1">
        <v>0</v>
      </c>
      <c r="U458" s="1">
        <v>0</v>
      </c>
      <c r="V458" s="1" t="s">
        <v>301</v>
      </c>
    </row>
    <row r="459" spans="1:22">
      <c r="A459" t="s">
        <v>189</v>
      </c>
      <c r="B459" t="s">
        <v>57</v>
      </c>
      <c r="C459" t="s">
        <v>61</v>
      </c>
      <c r="D459" s="1">
        <v>0</v>
      </c>
      <c r="E459" s="1">
        <v>0</v>
      </c>
      <c r="F459" s="1">
        <v>0</v>
      </c>
      <c r="G459" s="1">
        <v>0</v>
      </c>
      <c r="H459" s="1">
        <v>0</v>
      </c>
      <c r="I459" s="1">
        <v>0</v>
      </c>
      <c r="J459" s="1">
        <v>0</v>
      </c>
      <c r="K459" s="1">
        <v>0</v>
      </c>
      <c r="L459" s="1">
        <v>0</v>
      </c>
      <c r="M459" s="1">
        <v>0</v>
      </c>
      <c r="N459" s="1">
        <v>0</v>
      </c>
      <c r="O459" s="1">
        <v>0</v>
      </c>
      <c r="P459" s="1">
        <v>0</v>
      </c>
      <c r="Q459" s="1">
        <v>0</v>
      </c>
      <c r="R459" s="1">
        <v>0</v>
      </c>
      <c r="S459" s="1">
        <v>0</v>
      </c>
      <c r="T459" s="1">
        <v>0</v>
      </c>
      <c r="U459" s="1">
        <v>0</v>
      </c>
      <c r="V459" s="1" t="s">
        <v>301</v>
      </c>
    </row>
    <row r="460" spans="1:22">
      <c r="A460" t="s">
        <v>189</v>
      </c>
      <c r="B460" t="s">
        <v>57</v>
      </c>
      <c r="C460" t="s">
        <v>62</v>
      </c>
      <c r="D460" s="1">
        <v>0</v>
      </c>
      <c r="E460" s="1">
        <v>0</v>
      </c>
      <c r="F460" s="1">
        <v>0</v>
      </c>
      <c r="G460" s="1">
        <v>0</v>
      </c>
      <c r="H460" s="1">
        <v>0</v>
      </c>
      <c r="I460" s="1">
        <v>0</v>
      </c>
      <c r="J460" s="1">
        <v>0</v>
      </c>
      <c r="K460" s="1">
        <v>0</v>
      </c>
      <c r="L460" s="1">
        <v>0</v>
      </c>
      <c r="M460" s="1">
        <v>0</v>
      </c>
      <c r="N460" s="1">
        <v>0</v>
      </c>
      <c r="O460" s="1">
        <v>0</v>
      </c>
      <c r="P460" s="1">
        <v>0</v>
      </c>
      <c r="Q460" s="1">
        <v>0</v>
      </c>
      <c r="R460" s="1">
        <v>0</v>
      </c>
      <c r="S460" s="1">
        <v>0</v>
      </c>
      <c r="T460" s="1">
        <v>0</v>
      </c>
      <c r="U460" s="1">
        <v>0</v>
      </c>
      <c r="V460" s="1" t="s">
        <v>301</v>
      </c>
    </row>
    <row r="461" spans="1:22">
      <c r="A461" t="s">
        <v>189</v>
      </c>
      <c r="B461" t="s">
        <v>57</v>
      </c>
      <c r="C461" t="s">
        <v>63</v>
      </c>
      <c r="D461" s="1">
        <v>0</v>
      </c>
      <c r="E461" s="1">
        <v>0</v>
      </c>
      <c r="F461" s="1">
        <v>0</v>
      </c>
      <c r="G461" s="1">
        <v>0</v>
      </c>
      <c r="H461" s="1">
        <v>0</v>
      </c>
      <c r="I461" s="1">
        <v>0</v>
      </c>
      <c r="J461" s="1">
        <v>0</v>
      </c>
      <c r="K461" s="1">
        <v>0</v>
      </c>
      <c r="L461" s="1">
        <v>0</v>
      </c>
      <c r="M461" s="1">
        <v>0</v>
      </c>
      <c r="N461" s="1">
        <v>0</v>
      </c>
      <c r="O461" s="1">
        <v>0</v>
      </c>
      <c r="P461" s="1">
        <v>0</v>
      </c>
      <c r="Q461" s="1">
        <v>0</v>
      </c>
      <c r="R461" s="1">
        <v>0</v>
      </c>
      <c r="S461" s="1">
        <v>0</v>
      </c>
      <c r="T461" s="1">
        <v>0</v>
      </c>
      <c r="U461" s="1">
        <v>0</v>
      </c>
      <c r="V461" s="1" t="s">
        <v>301</v>
      </c>
    </row>
    <row r="462" spans="1:22">
      <c r="A462" t="s">
        <v>189</v>
      </c>
      <c r="B462" t="s">
        <v>57</v>
      </c>
      <c r="C462" t="s">
        <v>64</v>
      </c>
      <c r="D462" s="1">
        <v>0</v>
      </c>
      <c r="E462" s="1">
        <v>0</v>
      </c>
      <c r="F462" s="1">
        <v>0</v>
      </c>
      <c r="G462" s="1">
        <v>0</v>
      </c>
      <c r="H462" s="1">
        <v>0</v>
      </c>
      <c r="I462" s="1">
        <v>0</v>
      </c>
      <c r="J462" s="1">
        <v>0</v>
      </c>
      <c r="K462" s="1">
        <v>0</v>
      </c>
      <c r="L462" s="1">
        <v>0</v>
      </c>
      <c r="M462" s="1">
        <v>0</v>
      </c>
      <c r="N462" s="1">
        <v>0</v>
      </c>
      <c r="O462" s="1">
        <v>0</v>
      </c>
      <c r="P462" s="1">
        <v>0</v>
      </c>
      <c r="Q462" s="1">
        <v>0</v>
      </c>
      <c r="R462" s="1">
        <v>0</v>
      </c>
      <c r="S462" s="1">
        <v>0</v>
      </c>
      <c r="T462" s="1">
        <v>0</v>
      </c>
      <c r="U462" s="1">
        <v>0</v>
      </c>
      <c r="V462" s="1" t="s">
        <v>301</v>
      </c>
    </row>
    <row r="463" spans="1:22">
      <c r="A463" t="s">
        <v>189</v>
      </c>
      <c r="B463" t="s">
        <v>57</v>
      </c>
      <c r="C463" t="s">
        <v>65</v>
      </c>
      <c r="D463" s="1">
        <v>0</v>
      </c>
      <c r="E463" s="1">
        <v>0</v>
      </c>
      <c r="F463" s="1">
        <v>0</v>
      </c>
      <c r="G463" s="1">
        <v>0</v>
      </c>
      <c r="H463" s="1">
        <v>0</v>
      </c>
      <c r="I463" s="1">
        <v>0</v>
      </c>
      <c r="J463" s="1">
        <v>0</v>
      </c>
      <c r="K463" s="1">
        <v>0</v>
      </c>
      <c r="L463" s="1">
        <v>0</v>
      </c>
      <c r="M463" s="1">
        <v>0</v>
      </c>
      <c r="N463" s="1">
        <v>0</v>
      </c>
      <c r="O463" s="1">
        <v>0</v>
      </c>
      <c r="P463" s="1">
        <v>0</v>
      </c>
      <c r="Q463" s="1">
        <v>0</v>
      </c>
      <c r="R463" s="1">
        <v>0</v>
      </c>
      <c r="S463" s="1">
        <v>0</v>
      </c>
      <c r="T463" s="1">
        <v>0</v>
      </c>
      <c r="U463" s="1">
        <v>0</v>
      </c>
      <c r="V463" s="1" t="s">
        <v>301</v>
      </c>
    </row>
    <row r="464" spans="1:22">
      <c r="A464" t="s">
        <v>190</v>
      </c>
      <c r="B464" t="s">
        <v>57</v>
      </c>
      <c r="C464" t="s">
        <v>58</v>
      </c>
      <c r="D464" s="1">
        <v>0</v>
      </c>
      <c r="E464" s="1">
        <v>0</v>
      </c>
      <c r="F464" s="1">
        <v>0</v>
      </c>
      <c r="G464" s="1">
        <v>0</v>
      </c>
      <c r="H464" s="1">
        <v>0</v>
      </c>
      <c r="I464" s="1">
        <v>0</v>
      </c>
      <c r="J464" s="1">
        <v>0</v>
      </c>
      <c r="K464" s="1">
        <v>0</v>
      </c>
      <c r="L464" s="1">
        <v>0</v>
      </c>
      <c r="M464" s="1">
        <v>0</v>
      </c>
      <c r="N464" s="1">
        <v>0</v>
      </c>
      <c r="O464" s="1">
        <v>0</v>
      </c>
      <c r="P464" s="1">
        <v>0</v>
      </c>
      <c r="Q464" s="1">
        <v>0</v>
      </c>
      <c r="R464" s="1">
        <v>0</v>
      </c>
      <c r="S464" s="1">
        <v>0</v>
      </c>
      <c r="T464" s="1">
        <v>0</v>
      </c>
      <c r="U464" s="1">
        <v>1</v>
      </c>
      <c r="V464" s="1" t="s">
        <v>301</v>
      </c>
    </row>
    <row r="465" spans="1:22">
      <c r="A465" t="s">
        <v>190</v>
      </c>
      <c r="B465" t="s">
        <v>57</v>
      </c>
      <c r="C465" t="s">
        <v>59</v>
      </c>
      <c r="D465" s="1">
        <v>0</v>
      </c>
      <c r="E465" s="1">
        <v>0</v>
      </c>
      <c r="F465" s="1">
        <v>0</v>
      </c>
      <c r="G465" s="1">
        <v>0</v>
      </c>
      <c r="H465" s="1">
        <v>0</v>
      </c>
      <c r="I465" s="1">
        <v>0</v>
      </c>
      <c r="J465" s="1">
        <v>0</v>
      </c>
      <c r="K465" s="1">
        <v>0</v>
      </c>
      <c r="L465" s="1">
        <v>0</v>
      </c>
      <c r="M465" s="1">
        <v>0</v>
      </c>
      <c r="N465" s="1">
        <v>0</v>
      </c>
      <c r="O465" s="1">
        <v>0</v>
      </c>
      <c r="P465" s="1">
        <v>0</v>
      </c>
      <c r="Q465" s="1">
        <v>0</v>
      </c>
      <c r="R465" s="1">
        <v>0</v>
      </c>
      <c r="S465" s="1">
        <v>0</v>
      </c>
      <c r="T465" s="1">
        <v>0</v>
      </c>
      <c r="U465" s="1">
        <v>0</v>
      </c>
      <c r="V465" s="1" t="s">
        <v>301</v>
      </c>
    </row>
    <row r="466" spans="1:22">
      <c r="A466" t="s">
        <v>190</v>
      </c>
      <c r="B466" t="s">
        <v>57</v>
      </c>
      <c r="C466" t="s">
        <v>60</v>
      </c>
      <c r="D466" s="1">
        <v>0</v>
      </c>
      <c r="E466" s="1">
        <v>0</v>
      </c>
      <c r="F466" s="1">
        <v>0</v>
      </c>
      <c r="G466" s="1">
        <v>0</v>
      </c>
      <c r="H466" s="1">
        <v>0</v>
      </c>
      <c r="I466" s="1">
        <v>0</v>
      </c>
      <c r="J466" s="1">
        <v>0</v>
      </c>
      <c r="K466" s="1">
        <v>0</v>
      </c>
      <c r="L466" s="1">
        <v>0</v>
      </c>
      <c r="M466" s="1">
        <v>0</v>
      </c>
      <c r="N466" s="1">
        <v>0</v>
      </c>
      <c r="O466" s="1">
        <v>0</v>
      </c>
      <c r="P466" s="1">
        <v>0</v>
      </c>
      <c r="Q466" s="1">
        <v>0</v>
      </c>
      <c r="R466" s="1">
        <v>0</v>
      </c>
      <c r="S466" s="1">
        <v>0</v>
      </c>
      <c r="T466" s="1">
        <v>0</v>
      </c>
      <c r="U466" s="1">
        <v>0</v>
      </c>
      <c r="V466" s="1" t="s">
        <v>301</v>
      </c>
    </row>
    <row r="467" spans="1:22">
      <c r="A467" t="s">
        <v>190</v>
      </c>
      <c r="B467" t="s">
        <v>57</v>
      </c>
      <c r="C467" t="s">
        <v>61</v>
      </c>
      <c r="D467" s="1">
        <v>0</v>
      </c>
      <c r="E467" s="1">
        <v>0</v>
      </c>
      <c r="F467" s="1">
        <v>0</v>
      </c>
      <c r="G467" s="1">
        <v>0</v>
      </c>
      <c r="H467" s="1">
        <v>0</v>
      </c>
      <c r="I467" s="1">
        <v>0</v>
      </c>
      <c r="J467" s="1">
        <v>0</v>
      </c>
      <c r="K467" s="1">
        <v>0</v>
      </c>
      <c r="L467" s="1">
        <v>0</v>
      </c>
      <c r="M467" s="1">
        <v>0</v>
      </c>
      <c r="N467" s="1">
        <v>0</v>
      </c>
      <c r="O467" s="1">
        <v>0</v>
      </c>
      <c r="P467" s="1">
        <v>0</v>
      </c>
      <c r="Q467" s="1">
        <v>0</v>
      </c>
      <c r="R467" s="1">
        <v>0</v>
      </c>
      <c r="S467" s="1">
        <v>0</v>
      </c>
      <c r="T467" s="1">
        <v>0</v>
      </c>
      <c r="U467" s="1">
        <v>0</v>
      </c>
      <c r="V467" s="1" t="s">
        <v>301</v>
      </c>
    </row>
    <row r="468" spans="1:22">
      <c r="A468" t="s">
        <v>190</v>
      </c>
      <c r="B468" t="s">
        <v>57</v>
      </c>
      <c r="C468" t="s">
        <v>62</v>
      </c>
      <c r="D468" s="1">
        <v>0</v>
      </c>
      <c r="E468" s="1">
        <v>0</v>
      </c>
      <c r="F468" s="1">
        <v>0</v>
      </c>
      <c r="G468" s="1">
        <v>0</v>
      </c>
      <c r="H468" s="1">
        <v>0</v>
      </c>
      <c r="I468" s="1">
        <v>0</v>
      </c>
      <c r="J468" s="1">
        <v>0</v>
      </c>
      <c r="K468" s="1">
        <v>0</v>
      </c>
      <c r="L468" s="1">
        <v>0</v>
      </c>
      <c r="M468" s="1">
        <v>0</v>
      </c>
      <c r="N468" s="1">
        <v>0</v>
      </c>
      <c r="O468" s="1">
        <v>0</v>
      </c>
      <c r="P468" s="1">
        <v>0</v>
      </c>
      <c r="Q468" s="1">
        <v>0</v>
      </c>
      <c r="R468" s="1">
        <v>0</v>
      </c>
      <c r="S468" s="1">
        <v>0</v>
      </c>
      <c r="T468" s="1">
        <v>0</v>
      </c>
      <c r="U468" s="1">
        <v>0</v>
      </c>
      <c r="V468" s="1" t="s">
        <v>301</v>
      </c>
    </row>
    <row r="469" spans="1:22">
      <c r="A469" t="s">
        <v>190</v>
      </c>
      <c r="B469" t="s">
        <v>57</v>
      </c>
      <c r="C469" t="s">
        <v>63</v>
      </c>
      <c r="D469" s="1">
        <v>0</v>
      </c>
      <c r="E469" s="1">
        <v>0</v>
      </c>
      <c r="F469" s="1">
        <v>0</v>
      </c>
      <c r="G469" s="1">
        <v>0</v>
      </c>
      <c r="H469" s="1">
        <v>0</v>
      </c>
      <c r="I469" s="1">
        <v>0</v>
      </c>
      <c r="J469" s="1">
        <v>0</v>
      </c>
      <c r="K469" s="1">
        <v>0</v>
      </c>
      <c r="L469" s="1">
        <v>0</v>
      </c>
      <c r="M469" s="1">
        <v>0</v>
      </c>
      <c r="N469" s="1">
        <v>0</v>
      </c>
      <c r="O469" s="1">
        <v>0</v>
      </c>
      <c r="P469" s="1">
        <v>0</v>
      </c>
      <c r="Q469" s="1">
        <v>0</v>
      </c>
      <c r="R469" s="1">
        <v>0</v>
      </c>
      <c r="S469" s="1">
        <v>0</v>
      </c>
      <c r="T469" s="1">
        <v>0</v>
      </c>
      <c r="U469" s="1">
        <v>0</v>
      </c>
      <c r="V469" s="1" t="s">
        <v>301</v>
      </c>
    </row>
    <row r="470" spans="1:22">
      <c r="A470" t="s">
        <v>190</v>
      </c>
      <c r="B470" t="s">
        <v>57</v>
      </c>
      <c r="C470" t="s">
        <v>64</v>
      </c>
      <c r="D470" s="1">
        <v>0</v>
      </c>
      <c r="E470" s="1">
        <v>0</v>
      </c>
      <c r="F470" s="1">
        <v>0</v>
      </c>
      <c r="G470" s="1">
        <v>0</v>
      </c>
      <c r="H470" s="1">
        <v>0</v>
      </c>
      <c r="I470" s="1">
        <v>0</v>
      </c>
      <c r="J470" s="1">
        <v>0</v>
      </c>
      <c r="K470" s="1">
        <v>0</v>
      </c>
      <c r="L470" s="1">
        <v>0</v>
      </c>
      <c r="M470" s="1">
        <v>0</v>
      </c>
      <c r="N470" s="1">
        <v>0</v>
      </c>
      <c r="O470" s="1">
        <v>0</v>
      </c>
      <c r="P470" s="1">
        <v>0</v>
      </c>
      <c r="Q470" s="1">
        <v>0</v>
      </c>
      <c r="R470" s="1">
        <v>0</v>
      </c>
      <c r="S470" s="1">
        <v>0</v>
      </c>
      <c r="T470" s="1">
        <v>0</v>
      </c>
      <c r="U470" s="1">
        <v>0</v>
      </c>
      <c r="V470" s="1" t="s">
        <v>301</v>
      </c>
    </row>
    <row r="471" spans="1:22">
      <c r="A471" t="s">
        <v>190</v>
      </c>
      <c r="B471" t="s">
        <v>57</v>
      </c>
      <c r="C471" t="s">
        <v>65</v>
      </c>
      <c r="D471" s="1">
        <v>0</v>
      </c>
      <c r="E471" s="1">
        <v>0</v>
      </c>
      <c r="F471" s="1">
        <v>0</v>
      </c>
      <c r="G471" s="1">
        <v>0</v>
      </c>
      <c r="H471" s="1">
        <v>0</v>
      </c>
      <c r="I471" s="1">
        <v>0</v>
      </c>
      <c r="J471" s="1">
        <v>0</v>
      </c>
      <c r="K471" s="1">
        <v>0</v>
      </c>
      <c r="L471" s="1">
        <v>0</v>
      </c>
      <c r="M471" s="1">
        <v>0</v>
      </c>
      <c r="N471" s="1">
        <v>0</v>
      </c>
      <c r="O471" s="1">
        <v>0</v>
      </c>
      <c r="P471" s="1">
        <v>0</v>
      </c>
      <c r="Q471" s="1">
        <v>0</v>
      </c>
      <c r="R471" s="1">
        <v>0</v>
      </c>
      <c r="S471" s="1">
        <v>0</v>
      </c>
      <c r="T471" s="1">
        <v>0</v>
      </c>
      <c r="U471" s="1">
        <v>0</v>
      </c>
      <c r="V471" s="1" t="s">
        <v>301</v>
      </c>
    </row>
    <row r="472" spans="1:22">
      <c r="A472" t="s">
        <v>191</v>
      </c>
      <c r="B472" t="s">
        <v>57</v>
      </c>
      <c r="C472" t="s">
        <v>58</v>
      </c>
      <c r="D472" s="1">
        <v>0</v>
      </c>
      <c r="E472" s="1">
        <v>0</v>
      </c>
      <c r="F472" s="1">
        <v>0</v>
      </c>
      <c r="G472" s="1">
        <v>0</v>
      </c>
      <c r="H472" s="1">
        <v>0</v>
      </c>
      <c r="I472" s="1">
        <v>0</v>
      </c>
      <c r="J472" s="1">
        <v>0</v>
      </c>
      <c r="K472" s="1">
        <v>0</v>
      </c>
      <c r="L472" s="1">
        <v>0</v>
      </c>
      <c r="M472" s="1">
        <v>0</v>
      </c>
      <c r="N472" s="1">
        <v>0</v>
      </c>
      <c r="O472" s="1">
        <v>0</v>
      </c>
      <c r="P472" s="1">
        <v>0</v>
      </c>
      <c r="Q472" s="1">
        <v>0</v>
      </c>
      <c r="R472" s="1">
        <v>0</v>
      </c>
      <c r="S472" s="1">
        <v>0</v>
      </c>
      <c r="T472" s="1">
        <v>0</v>
      </c>
      <c r="U472" s="1">
        <v>2</v>
      </c>
      <c r="V472" s="1" t="s">
        <v>301</v>
      </c>
    </row>
    <row r="473" spans="1:22">
      <c r="A473" t="s">
        <v>191</v>
      </c>
      <c r="B473" t="s">
        <v>57</v>
      </c>
      <c r="C473" t="s">
        <v>59</v>
      </c>
      <c r="D473" s="1">
        <v>0</v>
      </c>
      <c r="E473" s="1">
        <v>0</v>
      </c>
      <c r="F473" s="1">
        <v>0</v>
      </c>
      <c r="G473" s="1">
        <v>0</v>
      </c>
      <c r="H473" s="1">
        <v>0</v>
      </c>
      <c r="I473" s="1">
        <v>0</v>
      </c>
      <c r="J473" s="1">
        <v>0</v>
      </c>
      <c r="K473" s="1">
        <v>0</v>
      </c>
      <c r="L473" s="1">
        <v>0</v>
      </c>
      <c r="M473" s="1">
        <v>0</v>
      </c>
      <c r="N473" s="1">
        <v>0</v>
      </c>
      <c r="O473" s="1">
        <v>0</v>
      </c>
      <c r="P473" s="1">
        <v>0</v>
      </c>
      <c r="Q473" s="1">
        <v>0</v>
      </c>
      <c r="R473" s="1">
        <v>0</v>
      </c>
      <c r="S473" s="1">
        <v>0</v>
      </c>
      <c r="T473" s="1">
        <v>0</v>
      </c>
      <c r="U473" s="1">
        <v>0</v>
      </c>
      <c r="V473" s="1" t="s">
        <v>301</v>
      </c>
    </row>
    <row r="474" spans="1:22">
      <c r="A474" t="s">
        <v>191</v>
      </c>
      <c r="B474" t="s">
        <v>57</v>
      </c>
      <c r="C474" t="s">
        <v>60</v>
      </c>
      <c r="D474" s="1">
        <v>0</v>
      </c>
      <c r="E474" s="1">
        <v>0</v>
      </c>
      <c r="F474" s="1">
        <v>0</v>
      </c>
      <c r="G474" s="1">
        <v>0</v>
      </c>
      <c r="H474" s="1">
        <v>0</v>
      </c>
      <c r="I474" s="1">
        <v>0</v>
      </c>
      <c r="J474" s="1">
        <v>0</v>
      </c>
      <c r="K474" s="1">
        <v>0</v>
      </c>
      <c r="L474" s="1">
        <v>0</v>
      </c>
      <c r="M474" s="1">
        <v>0</v>
      </c>
      <c r="N474" s="1">
        <v>0</v>
      </c>
      <c r="O474" s="1">
        <v>0</v>
      </c>
      <c r="P474" s="1">
        <v>0</v>
      </c>
      <c r="Q474" s="1">
        <v>0</v>
      </c>
      <c r="R474" s="1">
        <v>0</v>
      </c>
      <c r="S474" s="1">
        <v>0</v>
      </c>
      <c r="T474" s="1">
        <v>0</v>
      </c>
      <c r="U474" s="1">
        <v>0</v>
      </c>
      <c r="V474" s="1" t="s">
        <v>301</v>
      </c>
    </row>
    <row r="475" spans="1:22">
      <c r="A475" t="s">
        <v>191</v>
      </c>
      <c r="B475" t="s">
        <v>57</v>
      </c>
      <c r="C475" t="s">
        <v>61</v>
      </c>
      <c r="D475" s="1">
        <v>0</v>
      </c>
      <c r="E475" s="1">
        <v>0</v>
      </c>
      <c r="F475" s="1">
        <v>0</v>
      </c>
      <c r="G475" s="1">
        <v>0</v>
      </c>
      <c r="H475" s="1">
        <v>0</v>
      </c>
      <c r="I475" s="1">
        <v>0</v>
      </c>
      <c r="J475" s="1">
        <v>0</v>
      </c>
      <c r="K475" s="1">
        <v>0</v>
      </c>
      <c r="L475" s="1">
        <v>0</v>
      </c>
      <c r="M475" s="1">
        <v>0</v>
      </c>
      <c r="N475" s="1">
        <v>0</v>
      </c>
      <c r="O475" s="1">
        <v>0</v>
      </c>
      <c r="P475" s="1">
        <v>0</v>
      </c>
      <c r="Q475" s="1">
        <v>0</v>
      </c>
      <c r="R475" s="1">
        <v>0</v>
      </c>
      <c r="S475" s="1">
        <v>0</v>
      </c>
      <c r="T475" s="1">
        <v>0</v>
      </c>
      <c r="U475" s="1">
        <v>0</v>
      </c>
      <c r="V475" s="1" t="s">
        <v>301</v>
      </c>
    </row>
    <row r="476" spans="1:22">
      <c r="A476" t="s">
        <v>191</v>
      </c>
      <c r="B476" t="s">
        <v>57</v>
      </c>
      <c r="C476" t="s">
        <v>62</v>
      </c>
      <c r="D476" s="1">
        <v>0</v>
      </c>
      <c r="E476" s="1">
        <v>0</v>
      </c>
      <c r="F476" s="1">
        <v>0</v>
      </c>
      <c r="G476" s="1">
        <v>0</v>
      </c>
      <c r="H476" s="1">
        <v>0</v>
      </c>
      <c r="I476" s="1">
        <v>0</v>
      </c>
      <c r="J476" s="1">
        <v>0</v>
      </c>
      <c r="K476" s="1">
        <v>0</v>
      </c>
      <c r="L476" s="1">
        <v>0</v>
      </c>
      <c r="M476" s="1">
        <v>0</v>
      </c>
      <c r="N476" s="1">
        <v>0</v>
      </c>
      <c r="O476" s="1">
        <v>0</v>
      </c>
      <c r="P476" s="1">
        <v>0</v>
      </c>
      <c r="Q476" s="1">
        <v>0</v>
      </c>
      <c r="R476" s="1">
        <v>0</v>
      </c>
      <c r="S476" s="1">
        <v>0</v>
      </c>
      <c r="T476" s="1">
        <v>0</v>
      </c>
      <c r="U476" s="1">
        <v>0</v>
      </c>
      <c r="V476" s="1" t="s">
        <v>301</v>
      </c>
    </row>
    <row r="477" spans="1:22">
      <c r="A477" t="s">
        <v>191</v>
      </c>
      <c r="B477" t="s">
        <v>57</v>
      </c>
      <c r="C477" t="s">
        <v>63</v>
      </c>
      <c r="D477" s="1">
        <v>0</v>
      </c>
      <c r="E477" s="1">
        <v>0</v>
      </c>
      <c r="F477" s="1">
        <v>0</v>
      </c>
      <c r="G477" s="1">
        <v>0</v>
      </c>
      <c r="H477" s="1">
        <v>0</v>
      </c>
      <c r="I477" s="1">
        <v>0</v>
      </c>
      <c r="J477" s="1">
        <v>0</v>
      </c>
      <c r="K477" s="1">
        <v>0</v>
      </c>
      <c r="L477" s="1">
        <v>0</v>
      </c>
      <c r="M477" s="1">
        <v>0</v>
      </c>
      <c r="N477" s="1">
        <v>0</v>
      </c>
      <c r="O477" s="1">
        <v>0</v>
      </c>
      <c r="P477" s="1">
        <v>0</v>
      </c>
      <c r="Q477" s="1">
        <v>0</v>
      </c>
      <c r="R477" s="1">
        <v>0</v>
      </c>
      <c r="S477" s="1">
        <v>0</v>
      </c>
      <c r="T477" s="1">
        <v>0</v>
      </c>
      <c r="U477" s="1">
        <v>0</v>
      </c>
      <c r="V477" s="1" t="s">
        <v>301</v>
      </c>
    </row>
    <row r="478" spans="1:22">
      <c r="A478" t="s">
        <v>191</v>
      </c>
      <c r="B478" t="s">
        <v>57</v>
      </c>
      <c r="C478" t="s">
        <v>64</v>
      </c>
      <c r="D478" s="1">
        <v>0</v>
      </c>
      <c r="E478" s="1">
        <v>0</v>
      </c>
      <c r="F478" s="1">
        <v>0</v>
      </c>
      <c r="G478" s="1">
        <v>0</v>
      </c>
      <c r="H478" s="1">
        <v>0</v>
      </c>
      <c r="I478" s="1">
        <v>0</v>
      </c>
      <c r="J478" s="1">
        <v>0</v>
      </c>
      <c r="K478" s="1">
        <v>0</v>
      </c>
      <c r="L478" s="1">
        <v>0</v>
      </c>
      <c r="M478" s="1">
        <v>0</v>
      </c>
      <c r="N478" s="1">
        <v>0</v>
      </c>
      <c r="O478" s="1">
        <v>0</v>
      </c>
      <c r="P478" s="1">
        <v>0</v>
      </c>
      <c r="Q478" s="1">
        <v>0</v>
      </c>
      <c r="R478" s="1">
        <v>0</v>
      </c>
      <c r="S478" s="1">
        <v>0</v>
      </c>
      <c r="T478" s="1">
        <v>0</v>
      </c>
      <c r="U478" s="1">
        <v>0</v>
      </c>
      <c r="V478" s="1" t="s">
        <v>301</v>
      </c>
    </row>
    <row r="479" spans="1:22">
      <c r="A479" t="s">
        <v>191</v>
      </c>
      <c r="B479" t="s">
        <v>57</v>
      </c>
      <c r="C479" t="s">
        <v>65</v>
      </c>
      <c r="D479" s="1">
        <v>0</v>
      </c>
      <c r="E479" s="1">
        <v>0</v>
      </c>
      <c r="F479" s="1">
        <v>0</v>
      </c>
      <c r="G479" s="1">
        <v>0</v>
      </c>
      <c r="H479" s="1">
        <v>0</v>
      </c>
      <c r="I479" s="1">
        <v>0</v>
      </c>
      <c r="J479" s="1">
        <v>0</v>
      </c>
      <c r="K479" s="1">
        <v>0</v>
      </c>
      <c r="L479" s="1">
        <v>0</v>
      </c>
      <c r="M479" s="1">
        <v>0</v>
      </c>
      <c r="N479" s="1">
        <v>0</v>
      </c>
      <c r="O479" s="1">
        <v>0</v>
      </c>
      <c r="P479" s="1">
        <v>0</v>
      </c>
      <c r="Q479" s="1">
        <v>0</v>
      </c>
      <c r="R479" s="1">
        <v>0</v>
      </c>
      <c r="S479" s="1">
        <v>0</v>
      </c>
      <c r="T479" s="1">
        <v>0</v>
      </c>
      <c r="U479" s="1">
        <v>0</v>
      </c>
      <c r="V479" s="1" t="s">
        <v>301</v>
      </c>
    </row>
    <row r="480" spans="1:22">
      <c r="A480" t="s">
        <v>192</v>
      </c>
      <c r="B480" t="s">
        <v>57</v>
      </c>
      <c r="C480" t="s">
        <v>58</v>
      </c>
      <c r="D480" s="1">
        <v>0</v>
      </c>
      <c r="E480" s="1">
        <v>0</v>
      </c>
      <c r="F480" s="1">
        <v>0</v>
      </c>
      <c r="G480" s="1">
        <v>0</v>
      </c>
      <c r="H480" s="1">
        <v>0</v>
      </c>
      <c r="I480" s="1">
        <v>0</v>
      </c>
      <c r="J480" s="1">
        <v>0</v>
      </c>
      <c r="K480" s="1">
        <v>0</v>
      </c>
      <c r="L480" s="1">
        <v>0</v>
      </c>
      <c r="M480" s="1">
        <v>0</v>
      </c>
      <c r="N480" s="1">
        <v>0</v>
      </c>
      <c r="O480" s="1">
        <v>0</v>
      </c>
      <c r="P480" s="1">
        <v>0</v>
      </c>
      <c r="Q480" s="1">
        <v>0</v>
      </c>
      <c r="R480" s="1">
        <v>0</v>
      </c>
      <c r="S480" s="1">
        <v>0</v>
      </c>
      <c r="T480" s="1">
        <v>0</v>
      </c>
      <c r="U480" s="1">
        <v>1</v>
      </c>
      <c r="V480" s="1" t="s">
        <v>301</v>
      </c>
    </row>
    <row r="481" spans="1:43">
      <c r="A481" t="s">
        <v>192</v>
      </c>
      <c r="B481" t="s">
        <v>57</v>
      </c>
      <c r="C481" t="s">
        <v>59</v>
      </c>
      <c r="D481" s="1">
        <v>0</v>
      </c>
      <c r="E481" s="1">
        <v>0</v>
      </c>
      <c r="F481" s="1">
        <v>0</v>
      </c>
      <c r="G481" s="1">
        <v>0</v>
      </c>
      <c r="H481" s="1">
        <v>0</v>
      </c>
      <c r="I481" s="1">
        <v>0</v>
      </c>
      <c r="J481" s="1">
        <v>0</v>
      </c>
      <c r="K481" s="1">
        <v>0</v>
      </c>
      <c r="L481" s="1">
        <v>0</v>
      </c>
      <c r="M481" s="1">
        <v>0</v>
      </c>
      <c r="N481" s="1">
        <v>0</v>
      </c>
      <c r="O481" s="1">
        <v>0</v>
      </c>
      <c r="P481" s="1">
        <v>0</v>
      </c>
      <c r="Q481" s="1">
        <v>0</v>
      </c>
      <c r="R481" s="1">
        <v>0</v>
      </c>
      <c r="S481" s="1">
        <v>0</v>
      </c>
      <c r="T481" s="1">
        <v>0</v>
      </c>
      <c r="U481" s="1">
        <v>0</v>
      </c>
      <c r="V481" s="1" t="s">
        <v>301</v>
      </c>
    </row>
    <row r="482" spans="1:43">
      <c r="A482" t="s">
        <v>192</v>
      </c>
      <c r="B482" t="s">
        <v>57</v>
      </c>
      <c r="C482" t="s">
        <v>60</v>
      </c>
      <c r="D482" s="1">
        <v>0</v>
      </c>
      <c r="E482" s="1">
        <v>0</v>
      </c>
      <c r="F482" s="1">
        <v>0</v>
      </c>
      <c r="G482" s="1">
        <v>0</v>
      </c>
      <c r="H482" s="1">
        <v>0</v>
      </c>
      <c r="I482" s="1">
        <v>0</v>
      </c>
      <c r="J482" s="1">
        <v>0</v>
      </c>
      <c r="K482" s="1">
        <v>0</v>
      </c>
      <c r="L482" s="1">
        <v>0</v>
      </c>
      <c r="M482" s="1">
        <v>0</v>
      </c>
      <c r="N482" s="1">
        <v>0</v>
      </c>
      <c r="O482" s="1">
        <v>0</v>
      </c>
      <c r="P482" s="1">
        <v>0</v>
      </c>
      <c r="Q482" s="1">
        <v>0</v>
      </c>
      <c r="R482" s="1">
        <v>0</v>
      </c>
      <c r="S482" s="1">
        <v>0</v>
      </c>
      <c r="T482" s="1">
        <v>0</v>
      </c>
      <c r="U482" s="1">
        <v>0</v>
      </c>
      <c r="V482" s="1" t="s">
        <v>301</v>
      </c>
    </row>
    <row r="483" spans="1:43">
      <c r="A483" t="s">
        <v>192</v>
      </c>
      <c r="B483" t="s">
        <v>57</v>
      </c>
      <c r="C483" t="s">
        <v>61</v>
      </c>
      <c r="D483" s="1">
        <v>0</v>
      </c>
      <c r="E483" s="1">
        <v>0</v>
      </c>
      <c r="F483" s="1">
        <v>0</v>
      </c>
      <c r="G483" s="1">
        <v>0</v>
      </c>
      <c r="H483" s="1">
        <v>0</v>
      </c>
      <c r="I483" s="1">
        <v>0</v>
      </c>
      <c r="J483" s="1">
        <v>0</v>
      </c>
      <c r="K483" s="1">
        <v>0</v>
      </c>
      <c r="L483" s="1">
        <v>0</v>
      </c>
      <c r="M483" s="1">
        <v>0</v>
      </c>
      <c r="N483" s="1">
        <v>0</v>
      </c>
      <c r="O483" s="1">
        <v>0</v>
      </c>
      <c r="P483" s="1">
        <v>0</v>
      </c>
      <c r="Q483" s="1">
        <v>0</v>
      </c>
      <c r="R483" s="1">
        <v>0</v>
      </c>
      <c r="S483" s="1">
        <v>0</v>
      </c>
      <c r="T483" s="1">
        <v>0</v>
      </c>
      <c r="U483" s="1">
        <v>0</v>
      </c>
      <c r="V483" s="1" t="s">
        <v>301</v>
      </c>
    </row>
    <row r="484" spans="1:43">
      <c r="A484" t="s">
        <v>192</v>
      </c>
      <c r="B484" t="s">
        <v>57</v>
      </c>
      <c r="C484" t="s">
        <v>62</v>
      </c>
      <c r="D484" s="1">
        <v>0</v>
      </c>
      <c r="E484" s="1">
        <v>0</v>
      </c>
      <c r="F484" s="1">
        <v>0</v>
      </c>
      <c r="G484" s="1">
        <v>0</v>
      </c>
      <c r="H484" s="1">
        <v>0</v>
      </c>
      <c r="I484" s="1">
        <v>0</v>
      </c>
      <c r="J484" s="1">
        <v>0</v>
      </c>
      <c r="K484" s="1">
        <v>0</v>
      </c>
      <c r="L484" s="1">
        <v>0</v>
      </c>
      <c r="M484" s="1">
        <v>0</v>
      </c>
      <c r="N484" s="1">
        <v>0</v>
      </c>
      <c r="O484" s="1">
        <v>0</v>
      </c>
      <c r="P484" s="1">
        <v>0</v>
      </c>
      <c r="Q484" s="1">
        <v>0</v>
      </c>
      <c r="R484" s="1">
        <v>0</v>
      </c>
      <c r="S484" s="1">
        <v>0</v>
      </c>
      <c r="T484" s="1">
        <v>0</v>
      </c>
      <c r="U484" s="1">
        <v>0</v>
      </c>
      <c r="V484" s="1" t="s">
        <v>301</v>
      </c>
    </row>
    <row r="485" spans="1:43">
      <c r="A485" t="s">
        <v>192</v>
      </c>
      <c r="B485" t="s">
        <v>57</v>
      </c>
      <c r="C485" t="s">
        <v>63</v>
      </c>
      <c r="D485" s="1">
        <v>0</v>
      </c>
      <c r="E485" s="1">
        <v>0</v>
      </c>
      <c r="F485" s="1">
        <v>0</v>
      </c>
      <c r="G485" s="1">
        <v>0</v>
      </c>
      <c r="H485" s="1">
        <v>0</v>
      </c>
      <c r="I485" s="1">
        <v>0</v>
      </c>
      <c r="J485" s="1">
        <v>0</v>
      </c>
      <c r="K485" s="1">
        <v>0</v>
      </c>
      <c r="L485" s="1">
        <v>0</v>
      </c>
      <c r="M485" s="1">
        <v>0</v>
      </c>
      <c r="N485" s="1">
        <v>0</v>
      </c>
      <c r="O485" s="1">
        <v>0</v>
      </c>
      <c r="P485" s="1">
        <v>0</v>
      </c>
      <c r="Q485" s="1">
        <v>0</v>
      </c>
      <c r="R485" s="1">
        <v>0</v>
      </c>
      <c r="S485" s="1">
        <v>0</v>
      </c>
      <c r="T485" s="1">
        <v>0</v>
      </c>
      <c r="U485" s="1">
        <v>0</v>
      </c>
      <c r="V485" s="1" t="s">
        <v>301</v>
      </c>
    </row>
    <row r="486" spans="1:43">
      <c r="A486" t="s">
        <v>192</v>
      </c>
      <c r="B486" t="s">
        <v>57</v>
      </c>
      <c r="C486" t="s">
        <v>64</v>
      </c>
      <c r="D486" s="1">
        <v>0</v>
      </c>
      <c r="E486" s="1">
        <v>0</v>
      </c>
      <c r="F486" s="1">
        <v>0</v>
      </c>
      <c r="G486" s="1">
        <v>0</v>
      </c>
      <c r="H486" s="1">
        <v>0</v>
      </c>
      <c r="I486" s="1">
        <v>0</v>
      </c>
      <c r="J486" s="1">
        <v>0</v>
      </c>
      <c r="K486" s="1">
        <v>0</v>
      </c>
      <c r="L486" s="1">
        <v>0</v>
      </c>
      <c r="M486" s="1">
        <v>0</v>
      </c>
      <c r="N486" s="1">
        <v>0</v>
      </c>
      <c r="O486" s="1">
        <v>0</v>
      </c>
      <c r="P486" s="1">
        <v>0</v>
      </c>
      <c r="Q486" s="1">
        <v>0</v>
      </c>
      <c r="R486" s="1">
        <v>0</v>
      </c>
      <c r="S486" s="1">
        <v>0</v>
      </c>
      <c r="T486" s="1">
        <v>0</v>
      </c>
      <c r="U486" s="1">
        <v>0</v>
      </c>
      <c r="V486" s="1" t="s">
        <v>301</v>
      </c>
    </row>
    <row r="487" spans="1:43">
      <c r="A487" t="s">
        <v>192</v>
      </c>
      <c r="B487" t="s">
        <v>57</v>
      </c>
      <c r="C487" t="s">
        <v>65</v>
      </c>
      <c r="D487" s="1">
        <v>0</v>
      </c>
      <c r="E487" s="1">
        <v>0</v>
      </c>
      <c r="F487" s="1">
        <v>0</v>
      </c>
      <c r="G487" s="1">
        <v>0</v>
      </c>
      <c r="H487" s="1">
        <v>0</v>
      </c>
      <c r="I487" s="1">
        <v>0</v>
      </c>
      <c r="J487" s="1">
        <v>0</v>
      </c>
      <c r="K487" s="1">
        <v>0</v>
      </c>
      <c r="L487" s="1">
        <v>0</v>
      </c>
      <c r="M487" s="1">
        <v>0</v>
      </c>
      <c r="N487" s="1">
        <v>0</v>
      </c>
      <c r="O487" s="1">
        <v>0</v>
      </c>
      <c r="P487" s="1">
        <v>0</v>
      </c>
      <c r="Q487" s="1">
        <v>0</v>
      </c>
      <c r="R487" s="1">
        <v>0</v>
      </c>
      <c r="S487" s="1">
        <v>0</v>
      </c>
      <c r="T487" s="1">
        <v>0</v>
      </c>
      <c r="U487" s="1">
        <v>0</v>
      </c>
      <c r="V487" s="1" t="s">
        <v>301</v>
      </c>
    </row>
    <row r="488" spans="1:43">
      <c r="A488" t="s">
        <v>193</v>
      </c>
      <c r="B488" t="s">
        <v>57</v>
      </c>
      <c r="C488" t="s">
        <v>58</v>
      </c>
      <c r="D488" s="1">
        <v>0</v>
      </c>
      <c r="E488" s="1">
        <v>0</v>
      </c>
      <c r="F488" s="1">
        <v>0</v>
      </c>
      <c r="G488" s="1">
        <v>0</v>
      </c>
      <c r="H488" s="1">
        <v>0</v>
      </c>
      <c r="I488" s="1">
        <v>0</v>
      </c>
      <c r="J488" s="1">
        <v>0</v>
      </c>
      <c r="K488" s="1">
        <v>0</v>
      </c>
      <c r="L488" s="1">
        <v>0</v>
      </c>
      <c r="M488" s="1">
        <v>0</v>
      </c>
      <c r="N488" s="1">
        <v>0</v>
      </c>
      <c r="O488" s="1">
        <v>0</v>
      </c>
      <c r="P488" s="1">
        <v>0</v>
      </c>
      <c r="Q488" s="1">
        <v>0</v>
      </c>
      <c r="R488" s="1">
        <v>0</v>
      </c>
      <c r="S488" s="1">
        <v>0</v>
      </c>
      <c r="T488" s="1">
        <v>0</v>
      </c>
      <c r="U488" s="1">
        <v>2</v>
      </c>
      <c r="V488" s="1" t="s">
        <v>301</v>
      </c>
    </row>
    <row r="489" spans="1:43">
      <c r="A489" t="s">
        <v>193</v>
      </c>
      <c r="B489" t="s">
        <v>57</v>
      </c>
      <c r="C489" t="s">
        <v>59</v>
      </c>
      <c r="D489" s="1">
        <v>0</v>
      </c>
      <c r="E489" s="1">
        <v>0</v>
      </c>
      <c r="F489" s="1">
        <v>0</v>
      </c>
      <c r="G489" s="1">
        <v>0</v>
      </c>
      <c r="H489" s="1">
        <v>0</v>
      </c>
      <c r="I489" s="1">
        <v>0</v>
      </c>
      <c r="J489" s="1">
        <v>0</v>
      </c>
      <c r="K489" s="1">
        <v>0</v>
      </c>
      <c r="L489" s="1">
        <v>0</v>
      </c>
      <c r="M489" s="1">
        <v>0</v>
      </c>
      <c r="N489" s="1">
        <v>0</v>
      </c>
      <c r="O489" s="1">
        <v>0</v>
      </c>
      <c r="P489" s="1">
        <v>0</v>
      </c>
      <c r="Q489" s="1">
        <v>0</v>
      </c>
      <c r="R489" s="1">
        <v>0</v>
      </c>
      <c r="S489" s="1">
        <v>0</v>
      </c>
      <c r="T489" s="1">
        <v>0</v>
      </c>
      <c r="U489" s="1">
        <v>0</v>
      </c>
      <c r="V489" s="1" t="s">
        <v>301</v>
      </c>
    </row>
    <row r="490" spans="1:43">
      <c r="A490" t="s">
        <v>193</v>
      </c>
      <c r="B490" t="s">
        <v>57</v>
      </c>
      <c r="C490" t="s">
        <v>60</v>
      </c>
      <c r="D490" s="1">
        <v>0</v>
      </c>
      <c r="E490" s="1">
        <v>0</v>
      </c>
      <c r="F490" s="1">
        <v>0</v>
      </c>
      <c r="G490" s="1">
        <v>0</v>
      </c>
      <c r="H490" s="1">
        <v>0</v>
      </c>
      <c r="I490" s="1">
        <v>0</v>
      </c>
      <c r="J490" s="1">
        <v>0</v>
      </c>
      <c r="K490" s="1">
        <v>0</v>
      </c>
      <c r="L490" s="1">
        <v>0</v>
      </c>
      <c r="M490" s="1">
        <v>0</v>
      </c>
      <c r="N490" s="1">
        <v>0</v>
      </c>
      <c r="O490" s="1">
        <v>0</v>
      </c>
      <c r="P490" s="1">
        <v>0</v>
      </c>
      <c r="Q490" s="1">
        <v>0</v>
      </c>
      <c r="R490" s="1">
        <v>0</v>
      </c>
      <c r="S490" s="1">
        <v>0</v>
      </c>
      <c r="T490" s="1">
        <v>0</v>
      </c>
      <c r="U490" s="1">
        <v>0</v>
      </c>
      <c r="V490" s="1" t="s">
        <v>301</v>
      </c>
    </row>
    <row r="491" spans="1:43">
      <c r="A491" t="s">
        <v>193</v>
      </c>
      <c r="B491" t="s">
        <v>57</v>
      </c>
      <c r="C491" t="s">
        <v>61</v>
      </c>
      <c r="D491" s="1">
        <v>0</v>
      </c>
      <c r="E491" s="1">
        <v>0</v>
      </c>
      <c r="F491" s="1">
        <v>0</v>
      </c>
      <c r="G491" s="1">
        <v>0</v>
      </c>
      <c r="H491" s="1">
        <v>0</v>
      </c>
      <c r="I491" s="1">
        <v>0</v>
      </c>
      <c r="J491" s="1">
        <v>0</v>
      </c>
      <c r="K491" s="1">
        <v>0</v>
      </c>
      <c r="L491" s="1">
        <v>0</v>
      </c>
      <c r="M491" s="1">
        <v>0</v>
      </c>
      <c r="N491" s="1">
        <v>0</v>
      </c>
      <c r="O491" s="1">
        <v>0</v>
      </c>
      <c r="P491" s="1">
        <v>0</v>
      </c>
      <c r="Q491" s="1">
        <v>0</v>
      </c>
      <c r="R491" s="1">
        <v>0</v>
      </c>
      <c r="S491" s="1">
        <v>0</v>
      </c>
      <c r="T491" s="1">
        <v>0</v>
      </c>
      <c r="U491" s="1">
        <v>0</v>
      </c>
      <c r="V491" s="1" t="s">
        <v>301</v>
      </c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</row>
    <row r="492" spans="1:43">
      <c r="A492" t="s">
        <v>193</v>
      </c>
      <c r="B492" t="s">
        <v>57</v>
      </c>
      <c r="C492" t="s">
        <v>62</v>
      </c>
      <c r="D492" s="1">
        <v>0</v>
      </c>
      <c r="E492" s="1">
        <v>0</v>
      </c>
      <c r="F492" s="1">
        <v>0</v>
      </c>
      <c r="G492" s="1">
        <v>0</v>
      </c>
      <c r="H492" s="1">
        <v>0</v>
      </c>
      <c r="I492" s="1">
        <v>0</v>
      </c>
      <c r="J492" s="1">
        <v>0</v>
      </c>
      <c r="K492" s="1">
        <v>0</v>
      </c>
      <c r="L492" s="1">
        <v>0</v>
      </c>
      <c r="M492" s="1">
        <v>0</v>
      </c>
      <c r="N492" s="1">
        <v>0</v>
      </c>
      <c r="O492" s="1">
        <v>0</v>
      </c>
      <c r="P492" s="1">
        <v>0</v>
      </c>
      <c r="Q492" s="1">
        <v>0</v>
      </c>
      <c r="R492" s="1">
        <v>0</v>
      </c>
      <c r="S492" s="1">
        <v>0</v>
      </c>
      <c r="T492" s="1">
        <v>0</v>
      </c>
      <c r="U492" s="1">
        <v>0</v>
      </c>
      <c r="V492" s="1" t="s">
        <v>301</v>
      </c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</row>
    <row r="493" spans="1:43">
      <c r="A493" t="s">
        <v>193</v>
      </c>
      <c r="B493" t="s">
        <v>57</v>
      </c>
      <c r="C493" t="s">
        <v>63</v>
      </c>
      <c r="D493" s="1">
        <v>0</v>
      </c>
      <c r="E493" s="1">
        <v>0</v>
      </c>
      <c r="F493" s="1">
        <v>0</v>
      </c>
      <c r="G493" s="1">
        <v>0</v>
      </c>
      <c r="H493" s="1">
        <v>0</v>
      </c>
      <c r="I493" s="1">
        <v>0</v>
      </c>
      <c r="J493" s="1">
        <v>0</v>
      </c>
      <c r="K493" s="1">
        <v>0</v>
      </c>
      <c r="L493" s="1">
        <v>0</v>
      </c>
      <c r="M493" s="1">
        <v>0</v>
      </c>
      <c r="N493" s="1">
        <v>0</v>
      </c>
      <c r="O493" s="1">
        <v>0</v>
      </c>
      <c r="P493" s="1">
        <v>0</v>
      </c>
      <c r="Q493" s="1">
        <v>0</v>
      </c>
      <c r="R493" s="1">
        <v>0</v>
      </c>
      <c r="S493" s="1">
        <v>0</v>
      </c>
      <c r="T493" s="1">
        <v>0</v>
      </c>
      <c r="U493" s="1">
        <v>0</v>
      </c>
      <c r="V493" s="1" t="s">
        <v>301</v>
      </c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</row>
    <row r="494" spans="1:43">
      <c r="A494" t="s">
        <v>193</v>
      </c>
      <c r="B494" t="s">
        <v>57</v>
      </c>
      <c r="C494" t="s">
        <v>64</v>
      </c>
      <c r="D494" s="1">
        <v>0</v>
      </c>
      <c r="E494" s="1">
        <v>0</v>
      </c>
      <c r="F494" s="1">
        <v>0</v>
      </c>
      <c r="G494" s="1">
        <v>0</v>
      </c>
      <c r="H494" s="1">
        <v>0</v>
      </c>
      <c r="I494" s="1">
        <v>0</v>
      </c>
      <c r="J494" s="1">
        <v>0</v>
      </c>
      <c r="K494" s="1">
        <v>0</v>
      </c>
      <c r="L494" s="1">
        <v>0</v>
      </c>
      <c r="M494" s="1">
        <v>0</v>
      </c>
      <c r="N494" s="1">
        <v>0</v>
      </c>
      <c r="O494" s="1">
        <v>0</v>
      </c>
      <c r="P494" s="1">
        <v>0</v>
      </c>
      <c r="Q494" s="1">
        <v>0</v>
      </c>
      <c r="R494" s="1">
        <v>0</v>
      </c>
      <c r="S494" s="1">
        <v>0</v>
      </c>
      <c r="T494" s="1">
        <v>0</v>
      </c>
      <c r="U494" s="1">
        <v>0</v>
      </c>
      <c r="V494" s="1" t="s">
        <v>301</v>
      </c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</row>
    <row r="495" spans="1:43">
      <c r="A495" t="s">
        <v>193</v>
      </c>
      <c r="B495" t="s">
        <v>57</v>
      </c>
      <c r="C495" t="s">
        <v>65</v>
      </c>
      <c r="D495" s="1">
        <v>0</v>
      </c>
      <c r="E495" s="1">
        <v>0</v>
      </c>
      <c r="F495" s="1">
        <v>0</v>
      </c>
      <c r="G495" s="1">
        <v>0</v>
      </c>
      <c r="H495" s="1">
        <v>0</v>
      </c>
      <c r="I495" s="1">
        <v>0</v>
      </c>
      <c r="J495" s="1">
        <v>0</v>
      </c>
      <c r="K495" s="1">
        <v>0</v>
      </c>
      <c r="L495" s="1">
        <v>0</v>
      </c>
      <c r="M495" s="1">
        <v>0</v>
      </c>
      <c r="N495" s="1">
        <v>0</v>
      </c>
      <c r="O495" s="1">
        <v>0</v>
      </c>
      <c r="P495" s="1">
        <v>0</v>
      </c>
      <c r="Q495" s="1">
        <v>0</v>
      </c>
      <c r="R495" s="1">
        <v>0</v>
      </c>
      <c r="S495" s="1">
        <v>0</v>
      </c>
      <c r="T495" s="1">
        <v>0</v>
      </c>
      <c r="U495" s="1">
        <v>0</v>
      </c>
      <c r="V495" s="1" t="s">
        <v>301</v>
      </c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</row>
    <row r="496" spans="1:43">
      <c r="A496" t="s">
        <v>194</v>
      </c>
      <c r="B496" t="s">
        <v>57</v>
      </c>
      <c r="C496" t="s">
        <v>58</v>
      </c>
      <c r="D496" s="1">
        <v>0</v>
      </c>
      <c r="E496" s="1">
        <v>0</v>
      </c>
      <c r="F496" s="1">
        <v>0</v>
      </c>
      <c r="G496" s="1">
        <v>0</v>
      </c>
      <c r="H496" s="1">
        <v>0</v>
      </c>
      <c r="I496" s="1">
        <v>0</v>
      </c>
      <c r="J496" s="1">
        <v>0</v>
      </c>
      <c r="K496" s="1">
        <v>0</v>
      </c>
      <c r="L496" s="1">
        <v>0</v>
      </c>
      <c r="M496" s="1">
        <v>0</v>
      </c>
      <c r="N496" s="1">
        <v>0</v>
      </c>
      <c r="O496" s="1">
        <v>0</v>
      </c>
      <c r="P496" s="1">
        <v>0</v>
      </c>
      <c r="Q496" s="1">
        <v>0</v>
      </c>
      <c r="R496" s="1">
        <v>0</v>
      </c>
      <c r="S496" s="1">
        <v>0</v>
      </c>
      <c r="T496" s="1">
        <v>0</v>
      </c>
      <c r="U496" s="1">
        <v>1</v>
      </c>
      <c r="V496" s="1" t="s">
        <v>301</v>
      </c>
    </row>
    <row r="497" spans="1:22">
      <c r="A497" t="s">
        <v>194</v>
      </c>
      <c r="B497" t="s">
        <v>57</v>
      </c>
      <c r="C497" t="s">
        <v>59</v>
      </c>
      <c r="D497" s="1">
        <v>0</v>
      </c>
      <c r="E497" s="1">
        <v>0</v>
      </c>
      <c r="F497" s="1">
        <v>0</v>
      </c>
      <c r="G497" s="1">
        <v>0</v>
      </c>
      <c r="H497" s="1">
        <v>0</v>
      </c>
      <c r="I497" s="1">
        <v>0</v>
      </c>
      <c r="J497" s="1">
        <v>0</v>
      </c>
      <c r="K497" s="1">
        <v>0</v>
      </c>
      <c r="L497" s="1">
        <v>0</v>
      </c>
      <c r="M497" s="1">
        <v>0</v>
      </c>
      <c r="N497" s="1">
        <v>0</v>
      </c>
      <c r="O497" s="1">
        <v>0</v>
      </c>
      <c r="P497" s="1">
        <v>0</v>
      </c>
      <c r="Q497" s="1">
        <v>0</v>
      </c>
      <c r="R497" s="1">
        <v>0</v>
      </c>
      <c r="S497" s="1">
        <v>0</v>
      </c>
      <c r="T497" s="1">
        <v>0</v>
      </c>
      <c r="U497" s="1">
        <v>0</v>
      </c>
      <c r="V497" s="1" t="s">
        <v>301</v>
      </c>
    </row>
    <row r="498" spans="1:22">
      <c r="A498" t="s">
        <v>194</v>
      </c>
      <c r="B498" t="s">
        <v>57</v>
      </c>
      <c r="C498" t="s">
        <v>60</v>
      </c>
      <c r="D498" s="1">
        <v>0</v>
      </c>
      <c r="E498" s="1">
        <v>0</v>
      </c>
      <c r="F498" s="1">
        <v>0</v>
      </c>
      <c r="G498" s="1">
        <v>0</v>
      </c>
      <c r="H498" s="1">
        <v>0</v>
      </c>
      <c r="I498" s="1">
        <v>0</v>
      </c>
      <c r="J498" s="1">
        <v>0</v>
      </c>
      <c r="K498" s="1">
        <v>0</v>
      </c>
      <c r="L498" s="1">
        <v>0</v>
      </c>
      <c r="M498" s="1">
        <v>0</v>
      </c>
      <c r="N498" s="1">
        <v>0</v>
      </c>
      <c r="O498" s="1">
        <v>0</v>
      </c>
      <c r="P498" s="1">
        <v>0</v>
      </c>
      <c r="Q498" s="1">
        <v>0</v>
      </c>
      <c r="R498" s="1">
        <v>0</v>
      </c>
      <c r="S498" s="1">
        <v>0</v>
      </c>
      <c r="T498" s="1">
        <v>0</v>
      </c>
      <c r="U498" s="1">
        <v>0</v>
      </c>
      <c r="V498" s="1" t="s">
        <v>301</v>
      </c>
    </row>
    <row r="499" spans="1:22">
      <c r="A499" t="s">
        <v>194</v>
      </c>
      <c r="B499" t="s">
        <v>57</v>
      </c>
      <c r="C499" t="s">
        <v>61</v>
      </c>
      <c r="D499" s="1">
        <v>0</v>
      </c>
      <c r="E499" s="1">
        <v>0</v>
      </c>
      <c r="F499" s="1">
        <v>0</v>
      </c>
      <c r="G499" s="1">
        <v>0</v>
      </c>
      <c r="H499" s="1">
        <v>0</v>
      </c>
      <c r="I499" s="1">
        <v>0</v>
      </c>
      <c r="J499" s="1">
        <v>0</v>
      </c>
      <c r="K499" s="1">
        <v>0</v>
      </c>
      <c r="L499" s="1">
        <v>0</v>
      </c>
      <c r="M499" s="1">
        <v>0</v>
      </c>
      <c r="N499" s="1">
        <v>0</v>
      </c>
      <c r="O499" s="1">
        <v>0</v>
      </c>
      <c r="P499" s="1">
        <v>0</v>
      </c>
      <c r="Q499" s="1">
        <v>0</v>
      </c>
      <c r="R499" s="1">
        <v>0</v>
      </c>
      <c r="S499" s="1">
        <v>0</v>
      </c>
      <c r="T499" s="1">
        <v>0</v>
      </c>
      <c r="U499" s="1">
        <v>0</v>
      </c>
      <c r="V499" s="1" t="s">
        <v>301</v>
      </c>
    </row>
    <row r="500" spans="1:22">
      <c r="A500" t="s">
        <v>194</v>
      </c>
      <c r="B500" t="s">
        <v>57</v>
      </c>
      <c r="C500" t="s">
        <v>62</v>
      </c>
      <c r="D500" s="1">
        <v>0</v>
      </c>
      <c r="E500" s="1">
        <v>0</v>
      </c>
      <c r="F500" s="1">
        <v>0</v>
      </c>
      <c r="G500" s="1">
        <v>0</v>
      </c>
      <c r="H500" s="1">
        <v>0</v>
      </c>
      <c r="I500" s="1">
        <v>0</v>
      </c>
      <c r="J500" s="1">
        <v>0</v>
      </c>
      <c r="K500" s="1">
        <v>0</v>
      </c>
      <c r="L500" s="1">
        <v>0</v>
      </c>
      <c r="M500" s="1">
        <v>0</v>
      </c>
      <c r="N500" s="1">
        <v>0</v>
      </c>
      <c r="O500" s="1">
        <v>0</v>
      </c>
      <c r="P500" s="1">
        <v>0</v>
      </c>
      <c r="Q500" s="1">
        <v>0</v>
      </c>
      <c r="R500" s="1">
        <v>0</v>
      </c>
      <c r="S500" s="1">
        <v>0</v>
      </c>
      <c r="T500" s="1">
        <v>0</v>
      </c>
      <c r="U500" s="1">
        <v>0</v>
      </c>
      <c r="V500" s="1" t="s">
        <v>301</v>
      </c>
    </row>
    <row r="501" spans="1:22">
      <c r="A501" t="s">
        <v>194</v>
      </c>
      <c r="B501" t="s">
        <v>57</v>
      </c>
      <c r="C501" t="s">
        <v>63</v>
      </c>
      <c r="D501" s="1">
        <v>0</v>
      </c>
      <c r="E501" s="1">
        <v>0</v>
      </c>
      <c r="F501" s="1">
        <v>0</v>
      </c>
      <c r="G501" s="1">
        <v>0</v>
      </c>
      <c r="H501" s="1">
        <v>0</v>
      </c>
      <c r="I501" s="1">
        <v>0</v>
      </c>
      <c r="J501" s="1">
        <v>0</v>
      </c>
      <c r="K501" s="1">
        <v>0</v>
      </c>
      <c r="L501" s="1">
        <v>0</v>
      </c>
      <c r="M501" s="1">
        <v>0</v>
      </c>
      <c r="N501" s="1">
        <v>0</v>
      </c>
      <c r="O501" s="1">
        <v>0</v>
      </c>
      <c r="P501" s="1">
        <v>0</v>
      </c>
      <c r="Q501" s="1">
        <v>0</v>
      </c>
      <c r="R501" s="1">
        <v>0</v>
      </c>
      <c r="S501" s="1">
        <v>0</v>
      </c>
      <c r="T501" s="1">
        <v>0</v>
      </c>
      <c r="U501" s="1">
        <v>0</v>
      </c>
      <c r="V501" s="1" t="s">
        <v>301</v>
      </c>
    </row>
    <row r="502" spans="1:22">
      <c r="A502" t="s">
        <v>194</v>
      </c>
      <c r="B502" t="s">
        <v>57</v>
      </c>
      <c r="C502" t="s">
        <v>64</v>
      </c>
      <c r="D502" s="1">
        <v>0</v>
      </c>
      <c r="E502" s="1">
        <v>0</v>
      </c>
      <c r="F502" s="1">
        <v>0</v>
      </c>
      <c r="G502" s="1">
        <v>0</v>
      </c>
      <c r="H502" s="1">
        <v>0</v>
      </c>
      <c r="I502" s="1">
        <v>0</v>
      </c>
      <c r="J502" s="1">
        <v>0</v>
      </c>
      <c r="K502" s="1">
        <v>0</v>
      </c>
      <c r="L502" s="1">
        <v>0</v>
      </c>
      <c r="M502" s="1">
        <v>0</v>
      </c>
      <c r="N502" s="1">
        <v>0</v>
      </c>
      <c r="O502" s="1">
        <v>0</v>
      </c>
      <c r="P502" s="1">
        <v>0</v>
      </c>
      <c r="Q502" s="1">
        <v>0</v>
      </c>
      <c r="R502" s="1">
        <v>0</v>
      </c>
      <c r="S502" s="1">
        <v>0</v>
      </c>
      <c r="T502" s="1">
        <v>0</v>
      </c>
      <c r="U502" s="1">
        <v>0</v>
      </c>
      <c r="V502" s="1" t="s">
        <v>301</v>
      </c>
    </row>
    <row r="503" spans="1:22">
      <c r="A503" t="s">
        <v>194</v>
      </c>
      <c r="B503" t="s">
        <v>57</v>
      </c>
      <c r="C503" t="s">
        <v>65</v>
      </c>
      <c r="D503" s="1">
        <v>0</v>
      </c>
      <c r="E503" s="1">
        <v>0</v>
      </c>
      <c r="F503" s="1">
        <v>0</v>
      </c>
      <c r="G503" s="1">
        <v>0</v>
      </c>
      <c r="H503" s="1">
        <v>0</v>
      </c>
      <c r="I503" s="1">
        <v>0</v>
      </c>
      <c r="J503" s="1">
        <v>0</v>
      </c>
      <c r="K503" s="1">
        <v>0</v>
      </c>
      <c r="L503" s="1">
        <v>0</v>
      </c>
      <c r="M503" s="1">
        <v>0</v>
      </c>
      <c r="N503" s="1">
        <v>0</v>
      </c>
      <c r="O503" s="1">
        <v>0</v>
      </c>
      <c r="P503" s="1">
        <v>0</v>
      </c>
      <c r="Q503" s="1">
        <v>0</v>
      </c>
      <c r="R503" s="1">
        <v>0</v>
      </c>
      <c r="S503" s="1">
        <v>0</v>
      </c>
      <c r="T503" s="1">
        <v>0</v>
      </c>
      <c r="U503" s="1">
        <v>0</v>
      </c>
      <c r="V503" s="1" t="s">
        <v>301</v>
      </c>
    </row>
    <row r="504" spans="1:22">
      <c r="A504" t="s">
        <v>195</v>
      </c>
      <c r="B504" t="s">
        <v>57</v>
      </c>
      <c r="C504" t="s">
        <v>58</v>
      </c>
      <c r="D504" s="1">
        <v>0</v>
      </c>
      <c r="E504" s="1">
        <v>0</v>
      </c>
      <c r="F504" s="1">
        <v>0</v>
      </c>
      <c r="G504" s="1">
        <v>0</v>
      </c>
      <c r="H504" s="1">
        <v>0</v>
      </c>
      <c r="I504" s="1">
        <v>0</v>
      </c>
      <c r="J504" s="1">
        <v>0</v>
      </c>
      <c r="K504" s="1">
        <v>0</v>
      </c>
      <c r="L504" s="1">
        <v>0</v>
      </c>
      <c r="M504" s="1">
        <v>0</v>
      </c>
      <c r="N504" s="1">
        <v>0</v>
      </c>
      <c r="O504" s="1">
        <v>0</v>
      </c>
      <c r="P504" s="1">
        <v>0</v>
      </c>
      <c r="Q504" s="1">
        <v>0</v>
      </c>
      <c r="R504" s="1">
        <v>0</v>
      </c>
      <c r="S504" s="1">
        <v>0</v>
      </c>
      <c r="T504" s="1">
        <v>0</v>
      </c>
      <c r="U504" s="1">
        <v>1</v>
      </c>
      <c r="V504" s="1" t="s">
        <v>301</v>
      </c>
    </row>
    <row r="505" spans="1:22">
      <c r="A505" t="s">
        <v>195</v>
      </c>
      <c r="B505" t="s">
        <v>57</v>
      </c>
      <c r="C505" t="s">
        <v>59</v>
      </c>
      <c r="D505" s="1">
        <v>0</v>
      </c>
      <c r="E505" s="1">
        <v>0</v>
      </c>
      <c r="F505" s="1">
        <v>0</v>
      </c>
      <c r="G505" s="1">
        <v>0</v>
      </c>
      <c r="H505" s="1">
        <v>0</v>
      </c>
      <c r="I505" s="1">
        <v>0</v>
      </c>
      <c r="J505" s="1">
        <v>0</v>
      </c>
      <c r="K505" s="1">
        <v>0</v>
      </c>
      <c r="L505" s="1">
        <v>0</v>
      </c>
      <c r="M505" s="1">
        <v>0</v>
      </c>
      <c r="N505" s="1">
        <v>0</v>
      </c>
      <c r="O505" s="1">
        <v>0</v>
      </c>
      <c r="P505" s="1">
        <v>0</v>
      </c>
      <c r="Q505" s="1">
        <v>0</v>
      </c>
      <c r="R505" s="1">
        <v>0</v>
      </c>
      <c r="S505" s="1">
        <v>0</v>
      </c>
      <c r="T505" s="1">
        <v>0</v>
      </c>
      <c r="U505" s="1">
        <v>0</v>
      </c>
      <c r="V505" s="1" t="s">
        <v>301</v>
      </c>
    </row>
    <row r="506" spans="1:22">
      <c r="A506" t="s">
        <v>195</v>
      </c>
      <c r="B506" t="s">
        <v>57</v>
      </c>
      <c r="C506" t="s">
        <v>60</v>
      </c>
      <c r="D506" s="1">
        <v>0</v>
      </c>
      <c r="E506" s="1">
        <v>0</v>
      </c>
      <c r="F506" s="1">
        <v>0</v>
      </c>
      <c r="G506" s="1">
        <v>0</v>
      </c>
      <c r="H506" s="1">
        <v>0</v>
      </c>
      <c r="I506" s="1">
        <v>0</v>
      </c>
      <c r="J506" s="1">
        <v>0</v>
      </c>
      <c r="K506" s="1">
        <v>0</v>
      </c>
      <c r="L506" s="1">
        <v>0</v>
      </c>
      <c r="M506" s="1">
        <v>0</v>
      </c>
      <c r="N506" s="1">
        <v>0</v>
      </c>
      <c r="O506" s="1">
        <v>0</v>
      </c>
      <c r="P506" s="1">
        <v>0</v>
      </c>
      <c r="Q506" s="1">
        <v>0</v>
      </c>
      <c r="R506" s="1">
        <v>0</v>
      </c>
      <c r="S506" s="1">
        <v>0</v>
      </c>
      <c r="T506" s="1">
        <v>0</v>
      </c>
      <c r="U506" s="1">
        <v>0</v>
      </c>
      <c r="V506" s="1" t="s">
        <v>301</v>
      </c>
    </row>
    <row r="507" spans="1:22">
      <c r="A507" t="s">
        <v>195</v>
      </c>
      <c r="B507" t="s">
        <v>57</v>
      </c>
      <c r="C507" t="s">
        <v>61</v>
      </c>
      <c r="D507" s="1">
        <v>0</v>
      </c>
      <c r="E507" s="1">
        <v>0</v>
      </c>
      <c r="F507" s="1">
        <v>0</v>
      </c>
      <c r="G507" s="1">
        <v>0</v>
      </c>
      <c r="H507" s="1">
        <v>0</v>
      </c>
      <c r="I507" s="1">
        <v>0</v>
      </c>
      <c r="J507" s="1">
        <v>0</v>
      </c>
      <c r="K507" s="1">
        <v>0</v>
      </c>
      <c r="L507" s="1">
        <v>0</v>
      </c>
      <c r="M507" s="1">
        <v>0</v>
      </c>
      <c r="N507" s="1">
        <v>0</v>
      </c>
      <c r="O507" s="1">
        <v>0</v>
      </c>
      <c r="P507" s="1">
        <v>0</v>
      </c>
      <c r="Q507" s="1">
        <v>0</v>
      </c>
      <c r="R507" s="1">
        <v>0</v>
      </c>
      <c r="S507" s="1">
        <v>0</v>
      </c>
      <c r="T507" s="1">
        <v>0</v>
      </c>
      <c r="U507" s="1">
        <v>0</v>
      </c>
      <c r="V507" s="1" t="s">
        <v>301</v>
      </c>
    </row>
    <row r="508" spans="1:22">
      <c r="A508" t="s">
        <v>195</v>
      </c>
      <c r="B508" t="s">
        <v>57</v>
      </c>
      <c r="C508" t="s">
        <v>62</v>
      </c>
      <c r="D508" s="1">
        <v>0</v>
      </c>
      <c r="E508" s="1">
        <v>0</v>
      </c>
      <c r="F508" s="1">
        <v>0</v>
      </c>
      <c r="G508" s="1">
        <v>0</v>
      </c>
      <c r="H508" s="1">
        <v>0</v>
      </c>
      <c r="I508" s="1">
        <v>0</v>
      </c>
      <c r="J508" s="1">
        <v>0</v>
      </c>
      <c r="K508" s="1">
        <v>0</v>
      </c>
      <c r="L508" s="1">
        <v>0</v>
      </c>
      <c r="M508" s="1">
        <v>0</v>
      </c>
      <c r="N508" s="1">
        <v>0</v>
      </c>
      <c r="O508" s="1">
        <v>0</v>
      </c>
      <c r="P508" s="1">
        <v>0</v>
      </c>
      <c r="Q508" s="1">
        <v>0</v>
      </c>
      <c r="R508" s="1">
        <v>0</v>
      </c>
      <c r="S508" s="1">
        <v>0</v>
      </c>
      <c r="T508" s="1">
        <v>0</v>
      </c>
      <c r="U508" s="1">
        <v>0</v>
      </c>
      <c r="V508" s="1" t="s">
        <v>301</v>
      </c>
    </row>
    <row r="509" spans="1:22">
      <c r="A509" t="s">
        <v>195</v>
      </c>
      <c r="B509" t="s">
        <v>57</v>
      </c>
      <c r="C509" t="s">
        <v>63</v>
      </c>
      <c r="D509" s="1">
        <v>0</v>
      </c>
      <c r="E509" s="1">
        <v>0</v>
      </c>
      <c r="F509" s="1">
        <v>0</v>
      </c>
      <c r="G509" s="1">
        <v>0</v>
      </c>
      <c r="H509" s="1">
        <v>0</v>
      </c>
      <c r="I509" s="1">
        <v>0</v>
      </c>
      <c r="J509" s="1">
        <v>0</v>
      </c>
      <c r="K509" s="1">
        <v>0</v>
      </c>
      <c r="L509" s="1">
        <v>0</v>
      </c>
      <c r="M509" s="1">
        <v>0</v>
      </c>
      <c r="N509" s="1">
        <v>0</v>
      </c>
      <c r="O509" s="1">
        <v>0</v>
      </c>
      <c r="P509" s="1">
        <v>0</v>
      </c>
      <c r="Q509" s="1">
        <v>0</v>
      </c>
      <c r="R509" s="1">
        <v>0</v>
      </c>
      <c r="S509" s="1">
        <v>0</v>
      </c>
      <c r="T509" s="1">
        <v>0</v>
      </c>
      <c r="U509" s="1">
        <v>0</v>
      </c>
      <c r="V509" s="1" t="s">
        <v>301</v>
      </c>
    </row>
    <row r="510" spans="1:22">
      <c r="A510" t="s">
        <v>195</v>
      </c>
      <c r="B510" t="s">
        <v>57</v>
      </c>
      <c r="C510" t="s">
        <v>64</v>
      </c>
      <c r="D510" s="1">
        <v>0</v>
      </c>
      <c r="E510" s="1">
        <v>0</v>
      </c>
      <c r="F510" s="1">
        <v>0</v>
      </c>
      <c r="G510" s="1">
        <v>0</v>
      </c>
      <c r="H510" s="1">
        <v>0</v>
      </c>
      <c r="I510" s="1">
        <v>0</v>
      </c>
      <c r="J510" s="1">
        <v>0</v>
      </c>
      <c r="K510" s="1">
        <v>0</v>
      </c>
      <c r="L510" s="1">
        <v>0</v>
      </c>
      <c r="M510" s="1">
        <v>0</v>
      </c>
      <c r="N510" s="1">
        <v>0</v>
      </c>
      <c r="O510" s="1">
        <v>0</v>
      </c>
      <c r="P510" s="1">
        <v>0</v>
      </c>
      <c r="Q510" s="1">
        <v>0</v>
      </c>
      <c r="R510" s="1">
        <v>0</v>
      </c>
      <c r="S510" s="1">
        <v>0</v>
      </c>
      <c r="T510" s="1">
        <v>0</v>
      </c>
      <c r="U510" s="1">
        <v>0</v>
      </c>
      <c r="V510" s="1" t="s">
        <v>301</v>
      </c>
    </row>
    <row r="511" spans="1:22">
      <c r="A511" t="s">
        <v>195</v>
      </c>
      <c r="B511" t="s">
        <v>57</v>
      </c>
      <c r="C511" t="s">
        <v>65</v>
      </c>
      <c r="D511" s="1">
        <v>0</v>
      </c>
      <c r="E511" s="1">
        <v>0</v>
      </c>
      <c r="F511" s="1">
        <v>0</v>
      </c>
      <c r="G511" s="1">
        <v>0</v>
      </c>
      <c r="H511" s="1">
        <v>0</v>
      </c>
      <c r="I511" s="1">
        <v>0</v>
      </c>
      <c r="J511" s="1">
        <v>0</v>
      </c>
      <c r="K511" s="1">
        <v>0</v>
      </c>
      <c r="L511" s="1">
        <v>0</v>
      </c>
      <c r="M511" s="1">
        <v>0</v>
      </c>
      <c r="N511" s="1">
        <v>0</v>
      </c>
      <c r="O511" s="1">
        <v>0</v>
      </c>
      <c r="P511" s="1">
        <v>0</v>
      </c>
      <c r="Q511" s="1">
        <v>0</v>
      </c>
      <c r="R511" s="1">
        <v>0</v>
      </c>
      <c r="S511" s="1">
        <v>0</v>
      </c>
      <c r="T511" s="1">
        <v>0</v>
      </c>
      <c r="U511" s="1">
        <v>0</v>
      </c>
      <c r="V511" s="1" t="s">
        <v>301</v>
      </c>
    </row>
    <row r="512" spans="1:22">
      <c r="A512" t="s">
        <v>196</v>
      </c>
      <c r="B512" t="s">
        <v>57</v>
      </c>
      <c r="C512" t="s">
        <v>58</v>
      </c>
      <c r="D512" s="1">
        <v>0</v>
      </c>
      <c r="E512" s="1">
        <v>0</v>
      </c>
      <c r="F512" s="1">
        <v>0</v>
      </c>
      <c r="G512" s="1">
        <v>0</v>
      </c>
      <c r="H512" s="1">
        <v>0</v>
      </c>
      <c r="I512" s="1">
        <v>0</v>
      </c>
      <c r="J512" s="1">
        <v>0</v>
      </c>
      <c r="K512" s="1">
        <v>0</v>
      </c>
      <c r="L512" s="1">
        <v>0</v>
      </c>
      <c r="M512" s="1">
        <v>0</v>
      </c>
      <c r="N512" s="1">
        <v>0</v>
      </c>
      <c r="O512" s="1">
        <v>0</v>
      </c>
      <c r="P512" s="1">
        <v>0</v>
      </c>
      <c r="Q512" s="1">
        <v>0</v>
      </c>
      <c r="R512" s="1">
        <v>0</v>
      </c>
      <c r="S512" s="1">
        <v>0</v>
      </c>
      <c r="T512" s="1">
        <v>0</v>
      </c>
      <c r="U512" s="1">
        <v>1</v>
      </c>
      <c r="V512" s="1" t="s">
        <v>301</v>
      </c>
    </row>
    <row r="513" spans="1:22">
      <c r="A513" t="s">
        <v>196</v>
      </c>
      <c r="B513" t="s">
        <v>57</v>
      </c>
      <c r="C513" t="s">
        <v>59</v>
      </c>
      <c r="D513" s="1">
        <v>0</v>
      </c>
      <c r="E513" s="1">
        <v>0</v>
      </c>
      <c r="F513" s="1">
        <v>0</v>
      </c>
      <c r="G513" s="1">
        <v>0</v>
      </c>
      <c r="H513" s="1">
        <v>0</v>
      </c>
      <c r="I513" s="1">
        <v>0</v>
      </c>
      <c r="J513" s="1">
        <v>0</v>
      </c>
      <c r="K513" s="1">
        <v>0</v>
      </c>
      <c r="L513" s="1">
        <v>0</v>
      </c>
      <c r="M513" s="1">
        <v>0</v>
      </c>
      <c r="N513" s="1">
        <v>0</v>
      </c>
      <c r="O513" s="1">
        <v>0</v>
      </c>
      <c r="P513" s="1">
        <v>0</v>
      </c>
      <c r="Q513" s="1">
        <v>0</v>
      </c>
      <c r="R513" s="1">
        <v>0</v>
      </c>
      <c r="S513" s="1">
        <v>0</v>
      </c>
      <c r="T513" s="1">
        <v>0</v>
      </c>
      <c r="U513" s="1">
        <v>0</v>
      </c>
      <c r="V513" s="1" t="s">
        <v>301</v>
      </c>
    </row>
    <row r="514" spans="1:22">
      <c r="A514" t="s">
        <v>196</v>
      </c>
      <c r="B514" t="s">
        <v>57</v>
      </c>
      <c r="C514" t="s">
        <v>60</v>
      </c>
      <c r="D514" s="1">
        <v>0</v>
      </c>
      <c r="E514" s="1">
        <v>0</v>
      </c>
      <c r="F514" s="1">
        <v>0</v>
      </c>
      <c r="G514" s="1">
        <v>0</v>
      </c>
      <c r="H514" s="1">
        <v>0</v>
      </c>
      <c r="I514" s="1">
        <v>0</v>
      </c>
      <c r="J514" s="1">
        <v>0</v>
      </c>
      <c r="K514" s="1">
        <v>0</v>
      </c>
      <c r="L514" s="1">
        <v>0</v>
      </c>
      <c r="M514" s="1">
        <v>0</v>
      </c>
      <c r="N514" s="1">
        <v>0</v>
      </c>
      <c r="O514" s="1">
        <v>0</v>
      </c>
      <c r="P514" s="1">
        <v>0</v>
      </c>
      <c r="Q514" s="1">
        <v>0</v>
      </c>
      <c r="R514" s="1">
        <v>0</v>
      </c>
      <c r="S514" s="1">
        <v>0</v>
      </c>
      <c r="T514" s="1">
        <v>0</v>
      </c>
      <c r="U514" s="1">
        <v>0</v>
      </c>
      <c r="V514" s="1" t="s">
        <v>301</v>
      </c>
    </row>
    <row r="515" spans="1:22">
      <c r="A515" t="s">
        <v>196</v>
      </c>
      <c r="B515" t="s">
        <v>57</v>
      </c>
      <c r="C515" t="s">
        <v>61</v>
      </c>
      <c r="D515" s="1">
        <v>0</v>
      </c>
      <c r="E515" s="1">
        <v>0</v>
      </c>
      <c r="F515" s="1">
        <v>0</v>
      </c>
      <c r="G515" s="1">
        <v>0</v>
      </c>
      <c r="H515" s="1">
        <v>0</v>
      </c>
      <c r="I515" s="1">
        <v>0</v>
      </c>
      <c r="J515" s="1">
        <v>0</v>
      </c>
      <c r="K515" s="1">
        <v>0</v>
      </c>
      <c r="L515" s="1">
        <v>0</v>
      </c>
      <c r="M515" s="1">
        <v>0</v>
      </c>
      <c r="N515" s="1">
        <v>0</v>
      </c>
      <c r="O515" s="1">
        <v>0</v>
      </c>
      <c r="P515" s="1">
        <v>0</v>
      </c>
      <c r="Q515" s="1">
        <v>0</v>
      </c>
      <c r="R515" s="1">
        <v>0</v>
      </c>
      <c r="S515" s="1">
        <v>0</v>
      </c>
      <c r="T515" s="1">
        <v>0</v>
      </c>
      <c r="U515" s="1">
        <v>0</v>
      </c>
      <c r="V515" s="1" t="s">
        <v>301</v>
      </c>
    </row>
    <row r="516" spans="1:22">
      <c r="A516" t="s">
        <v>196</v>
      </c>
      <c r="B516" t="s">
        <v>57</v>
      </c>
      <c r="C516" t="s">
        <v>62</v>
      </c>
      <c r="D516" s="1">
        <v>0</v>
      </c>
      <c r="E516" s="1">
        <v>0</v>
      </c>
      <c r="F516" s="1">
        <v>0</v>
      </c>
      <c r="G516" s="1">
        <v>0</v>
      </c>
      <c r="H516" s="1">
        <v>0</v>
      </c>
      <c r="I516" s="1">
        <v>0</v>
      </c>
      <c r="J516" s="1">
        <v>0</v>
      </c>
      <c r="K516" s="1">
        <v>0</v>
      </c>
      <c r="L516" s="1">
        <v>0</v>
      </c>
      <c r="M516" s="1">
        <v>0</v>
      </c>
      <c r="N516" s="1">
        <v>0</v>
      </c>
      <c r="O516" s="1">
        <v>0</v>
      </c>
      <c r="P516" s="1">
        <v>0</v>
      </c>
      <c r="Q516" s="1">
        <v>0</v>
      </c>
      <c r="R516" s="1">
        <v>0</v>
      </c>
      <c r="S516" s="1">
        <v>0</v>
      </c>
      <c r="T516" s="1">
        <v>0</v>
      </c>
      <c r="U516" s="1">
        <v>0</v>
      </c>
      <c r="V516" s="1" t="s">
        <v>301</v>
      </c>
    </row>
    <row r="517" spans="1:22">
      <c r="A517" t="s">
        <v>196</v>
      </c>
      <c r="B517" t="s">
        <v>57</v>
      </c>
      <c r="C517" t="s">
        <v>63</v>
      </c>
      <c r="D517" s="1">
        <v>0</v>
      </c>
      <c r="E517" s="1">
        <v>0</v>
      </c>
      <c r="F517" s="1">
        <v>0</v>
      </c>
      <c r="G517" s="1">
        <v>0</v>
      </c>
      <c r="H517" s="1">
        <v>0</v>
      </c>
      <c r="I517" s="1">
        <v>0</v>
      </c>
      <c r="J517" s="1">
        <v>0</v>
      </c>
      <c r="K517" s="1">
        <v>0</v>
      </c>
      <c r="L517" s="1">
        <v>0</v>
      </c>
      <c r="M517" s="1">
        <v>0</v>
      </c>
      <c r="N517" s="1">
        <v>0</v>
      </c>
      <c r="O517" s="1">
        <v>0</v>
      </c>
      <c r="P517" s="1">
        <v>0</v>
      </c>
      <c r="Q517" s="1">
        <v>0</v>
      </c>
      <c r="R517" s="1">
        <v>0</v>
      </c>
      <c r="S517" s="1">
        <v>0</v>
      </c>
      <c r="T517" s="1">
        <v>0</v>
      </c>
      <c r="U517" s="1">
        <v>0</v>
      </c>
      <c r="V517" s="1" t="s">
        <v>301</v>
      </c>
    </row>
    <row r="518" spans="1:22">
      <c r="A518" t="s">
        <v>196</v>
      </c>
      <c r="B518" t="s">
        <v>57</v>
      </c>
      <c r="C518" t="s">
        <v>64</v>
      </c>
      <c r="D518" s="1">
        <v>0</v>
      </c>
      <c r="E518" s="1">
        <v>0</v>
      </c>
      <c r="F518" s="1">
        <v>0</v>
      </c>
      <c r="G518" s="1">
        <v>0</v>
      </c>
      <c r="H518" s="1">
        <v>0</v>
      </c>
      <c r="I518" s="1">
        <v>0</v>
      </c>
      <c r="J518" s="1">
        <v>0</v>
      </c>
      <c r="K518" s="1">
        <v>0</v>
      </c>
      <c r="L518" s="1">
        <v>0</v>
      </c>
      <c r="M518" s="1">
        <v>0</v>
      </c>
      <c r="N518" s="1">
        <v>0</v>
      </c>
      <c r="O518" s="1">
        <v>0</v>
      </c>
      <c r="P518" s="1">
        <v>0</v>
      </c>
      <c r="Q518" s="1">
        <v>0</v>
      </c>
      <c r="R518" s="1">
        <v>0</v>
      </c>
      <c r="S518" s="1">
        <v>0</v>
      </c>
      <c r="T518" s="1">
        <v>0</v>
      </c>
      <c r="U518" s="1">
        <v>0</v>
      </c>
      <c r="V518" s="1" t="s">
        <v>301</v>
      </c>
    </row>
    <row r="519" spans="1:22">
      <c r="A519" t="s">
        <v>196</v>
      </c>
      <c r="B519" t="s">
        <v>57</v>
      </c>
      <c r="C519" t="s">
        <v>65</v>
      </c>
      <c r="D519" s="1">
        <v>0</v>
      </c>
      <c r="E519" s="1">
        <v>0</v>
      </c>
      <c r="F519" s="1">
        <v>0</v>
      </c>
      <c r="G519" s="1">
        <v>0</v>
      </c>
      <c r="H519" s="1">
        <v>0</v>
      </c>
      <c r="I519" s="1">
        <v>0</v>
      </c>
      <c r="J519" s="1">
        <v>0</v>
      </c>
      <c r="K519" s="1">
        <v>0</v>
      </c>
      <c r="L519" s="1">
        <v>0</v>
      </c>
      <c r="M519" s="1">
        <v>0</v>
      </c>
      <c r="N519" s="1">
        <v>0</v>
      </c>
      <c r="O519" s="1">
        <v>0</v>
      </c>
      <c r="P519" s="1">
        <v>0</v>
      </c>
      <c r="Q519" s="1">
        <v>0</v>
      </c>
      <c r="R519" s="1">
        <v>0</v>
      </c>
      <c r="S519" s="1">
        <v>0</v>
      </c>
      <c r="T519" s="1">
        <v>0</v>
      </c>
      <c r="U519" s="1">
        <v>0</v>
      </c>
      <c r="V519" s="1" t="s">
        <v>301</v>
      </c>
    </row>
    <row r="520" spans="1:22">
      <c r="A520" t="s">
        <v>55</v>
      </c>
      <c r="B520" t="s">
        <v>57</v>
      </c>
      <c r="C520" t="s">
        <v>58</v>
      </c>
      <c r="D520" s="1">
        <v>0</v>
      </c>
      <c r="E520" s="1">
        <v>0</v>
      </c>
      <c r="F520" s="1">
        <v>0</v>
      </c>
      <c r="G520" s="1">
        <v>0</v>
      </c>
      <c r="H520" s="1">
        <v>0</v>
      </c>
      <c r="I520" s="1">
        <v>0</v>
      </c>
      <c r="J520" s="1">
        <v>0</v>
      </c>
      <c r="K520" s="1">
        <v>0</v>
      </c>
      <c r="L520" s="1">
        <v>0</v>
      </c>
      <c r="M520" s="1">
        <v>0</v>
      </c>
      <c r="N520" s="1">
        <v>0</v>
      </c>
      <c r="O520" s="1">
        <v>0</v>
      </c>
      <c r="P520" s="1">
        <v>0</v>
      </c>
      <c r="Q520" s="1">
        <v>0</v>
      </c>
      <c r="R520" s="1">
        <v>0</v>
      </c>
      <c r="S520" s="1">
        <v>0</v>
      </c>
      <c r="T520" s="1">
        <v>0</v>
      </c>
      <c r="U520" s="1">
        <v>15</v>
      </c>
      <c r="V520" s="1" t="s">
        <v>301</v>
      </c>
    </row>
    <row r="521" spans="1:22">
      <c r="A521" t="s">
        <v>55</v>
      </c>
      <c r="B521" t="s">
        <v>57</v>
      </c>
      <c r="C521" t="s">
        <v>59</v>
      </c>
      <c r="D521" s="1">
        <v>0</v>
      </c>
      <c r="E521" s="1">
        <v>0</v>
      </c>
      <c r="F521" s="1">
        <v>0</v>
      </c>
      <c r="G521" s="1">
        <v>0</v>
      </c>
      <c r="H521" s="1">
        <v>0</v>
      </c>
      <c r="I521" s="1">
        <v>0</v>
      </c>
      <c r="J521" s="1">
        <v>0</v>
      </c>
      <c r="K521" s="1">
        <v>0</v>
      </c>
      <c r="L521" s="1">
        <v>0</v>
      </c>
      <c r="M521" s="1">
        <v>0</v>
      </c>
      <c r="N521" s="1">
        <v>0</v>
      </c>
      <c r="O521" s="1">
        <v>0</v>
      </c>
      <c r="P521" s="1">
        <v>0</v>
      </c>
      <c r="Q521" s="1">
        <v>0</v>
      </c>
      <c r="R521" s="1">
        <v>0</v>
      </c>
      <c r="S521" s="1">
        <v>0</v>
      </c>
      <c r="T521" s="1">
        <v>0</v>
      </c>
      <c r="U521" s="1">
        <v>0</v>
      </c>
      <c r="V521" s="1" t="s">
        <v>301</v>
      </c>
    </row>
    <row r="522" spans="1:22">
      <c r="A522" t="s">
        <v>55</v>
      </c>
      <c r="B522" t="s">
        <v>57</v>
      </c>
      <c r="C522" t="s">
        <v>60</v>
      </c>
      <c r="D522" s="1">
        <v>0</v>
      </c>
      <c r="E522" s="1">
        <v>0</v>
      </c>
      <c r="F522" s="1">
        <v>0</v>
      </c>
      <c r="G522" s="1">
        <v>0</v>
      </c>
      <c r="H522" s="1">
        <v>0</v>
      </c>
      <c r="I522" s="1">
        <v>0</v>
      </c>
      <c r="J522" s="1">
        <v>0</v>
      </c>
      <c r="K522" s="1">
        <v>0</v>
      </c>
      <c r="L522" s="1">
        <v>0</v>
      </c>
      <c r="M522" s="1">
        <v>0</v>
      </c>
      <c r="N522" s="1">
        <v>0</v>
      </c>
      <c r="O522" s="1">
        <v>0</v>
      </c>
      <c r="P522" s="1">
        <v>0</v>
      </c>
      <c r="Q522" s="1">
        <v>0</v>
      </c>
      <c r="R522" s="1">
        <v>0</v>
      </c>
      <c r="S522" s="1">
        <v>0</v>
      </c>
      <c r="T522" s="1">
        <v>0</v>
      </c>
      <c r="U522" s="1">
        <v>0</v>
      </c>
      <c r="V522" s="1" t="s">
        <v>301</v>
      </c>
    </row>
    <row r="523" spans="1:22">
      <c r="A523" t="s">
        <v>55</v>
      </c>
      <c r="B523" t="s">
        <v>57</v>
      </c>
      <c r="C523" t="s">
        <v>61</v>
      </c>
      <c r="D523" s="1">
        <v>0</v>
      </c>
      <c r="E523" s="1">
        <v>0</v>
      </c>
      <c r="F523" s="1">
        <v>0</v>
      </c>
      <c r="G523" s="1">
        <v>0</v>
      </c>
      <c r="H523" s="1">
        <v>0</v>
      </c>
      <c r="I523" s="1">
        <v>0</v>
      </c>
      <c r="J523" s="1">
        <v>0</v>
      </c>
      <c r="K523" s="1">
        <v>0</v>
      </c>
      <c r="L523" s="1">
        <v>0</v>
      </c>
      <c r="M523" s="1">
        <v>0</v>
      </c>
      <c r="N523" s="1">
        <v>0</v>
      </c>
      <c r="O523" s="1">
        <v>0</v>
      </c>
      <c r="P523" s="1">
        <v>0</v>
      </c>
      <c r="Q523" s="1">
        <v>0</v>
      </c>
      <c r="R523" s="1">
        <v>0</v>
      </c>
      <c r="S523" s="1">
        <v>0</v>
      </c>
      <c r="T523" s="1">
        <v>0</v>
      </c>
      <c r="U523" s="1">
        <v>0</v>
      </c>
      <c r="V523" s="1" t="s">
        <v>301</v>
      </c>
    </row>
    <row r="524" spans="1:22">
      <c r="A524" t="s">
        <v>55</v>
      </c>
      <c r="B524" t="s">
        <v>57</v>
      </c>
      <c r="C524" t="s">
        <v>62</v>
      </c>
      <c r="D524" s="1">
        <v>0</v>
      </c>
      <c r="E524" s="1">
        <v>0</v>
      </c>
      <c r="F524" s="1">
        <v>0</v>
      </c>
      <c r="G524" s="1">
        <v>0</v>
      </c>
      <c r="H524" s="1">
        <v>0</v>
      </c>
      <c r="I524" s="1">
        <v>0</v>
      </c>
      <c r="J524" s="1">
        <v>0</v>
      </c>
      <c r="K524" s="1">
        <v>0</v>
      </c>
      <c r="L524" s="1">
        <v>0</v>
      </c>
      <c r="M524" s="1">
        <v>0</v>
      </c>
      <c r="N524" s="1">
        <v>0</v>
      </c>
      <c r="O524" s="1">
        <v>0</v>
      </c>
      <c r="P524" s="1">
        <v>0</v>
      </c>
      <c r="Q524" s="1">
        <v>0</v>
      </c>
      <c r="R524" s="1">
        <v>0</v>
      </c>
      <c r="S524" s="1">
        <v>0</v>
      </c>
      <c r="T524" s="1">
        <v>0</v>
      </c>
      <c r="U524" s="1">
        <v>0</v>
      </c>
      <c r="V524" s="1" t="s">
        <v>301</v>
      </c>
    </row>
    <row r="525" spans="1:22">
      <c r="A525" t="s">
        <v>55</v>
      </c>
      <c r="B525" t="s">
        <v>57</v>
      </c>
      <c r="C525" t="s">
        <v>63</v>
      </c>
      <c r="D525" s="1">
        <v>0</v>
      </c>
      <c r="E525" s="1">
        <v>0</v>
      </c>
      <c r="F525" s="1">
        <v>0</v>
      </c>
      <c r="G525" s="1">
        <v>0</v>
      </c>
      <c r="H525" s="1">
        <v>0</v>
      </c>
      <c r="I525" s="1">
        <v>0</v>
      </c>
      <c r="J525" s="1">
        <v>0</v>
      </c>
      <c r="K525" s="1">
        <v>0</v>
      </c>
      <c r="L525" s="1">
        <v>0</v>
      </c>
      <c r="M525" s="1">
        <v>0</v>
      </c>
      <c r="N525" s="1">
        <v>0</v>
      </c>
      <c r="O525" s="1">
        <v>0</v>
      </c>
      <c r="P525" s="1">
        <v>0</v>
      </c>
      <c r="Q525" s="1">
        <v>0</v>
      </c>
      <c r="R525" s="1">
        <v>0</v>
      </c>
      <c r="S525" s="1">
        <v>0</v>
      </c>
      <c r="T525" s="1">
        <v>0</v>
      </c>
      <c r="U525" s="1">
        <v>0</v>
      </c>
      <c r="V525" s="1" t="s">
        <v>301</v>
      </c>
    </row>
    <row r="526" spans="1:22">
      <c r="A526" t="s">
        <v>55</v>
      </c>
      <c r="B526" t="s">
        <v>57</v>
      </c>
      <c r="C526" t="s">
        <v>64</v>
      </c>
      <c r="D526" s="1">
        <v>0</v>
      </c>
      <c r="E526" s="1">
        <v>0</v>
      </c>
      <c r="F526" s="1">
        <v>0</v>
      </c>
      <c r="G526" s="1">
        <v>0</v>
      </c>
      <c r="H526" s="1">
        <v>0</v>
      </c>
      <c r="I526" s="1">
        <v>0</v>
      </c>
      <c r="J526" s="1">
        <v>0</v>
      </c>
      <c r="K526" s="1">
        <v>0</v>
      </c>
      <c r="L526" s="1">
        <v>0</v>
      </c>
      <c r="M526" s="1">
        <v>0</v>
      </c>
      <c r="N526" s="1">
        <v>0</v>
      </c>
      <c r="O526" s="1">
        <v>0</v>
      </c>
      <c r="P526" s="1">
        <v>0</v>
      </c>
      <c r="Q526" s="1">
        <v>0</v>
      </c>
      <c r="R526" s="1">
        <v>0</v>
      </c>
      <c r="S526" s="1">
        <v>0</v>
      </c>
      <c r="T526" s="1">
        <v>0</v>
      </c>
      <c r="U526" s="1">
        <v>0</v>
      </c>
      <c r="V526" s="1" t="s">
        <v>301</v>
      </c>
    </row>
    <row r="527" spans="1:22">
      <c r="A527" t="s">
        <v>55</v>
      </c>
      <c r="B527" t="s">
        <v>57</v>
      </c>
      <c r="C527" t="s">
        <v>65</v>
      </c>
      <c r="D527" s="1">
        <v>0</v>
      </c>
      <c r="E527" s="1">
        <v>0</v>
      </c>
      <c r="F527" s="1">
        <v>0</v>
      </c>
      <c r="G527" s="1">
        <v>0</v>
      </c>
      <c r="H527" s="1">
        <v>0</v>
      </c>
      <c r="I527" s="1">
        <v>0</v>
      </c>
      <c r="J527" s="1">
        <v>0</v>
      </c>
      <c r="K527" s="1">
        <v>0</v>
      </c>
      <c r="L527" s="1">
        <v>0</v>
      </c>
      <c r="M527" s="1">
        <v>0</v>
      </c>
      <c r="N527" s="1">
        <v>0</v>
      </c>
      <c r="O527" s="1">
        <v>0</v>
      </c>
      <c r="P527" s="1">
        <v>0</v>
      </c>
      <c r="Q527" s="1">
        <v>0</v>
      </c>
      <c r="R527" s="1">
        <v>0</v>
      </c>
      <c r="S527" s="1">
        <v>0</v>
      </c>
      <c r="T527" s="1">
        <v>0</v>
      </c>
      <c r="U527" s="1">
        <v>0</v>
      </c>
      <c r="V527" s="1" t="s">
        <v>301</v>
      </c>
    </row>
    <row r="528" spans="1:22"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</row>
    <row r="529" spans="4:22"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</row>
    <row r="530" spans="4:22"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</row>
    <row r="531" spans="4:22"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</row>
    <row r="532" spans="4:22"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</row>
    <row r="533" spans="4:22"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</row>
    <row r="534" spans="4:22"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</row>
    <row r="535" spans="4:22"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</row>
    <row r="536" spans="4:22"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</row>
    <row r="537" spans="4:22"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</row>
    <row r="538" spans="4:22"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</row>
    <row r="539" spans="4:22"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</row>
    <row r="629" spans="1:22">
      <c r="A629" s="1">
        <f>setup!C21</f>
        <v>3831</v>
      </c>
    </row>
    <row r="630" spans="1:22">
      <c r="A630" t="str">
        <f>_xlfn.CONCAT(setup!D21," - ",setup!E21)</f>
        <v>OSEP – Emotional Disturbance - Digital - OSEP_ED_D</v>
      </c>
      <c r="D630" s="1"/>
      <c r="E630" s="1"/>
      <c r="F630" s="1"/>
      <c r="G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</row>
    <row r="631" spans="1:22">
      <c r="A631" t="s">
        <v>35</v>
      </c>
      <c r="B631" t="s">
        <v>36</v>
      </c>
      <c r="C631" t="s">
        <v>37</v>
      </c>
      <c r="D631" s="1" t="s">
        <v>38</v>
      </c>
      <c r="E631" s="1" t="s">
        <v>39</v>
      </c>
      <c r="F631" s="1" t="s">
        <v>40</v>
      </c>
      <c r="G631" s="1" t="s">
        <v>41</v>
      </c>
      <c r="H631" s="1" t="s">
        <v>42</v>
      </c>
      <c r="I631" s="1" t="s">
        <v>43</v>
      </c>
      <c r="J631" s="1" t="s">
        <v>44</v>
      </c>
      <c r="K631" s="1" t="s">
        <v>45</v>
      </c>
      <c r="L631" s="1" t="s">
        <v>46</v>
      </c>
      <c r="M631" s="1" t="s">
        <v>47</v>
      </c>
      <c r="N631" s="1" t="s">
        <v>48</v>
      </c>
      <c r="O631" s="1" t="s">
        <v>49</v>
      </c>
      <c r="P631" s="1" t="s">
        <v>50</v>
      </c>
      <c r="Q631" s="1" t="s">
        <v>51</v>
      </c>
      <c r="R631" s="1" t="s">
        <v>52</v>
      </c>
      <c r="S631" s="1" t="s">
        <v>53</v>
      </c>
      <c r="T631" t="s">
        <v>54</v>
      </c>
      <c r="U631" s="1" t="s">
        <v>55</v>
      </c>
      <c r="V631" t="s">
        <v>56</v>
      </c>
    </row>
    <row r="632" spans="1:22">
      <c r="A632" t="s">
        <v>197</v>
      </c>
      <c r="B632" t="s">
        <v>57</v>
      </c>
      <c r="C632" t="s">
        <v>58</v>
      </c>
      <c r="D632" s="1">
        <v>0</v>
      </c>
      <c r="E632" s="1">
        <v>0</v>
      </c>
      <c r="F632" s="1">
        <v>0</v>
      </c>
      <c r="G632" s="1">
        <v>0</v>
      </c>
      <c r="H632" s="1">
        <v>0</v>
      </c>
      <c r="I632" s="1">
        <v>0</v>
      </c>
      <c r="J632" s="1">
        <v>0</v>
      </c>
      <c r="K632" s="1">
        <v>0</v>
      </c>
      <c r="L632" s="1">
        <v>0</v>
      </c>
      <c r="M632" s="1">
        <v>0</v>
      </c>
      <c r="N632" s="1">
        <v>0</v>
      </c>
      <c r="O632" s="1">
        <v>0</v>
      </c>
      <c r="P632" s="1">
        <v>0</v>
      </c>
      <c r="Q632" s="1">
        <v>0</v>
      </c>
      <c r="R632" s="1">
        <v>0</v>
      </c>
      <c r="S632" s="1">
        <v>0</v>
      </c>
      <c r="T632" s="1">
        <v>0</v>
      </c>
      <c r="U632" s="1">
        <v>4</v>
      </c>
      <c r="V632" s="1" t="s">
        <v>301</v>
      </c>
    </row>
    <row r="633" spans="1:22">
      <c r="A633" t="s">
        <v>197</v>
      </c>
      <c r="B633" t="s">
        <v>57</v>
      </c>
      <c r="C633" t="s">
        <v>59</v>
      </c>
      <c r="D633" s="1">
        <v>0</v>
      </c>
      <c r="E633" s="1">
        <v>0</v>
      </c>
      <c r="F633" s="1">
        <v>0</v>
      </c>
      <c r="G633" s="1">
        <v>0</v>
      </c>
      <c r="H633" s="1">
        <v>0</v>
      </c>
      <c r="I633" s="1">
        <v>0</v>
      </c>
      <c r="J633" s="1">
        <v>0</v>
      </c>
      <c r="K633" s="1">
        <v>0</v>
      </c>
      <c r="L633" s="1">
        <v>0</v>
      </c>
      <c r="M633" s="1">
        <v>0</v>
      </c>
      <c r="N633" s="1">
        <v>0</v>
      </c>
      <c r="O633" s="1">
        <v>0</v>
      </c>
      <c r="P633" s="1">
        <v>0</v>
      </c>
      <c r="Q633" s="1">
        <v>0</v>
      </c>
      <c r="R633" s="1">
        <v>0</v>
      </c>
      <c r="S633" s="1">
        <v>0</v>
      </c>
      <c r="T633" s="1">
        <v>0</v>
      </c>
      <c r="U633" s="1">
        <v>0</v>
      </c>
      <c r="V633" s="1" t="s">
        <v>301</v>
      </c>
    </row>
    <row r="634" spans="1:22">
      <c r="A634" t="s">
        <v>197</v>
      </c>
      <c r="B634" t="s">
        <v>57</v>
      </c>
      <c r="C634" t="s">
        <v>60</v>
      </c>
      <c r="D634" s="1">
        <v>0</v>
      </c>
      <c r="E634" s="1">
        <v>0</v>
      </c>
      <c r="F634" s="1">
        <v>0</v>
      </c>
      <c r="G634" s="1">
        <v>0</v>
      </c>
      <c r="H634" s="1">
        <v>0</v>
      </c>
      <c r="I634" s="1">
        <v>0</v>
      </c>
      <c r="J634" s="1">
        <v>0</v>
      </c>
      <c r="K634" s="1">
        <v>0</v>
      </c>
      <c r="L634" s="1">
        <v>0</v>
      </c>
      <c r="M634" s="1">
        <v>0</v>
      </c>
      <c r="N634" s="1">
        <v>0</v>
      </c>
      <c r="O634" s="1">
        <v>0</v>
      </c>
      <c r="P634" s="1">
        <v>0</v>
      </c>
      <c r="Q634" s="1">
        <v>0</v>
      </c>
      <c r="R634" s="1">
        <v>0</v>
      </c>
      <c r="S634" s="1">
        <v>0</v>
      </c>
      <c r="T634" s="1">
        <v>0</v>
      </c>
      <c r="U634" s="1">
        <v>0</v>
      </c>
      <c r="V634" s="1" t="s">
        <v>301</v>
      </c>
    </row>
    <row r="635" spans="1:22">
      <c r="A635" t="s">
        <v>197</v>
      </c>
      <c r="B635" t="s">
        <v>57</v>
      </c>
      <c r="C635" t="s">
        <v>61</v>
      </c>
      <c r="D635" s="1">
        <v>0</v>
      </c>
      <c r="E635" s="1">
        <v>0</v>
      </c>
      <c r="F635" s="1">
        <v>0</v>
      </c>
      <c r="G635" s="1">
        <v>0</v>
      </c>
      <c r="H635" s="1">
        <v>0</v>
      </c>
      <c r="I635" s="1">
        <v>0</v>
      </c>
      <c r="J635" s="1">
        <v>0</v>
      </c>
      <c r="K635" s="1">
        <v>0</v>
      </c>
      <c r="L635" s="1">
        <v>0</v>
      </c>
      <c r="M635" s="1">
        <v>0</v>
      </c>
      <c r="N635" s="1">
        <v>0</v>
      </c>
      <c r="O635" s="1">
        <v>0</v>
      </c>
      <c r="P635" s="1">
        <v>0</v>
      </c>
      <c r="Q635" s="1">
        <v>0</v>
      </c>
      <c r="R635" s="1">
        <v>0</v>
      </c>
      <c r="S635" s="1">
        <v>0</v>
      </c>
      <c r="T635" s="1">
        <v>0</v>
      </c>
      <c r="U635" s="1">
        <v>0</v>
      </c>
      <c r="V635" s="1" t="s">
        <v>301</v>
      </c>
    </row>
    <row r="636" spans="1:22">
      <c r="A636" t="s">
        <v>197</v>
      </c>
      <c r="B636" t="s">
        <v>57</v>
      </c>
      <c r="C636" t="s">
        <v>62</v>
      </c>
      <c r="D636" s="1">
        <v>0</v>
      </c>
      <c r="E636" s="1">
        <v>0</v>
      </c>
      <c r="F636" s="1">
        <v>0</v>
      </c>
      <c r="G636" s="1">
        <v>0</v>
      </c>
      <c r="H636" s="1">
        <v>0</v>
      </c>
      <c r="I636" s="1">
        <v>0</v>
      </c>
      <c r="J636" s="1">
        <v>0</v>
      </c>
      <c r="K636" s="1">
        <v>0</v>
      </c>
      <c r="L636" s="1">
        <v>0</v>
      </c>
      <c r="M636" s="1">
        <v>0</v>
      </c>
      <c r="N636" s="1">
        <v>0</v>
      </c>
      <c r="O636" s="1">
        <v>0</v>
      </c>
      <c r="P636" s="1">
        <v>0</v>
      </c>
      <c r="Q636" s="1">
        <v>0</v>
      </c>
      <c r="R636" s="1">
        <v>0</v>
      </c>
      <c r="S636" s="1">
        <v>0</v>
      </c>
      <c r="T636" s="1">
        <v>0</v>
      </c>
      <c r="U636" s="1">
        <v>0</v>
      </c>
      <c r="V636" s="1" t="s">
        <v>301</v>
      </c>
    </row>
    <row r="637" spans="1:22">
      <c r="A637" t="s">
        <v>197</v>
      </c>
      <c r="B637" t="s">
        <v>57</v>
      </c>
      <c r="C637" t="s">
        <v>63</v>
      </c>
      <c r="D637" s="1">
        <v>0</v>
      </c>
      <c r="E637" s="1">
        <v>0</v>
      </c>
      <c r="F637" s="1">
        <v>0</v>
      </c>
      <c r="G637" s="1">
        <v>0</v>
      </c>
      <c r="H637" s="1">
        <v>0</v>
      </c>
      <c r="I637" s="1">
        <v>0</v>
      </c>
      <c r="J637" s="1">
        <v>0</v>
      </c>
      <c r="K637" s="1">
        <v>0</v>
      </c>
      <c r="L637" s="1">
        <v>0</v>
      </c>
      <c r="M637" s="1">
        <v>0</v>
      </c>
      <c r="N637" s="1">
        <v>0</v>
      </c>
      <c r="O637" s="1">
        <v>0</v>
      </c>
      <c r="P637" s="1">
        <v>0</v>
      </c>
      <c r="Q637" s="1">
        <v>0</v>
      </c>
      <c r="R637" s="1">
        <v>0</v>
      </c>
      <c r="S637" s="1">
        <v>0</v>
      </c>
      <c r="T637" s="1">
        <v>0</v>
      </c>
      <c r="U637" s="1">
        <v>0</v>
      </c>
      <c r="V637" s="1" t="s">
        <v>301</v>
      </c>
    </row>
    <row r="638" spans="1:22">
      <c r="A638" t="s">
        <v>197</v>
      </c>
      <c r="B638" t="s">
        <v>57</v>
      </c>
      <c r="C638" t="s">
        <v>64</v>
      </c>
      <c r="D638" s="1">
        <v>0</v>
      </c>
      <c r="E638" s="1">
        <v>0</v>
      </c>
      <c r="F638" s="1">
        <v>0</v>
      </c>
      <c r="G638" s="1">
        <v>0</v>
      </c>
      <c r="H638" s="1">
        <v>0</v>
      </c>
      <c r="I638" s="1">
        <v>0</v>
      </c>
      <c r="J638" s="1">
        <v>0</v>
      </c>
      <c r="K638" s="1">
        <v>0</v>
      </c>
      <c r="L638" s="1">
        <v>0</v>
      </c>
      <c r="M638" s="1">
        <v>0</v>
      </c>
      <c r="N638" s="1">
        <v>0</v>
      </c>
      <c r="O638" s="1">
        <v>0</v>
      </c>
      <c r="P638" s="1">
        <v>0</v>
      </c>
      <c r="Q638" s="1">
        <v>0</v>
      </c>
      <c r="R638" s="1">
        <v>0</v>
      </c>
      <c r="S638" s="1">
        <v>0</v>
      </c>
      <c r="T638" s="1">
        <v>0</v>
      </c>
      <c r="U638" s="1">
        <v>0</v>
      </c>
      <c r="V638" s="1" t="s">
        <v>301</v>
      </c>
    </row>
    <row r="639" spans="1:22">
      <c r="A639" t="s">
        <v>197</v>
      </c>
      <c r="B639" t="s">
        <v>57</v>
      </c>
      <c r="C639" t="s">
        <v>65</v>
      </c>
      <c r="D639" s="1">
        <v>0</v>
      </c>
      <c r="E639" s="1">
        <v>0</v>
      </c>
      <c r="F639" s="1">
        <v>0</v>
      </c>
      <c r="G639" s="1">
        <v>0</v>
      </c>
      <c r="H639" s="1">
        <v>0</v>
      </c>
      <c r="I639" s="1">
        <v>0</v>
      </c>
      <c r="J639" s="1">
        <v>0</v>
      </c>
      <c r="K639" s="1">
        <v>0</v>
      </c>
      <c r="L639" s="1">
        <v>0</v>
      </c>
      <c r="M639" s="1">
        <v>0</v>
      </c>
      <c r="N639" s="1">
        <v>0</v>
      </c>
      <c r="O639" s="1">
        <v>0</v>
      </c>
      <c r="P639" s="1">
        <v>0</v>
      </c>
      <c r="Q639" s="1">
        <v>0</v>
      </c>
      <c r="R639" s="1">
        <v>0</v>
      </c>
      <c r="S639" s="1">
        <v>0</v>
      </c>
      <c r="T639" s="1">
        <v>0</v>
      </c>
      <c r="U639" s="1">
        <v>0</v>
      </c>
      <c r="V639" s="1" t="s">
        <v>301</v>
      </c>
    </row>
    <row r="640" spans="1:22">
      <c r="A640" t="s">
        <v>55</v>
      </c>
      <c r="B640" t="s">
        <v>57</v>
      </c>
      <c r="C640" t="s">
        <v>58</v>
      </c>
      <c r="D640" s="1">
        <v>0</v>
      </c>
      <c r="E640" s="1">
        <v>0</v>
      </c>
      <c r="F640" s="1">
        <v>0</v>
      </c>
      <c r="G640" s="1">
        <v>0</v>
      </c>
      <c r="H640" s="1">
        <v>0</v>
      </c>
      <c r="I640" s="1">
        <v>0</v>
      </c>
      <c r="J640" s="1">
        <v>0</v>
      </c>
      <c r="K640" s="1">
        <v>0</v>
      </c>
      <c r="L640" s="1">
        <v>0</v>
      </c>
      <c r="M640" s="1">
        <v>0</v>
      </c>
      <c r="N640" s="1">
        <v>0</v>
      </c>
      <c r="O640" s="1">
        <v>0</v>
      </c>
      <c r="P640" s="1">
        <v>0</v>
      </c>
      <c r="Q640" s="1">
        <v>0</v>
      </c>
      <c r="R640" s="1">
        <v>0</v>
      </c>
      <c r="S640" s="1">
        <v>0</v>
      </c>
      <c r="T640" s="1">
        <v>0</v>
      </c>
      <c r="U640" s="1">
        <v>4</v>
      </c>
      <c r="V640" s="1" t="s">
        <v>301</v>
      </c>
    </row>
    <row r="641" spans="1:22">
      <c r="A641" t="s">
        <v>55</v>
      </c>
      <c r="B641" t="s">
        <v>57</v>
      </c>
      <c r="C641" t="s">
        <v>59</v>
      </c>
      <c r="D641" s="1">
        <v>0</v>
      </c>
      <c r="E641" s="1">
        <v>0</v>
      </c>
      <c r="F641" s="1">
        <v>0</v>
      </c>
      <c r="G641" s="1">
        <v>0</v>
      </c>
      <c r="H641" s="1">
        <v>0</v>
      </c>
      <c r="I641" s="1">
        <v>0</v>
      </c>
      <c r="J641" s="1">
        <v>0</v>
      </c>
      <c r="K641" s="1">
        <v>0</v>
      </c>
      <c r="L641" s="1">
        <v>0</v>
      </c>
      <c r="M641" s="1">
        <v>0</v>
      </c>
      <c r="N641" s="1">
        <v>0</v>
      </c>
      <c r="O641" s="1">
        <v>0</v>
      </c>
      <c r="P641" s="1">
        <v>0</v>
      </c>
      <c r="Q641" s="1">
        <v>0</v>
      </c>
      <c r="R641" s="1">
        <v>0</v>
      </c>
      <c r="S641" s="1">
        <v>0</v>
      </c>
      <c r="T641" s="1">
        <v>0</v>
      </c>
      <c r="U641" s="1">
        <v>0</v>
      </c>
      <c r="V641" s="1" t="s">
        <v>301</v>
      </c>
    </row>
    <row r="642" spans="1:22">
      <c r="A642" t="s">
        <v>55</v>
      </c>
      <c r="B642" t="s">
        <v>57</v>
      </c>
      <c r="C642" t="s">
        <v>60</v>
      </c>
      <c r="D642" s="1">
        <v>0</v>
      </c>
      <c r="E642" s="1">
        <v>0</v>
      </c>
      <c r="F642" s="1">
        <v>0</v>
      </c>
      <c r="G642" s="1">
        <v>0</v>
      </c>
      <c r="H642" s="1">
        <v>0</v>
      </c>
      <c r="I642" s="1">
        <v>0</v>
      </c>
      <c r="J642" s="1">
        <v>0</v>
      </c>
      <c r="K642" s="1">
        <v>0</v>
      </c>
      <c r="L642" s="1">
        <v>0</v>
      </c>
      <c r="M642" s="1">
        <v>0</v>
      </c>
      <c r="N642" s="1">
        <v>0</v>
      </c>
      <c r="O642" s="1">
        <v>0</v>
      </c>
      <c r="P642" s="1">
        <v>0</v>
      </c>
      <c r="Q642" s="1">
        <v>0</v>
      </c>
      <c r="R642" s="1">
        <v>0</v>
      </c>
      <c r="S642" s="1">
        <v>0</v>
      </c>
      <c r="T642" s="1">
        <v>0</v>
      </c>
      <c r="U642" s="1">
        <v>0</v>
      </c>
      <c r="V642" s="1" t="s">
        <v>301</v>
      </c>
    </row>
    <row r="643" spans="1:22">
      <c r="A643" t="s">
        <v>55</v>
      </c>
      <c r="B643" t="s">
        <v>57</v>
      </c>
      <c r="C643" t="s">
        <v>61</v>
      </c>
      <c r="D643" s="1">
        <v>0</v>
      </c>
      <c r="E643" s="1">
        <v>0</v>
      </c>
      <c r="F643" s="1">
        <v>0</v>
      </c>
      <c r="G643" s="1">
        <v>0</v>
      </c>
      <c r="H643" s="1">
        <v>0</v>
      </c>
      <c r="I643" s="1">
        <v>0</v>
      </c>
      <c r="J643" s="1">
        <v>0</v>
      </c>
      <c r="K643" s="1">
        <v>0</v>
      </c>
      <c r="L643" s="1">
        <v>0</v>
      </c>
      <c r="M643" s="1">
        <v>0</v>
      </c>
      <c r="N643" s="1">
        <v>0</v>
      </c>
      <c r="O643" s="1">
        <v>0</v>
      </c>
      <c r="P643" s="1">
        <v>0</v>
      </c>
      <c r="Q643" s="1">
        <v>0</v>
      </c>
      <c r="R643" s="1">
        <v>0</v>
      </c>
      <c r="S643" s="1">
        <v>0</v>
      </c>
      <c r="T643" s="1">
        <v>0</v>
      </c>
      <c r="U643" s="1">
        <v>0</v>
      </c>
      <c r="V643" s="1" t="s">
        <v>301</v>
      </c>
    </row>
    <row r="644" spans="1:22">
      <c r="A644" t="s">
        <v>55</v>
      </c>
      <c r="B644" t="s">
        <v>57</v>
      </c>
      <c r="C644" t="s">
        <v>62</v>
      </c>
      <c r="D644" s="1">
        <v>0</v>
      </c>
      <c r="E644" s="1">
        <v>0</v>
      </c>
      <c r="F644" s="1">
        <v>0</v>
      </c>
      <c r="G644" s="1">
        <v>0</v>
      </c>
      <c r="H644" s="1">
        <v>0</v>
      </c>
      <c r="I644" s="1">
        <v>0</v>
      </c>
      <c r="J644" s="1">
        <v>0</v>
      </c>
      <c r="K644" s="1">
        <v>0</v>
      </c>
      <c r="L644" s="1">
        <v>0</v>
      </c>
      <c r="M644" s="1">
        <v>0</v>
      </c>
      <c r="N644" s="1">
        <v>0</v>
      </c>
      <c r="O644" s="1">
        <v>0</v>
      </c>
      <c r="P644" s="1">
        <v>0</v>
      </c>
      <c r="Q644" s="1">
        <v>0</v>
      </c>
      <c r="R644" s="1">
        <v>0</v>
      </c>
      <c r="S644" s="1">
        <v>0</v>
      </c>
      <c r="T644" s="1">
        <v>0</v>
      </c>
      <c r="U644" s="1">
        <v>0</v>
      </c>
      <c r="V644" s="1" t="s">
        <v>301</v>
      </c>
    </row>
    <row r="645" spans="1:22">
      <c r="A645" t="s">
        <v>55</v>
      </c>
      <c r="B645" t="s">
        <v>57</v>
      </c>
      <c r="C645" t="s">
        <v>63</v>
      </c>
      <c r="D645" s="1">
        <v>0</v>
      </c>
      <c r="E645" s="1">
        <v>0</v>
      </c>
      <c r="F645" s="1">
        <v>0</v>
      </c>
      <c r="G645" s="1">
        <v>0</v>
      </c>
      <c r="H645" s="1">
        <v>0</v>
      </c>
      <c r="I645" s="1">
        <v>0</v>
      </c>
      <c r="J645" s="1">
        <v>0</v>
      </c>
      <c r="K645" s="1">
        <v>0</v>
      </c>
      <c r="L645" s="1">
        <v>0</v>
      </c>
      <c r="M645" s="1">
        <v>0</v>
      </c>
      <c r="N645" s="1">
        <v>0</v>
      </c>
      <c r="O645" s="1">
        <v>0</v>
      </c>
      <c r="P645" s="1">
        <v>0</v>
      </c>
      <c r="Q645" s="1">
        <v>0</v>
      </c>
      <c r="R645" s="1">
        <v>0</v>
      </c>
      <c r="S645" s="1">
        <v>0</v>
      </c>
      <c r="T645" s="1">
        <v>0</v>
      </c>
      <c r="U645" s="1">
        <v>0</v>
      </c>
      <c r="V645" s="1" t="s">
        <v>301</v>
      </c>
    </row>
    <row r="646" spans="1:22">
      <c r="A646" t="s">
        <v>55</v>
      </c>
      <c r="B646" t="s">
        <v>57</v>
      </c>
      <c r="C646" t="s">
        <v>64</v>
      </c>
      <c r="D646" s="1">
        <v>0</v>
      </c>
      <c r="E646" s="1">
        <v>0</v>
      </c>
      <c r="F646" s="1">
        <v>0</v>
      </c>
      <c r="G646" s="1">
        <v>0</v>
      </c>
      <c r="H646" s="1">
        <v>0</v>
      </c>
      <c r="I646" s="1">
        <v>0</v>
      </c>
      <c r="J646" s="1">
        <v>0</v>
      </c>
      <c r="K646" s="1">
        <v>0</v>
      </c>
      <c r="L646" s="1">
        <v>0</v>
      </c>
      <c r="M646" s="1">
        <v>0</v>
      </c>
      <c r="N646" s="1">
        <v>0</v>
      </c>
      <c r="O646" s="1">
        <v>0</v>
      </c>
      <c r="P646" s="1">
        <v>0</v>
      </c>
      <c r="Q646" s="1">
        <v>0</v>
      </c>
      <c r="R646" s="1">
        <v>0</v>
      </c>
      <c r="S646" s="1">
        <v>0</v>
      </c>
      <c r="T646" s="1">
        <v>0</v>
      </c>
      <c r="U646" s="1">
        <v>0</v>
      </c>
      <c r="V646" s="1" t="s">
        <v>301</v>
      </c>
    </row>
    <row r="647" spans="1:22">
      <c r="A647" t="s">
        <v>55</v>
      </c>
      <c r="B647" t="s">
        <v>57</v>
      </c>
      <c r="C647" t="s">
        <v>65</v>
      </c>
      <c r="D647" s="1">
        <v>0</v>
      </c>
      <c r="E647" s="1">
        <v>0</v>
      </c>
      <c r="F647" s="1">
        <v>0</v>
      </c>
      <c r="G647" s="1">
        <v>0</v>
      </c>
      <c r="H647" s="1">
        <v>0</v>
      </c>
      <c r="I647" s="1">
        <v>0</v>
      </c>
      <c r="J647" s="1">
        <v>0</v>
      </c>
      <c r="K647" s="1">
        <v>0</v>
      </c>
      <c r="L647" s="1">
        <v>0</v>
      </c>
      <c r="M647" s="1">
        <v>0</v>
      </c>
      <c r="N647" s="1">
        <v>0</v>
      </c>
      <c r="O647" s="1">
        <v>0</v>
      </c>
      <c r="P647" s="1">
        <v>0</v>
      </c>
      <c r="Q647" s="1">
        <v>0</v>
      </c>
      <c r="R647" s="1">
        <v>0</v>
      </c>
      <c r="S647" s="1">
        <v>0</v>
      </c>
      <c r="T647" s="1">
        <v>0</v>
      </c>
      <c r="U647" s="1">
        <v>0</v>
      </c>
      <c r="V647" s="1" t="s">
        <v>301</v>
      </c>
    </row>
    <row r="648" spans="1:22"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</row>
    <row r="649" spans="1:22"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</row>
    <row r="650" spans="1:22"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</row>
    <row r="651" spans="1:22"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</row>
    <row r="652" spans="1:22"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</row>
    <row r="653" spans="1:22"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</row>
    <row r="654" spans="1:22"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</row>
    <row r="655" spans="1:22"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</row>
    <row r="656" spans="1:22"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</row>
    <row r="657" spans="4:21"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</row>
    <row r="658" spans="4:21"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</row>
    <row r="659" spans="4:21"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</row>
    <row r="660" spans="4:21"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</row>
    <row r="661" spans="4:21"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</row>
    <row r="662" spans="4:21"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</row>
    <row r="663" spans="4:21"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</row>
    <row r="664" spans="4:21"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</row>
    <row r="665" spans="4:21"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</row>
    <row r="666" spans="4:21"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</row>
    <row r="667" spans="4:21"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</row>
    <row r="668" spans="4:21"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</row>
    <row r="669" spans="4:21"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</row>
    <row r="670" spans="4:21"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</row>
    <row r="671" spans="4:21"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</row>
    <row r="672" spans="4:21"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</row>
    <row r="673" spans="4:21"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</row>
    <row r="674" spans="4:21"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</row>
    <row r="675" spans="4:21"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</row>
    <row r="676" spans="4:21"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</row>
    <row r="677" spans="4:21"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</row>
    <row r="678" spans="4:21"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</row>
    <row r="679" spans="4:21"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</row>
    <row r="680" spans="4:21"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</row>
    <row r="681" spans="4:21"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</row>
    <row r="682" spans="4:21"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</row>
    <row r="683" spans="4:21"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</row>
    <row r="684" spans="4:21"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</row>
    <row r="685" spans="4:21"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</row>
    <row r="686" spans="4:21"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</row>
    <row r="687" spans="4:21"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</row>
    <row r="688" spans="4:21"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</row>
    <row r="689" spans="4:21"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</row>
    <row r="690" spans="4:21"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</row>
    <row r="691" spans="4:21"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</row>
    <row r="692" spans="4:21"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</row>
    <row r="693" spans="4:21"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</row>
    <row r="694" spans="4:21"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</row>
    <row r="695" spans="4:21"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</row>
    <row r="696" spans="4:21"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</row>
    <row r="697" spans="4:21"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</row>
    <row r="698" spans="4:21"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</row>
    <row r="699" spans="4:21"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</row>
    <row r="700" spans="4:21"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</row>
    <row r="701" spans="4:21"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</row>
    <row r="702" spans="4:21"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</row>
    <row r="703" spans="4:21"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</row>
    <row r="704" spans="4:21"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</row>
    <row r="705" spans="4:21"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</row>
    <row r="706" spans="4:21"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</row>
    <row r="707" spans="4:21"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</row>
    <row r="708" spans="4:21"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</row>
    <row r="709" spans="4:21"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</row>
    <row r="710" spans="4:21"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</row>
    <row r="711" spans="4:21"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</row>
    <row r="712" spans="4:21"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</row>
    <row r="713" spans="4:21"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</row>
    <row r="714" spans="4:21"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</row>
    <row r="715" spans="4:21"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</row>
    <row r="716" spans="4:21"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</row>
    <row r="717" spans="4:21"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</row>
    <row r="718" spans="4:21"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</row>
    <row r="719" spans="4:21"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</row>
    <row r="720" spans="4:21"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</row>
    <row r="721" spans="1:22"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</row>
    <row r="722" spans="1:22"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</row>
    <row r="723" spans="1:22"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</row>
    <row r="724" spans="1:22"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</row>
    <row r="725" spans="1:22"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</row>
    <row r="726" spans="1:22"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</row>
    <row r="727" spans="1:22"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</row>
    <row r="728" spans="1:22"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</row>
    <row r="729" spans="1:22">
      <c r="A729">
        <f>setup!C22</f>
        <v>3820</v>
      </c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</row>
    <row r="730" spans="1:22">
      <c r="A730" t="str">
        <f>_xlfn.CONCAT(setup!D22," - ",setup!E22)</f>
        <v>OSEP – Multiple Disabilities - Paper - OSEP_MD_P</v>
      </c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</row>
    <row r="731" spans="1:22">
      <c r="A731" t="s">
        <v>35</v>
      </c>
      <c r="B731" t="s">
        <v>36</v>
      </c>
      <c r="C731" t="s">
        <v>37</v>
      </c>
      <c r="D731" s="1" t="s">
        <v>38</v>
      </c>
      <c r="E731" s="1" t="s">
        <v>39</v>
      </c>
      <c r="F731" s="1" t="s">
        <v>40</v>
      </c>
      <c r="G731" s="1" t="s">
        <v>41</v>
      </c>
      <c r="H731" s="1" t="s">
        <v>42</v>
      </c>
      <c r="I731" s="1" t="s">
        <v>43</v>
      </c>
      <c r="J731" s="1" t="s">
        <v>44</v>
      </c>
      <c r="K731" s="1" t="s">
        <v>45</v>
      </c>
      <c r="L731" s="1" t="s">
        <v>46</v>
      </c>
      <c r="M731" s="1" t="s">
        <v>47</v>
      </c>
      <c r="N731" s="1" t="s">
        <v>48</v>
      </c>
      <c r="O731" s="1" t="s">
        <v>49</v>
      </c>
      <c r="P731" s="1" t="s">
        <v>50</v>
      </c>
      <c r="Q731" s="1" t="s">
        <v>51</v>
      </c>
      <c r="R731" s="1" t="s">
        <v>52</v>
      </c>
      <c r="S731" s="1" t="s">
        <v>53</v>
      </c>
      <c r="T731" t="s">
        <v>54</v>
      </c>
      <c r="U731" s="1" t="s">
        <v>55</v>
      </c>
      <c r="V731" t="s">
        <v>56</v>
      </c>
    </row>
    <row r="732" spans="1:22">
      <c r="A732" t="s">
        <v>197</v>
      </c>
      <c r="B732" t="s">
        <v>57</v>
      </c>
      <c r="C732" t="s">
        <v>58</v>
      </c>
      <c r="D732" s="1">
        <v>0</v>
      </c>
      <c r="E732" s="1">
        <v>0</v>
      </c>
      <c r="F732" s="1">
        <v>0</v>
      </c>
      <c r="G732" s="1">
        <v>0</v>
      </c>
      <c r="H732" s="1">
        <v>0</v>
      </c>
      <c r="I732" s="1">
        <v>0</v>
      </c>
      <c r="J732" s="1">
        <v>0</v>
      </c>
      <c r="K732" s="1">
        <v>0</v>
      </c>
      <c r="L732" s="1">
        <v>0</v>
      </c>
      <c r="M732" s="1">
        <v>0</v>
      </c>
      <c r="N732" s="1">
        <v>0</v>
      </c>
      <c r="O732" s="1">
        <v>0</v>
      </c>
      <c r="P732" s="1">
        <v>0</v>
      </c>
      <c r="Q732" s="1">
        <v>0</v>
      </c>
      <c r="R732" s="1">
        <v>0</v>
      </c>
      <c r="S732" s="1">
        <v>0</v>
      </c>
      <c r="T732" s="1">
        <v>0</v>
      </c>
      <c r="U732" s="1">
        <v>7</v>
      </c>
      <c r="V732" s="1" t="s">
        <v>301</v>
      </c>
    </row>
    <row r="733" spans="1:22">
      <c r="A733" t="s">
        <v>197</v>
      </c>
      <c r="B733" t="s">
        <v>57</v>
      </c>
      <c r="C733" t="s">
        <v>59</v>
      </c>
      <c r="D733" s="1">
        <v>0</v>
      </c>
      <c r="E733" s="1">
        <v>0</v>
      </c>
      <c r="F733" s="1">
        <v>0</v>
      </c>
      <c r="G733" s="1">
        <v>0</v>
      </c>
      <c r="H733" s="1">
        <v>1</v>
      </c>
      <c r="I733" s="1">
        <v>0</v>
      </c>
      <c r="J733" s="1">
        <v>0</v>
      </c>
      <c r="K733" s="1">
        <v>0</v>
      </c>
      <c r="L733" s="1">
        <v>0</v>
      </c>
      <c r="M733" s="1">
        <v>1</v>
      </c>
      <c r="N733" s="1">
        <v>0</v>
      </c>
      <c r="O733" s="1">
        <v>0</v>
      </c>
      <c r="P733" s="1">
        <v>0</v>
      </c>
      <c r="Q733" s="1">
        <v>1</v>
      </c>
      <c r="R733" s="1">
        <v>0</v>
      </c>
      <c r="S733" s="1">
        <v>1</v>
      </c>
      <c r="T733" s="1">
        <v>0</v>
      </c>
      <c r="U733" s="1">
        <v>1</v>
      </c>
      <c r="V733" s="1" t="s">
        <v>301</v>
      </c>
    </row>
    <row r="734" spans="1:22">
      <c r="A734" t="s">
        <v>197</v>
      </c>
      <c r="B734" t="s">
        <v>57</v>
      </c>
      <c r="C734" t="s">
        <v>60</v>
      </c>
      <c r="D734" s="1">
        <v>0</v>
      </c>
      <c r="E734" s="1">
        <v>0</v>
      </c>
      <c r="F734" s="1">
        <v>0</v>
      </c>
      <c r="G734" s="1">
        <v>0</v>
      </c>
      <c r="H734" s="1">
        <v>0</v>
      </c>
      <c r="I734" s="1">
        <v>0</v>
      </c>
      <c r="J734" s="1">
        <v>0</v>
      </c>
      <c r="K734" s="1">
        <v>0</v>
      </c>
      <c r="L734" s="1">
        <v>0</v>
      </c>
      <c r="M734" s="1">
        <v>0</v>
      </c>
      <c r="N734" s="1">
        <v>0</v>
      </c>
      <c r="O734" s="1">
        <v>0</v>
      </c>
      <c r="P734" s="1">
        <v>0</v>
      </c>
      <c r="Q734" s="1">
        <v>0</v>
      </c>
      <c r="R734" s="1">
        <v>0</v>
      </c>
      <c r="S734" s="1">
        <v>0</v>
      </c>
      <c r="T734" s="1">
        <v>0</v>
      </c>
      <c r="U734" s="1">
        <v>0</v>
      </c>
      <c r="V734" s="1" t="s">
        <v>301</v>
      </c>
    </row>
    <row r="735" spans="1:22">
      <c r="A735" t="s">
        <v>197</v>
      </c>
      <c r="B735" t="s">
        <v>57</v>
      </c>
      <c r="C735" t="s">
        <v>61</v>
      </c>
      <c r="D735" s="1">
        <v>0</v>
      </c>
      <c r="E735" s="1">
        <v>0</v>
      </c>
      <c r="F735" s="1">
        <v>0</v>
      </c>
      <c r="G735" s="1">
        <v>0</v>
      </c>
      <c r="H735" s="1">
        <v>0</v>
      </c>
      <c r="I735" s="1">
        <v>0</v>
      </c>
      <c r="J735" s="1">
        <v>0</v>
      </c>
      <c r="K735" s="1">
        <v>0</v>
      </c>
      <c r="L735" s="1">
        <v>0</v>
      </c>
      <c r="M735" s="1">
        <v>0</v>
      </c>
      <c r="N735" s="1">
        <v>0</v>
      </c>
      <c r="O735" s="1">
        <v>0</v>
      </c>
      <c r="P735" s="1">
        <v>0</v>
      </c>
      <c r="Q735" s="1">
        <v>0</v>
      </c>
      <c r="R735" s="1">
        <v>0</v>
      </c>
      <c r="S735" s="1">
        <v>0</v>
      </c>
      <c r="T735" s="1">
        <v>0</v>
      </c>
      <c r="U735" s="1">
        <v>0</v>
      </c>
      <c r="V735" s="1" t="s">
        <v>301</v>
      </c>
    </row>
    <row r="736" spans="1:22">
      <c r="A736" t="s">
        <v>197</v>
      </c>
      <c r="B736" t="s">
        <v>57</v>
      </c>
      <c r="C736" t="s">
        <v>62</v>
      </c>
      <c r="D736" s="1">
        <v>0</v>
      </c>
      <c r="E736" s="1">
        <v>0</v>
      </c>
      <c r="F736" s="1">
        <v>0</v>
      </c>
      <c r="G736" s="1">
        <v>0</v>
      </c>
      <c r="H736" s="1">
        <v>0</v>
      </c>
      <c r="I736" s="1">
        <v>0</v>
      </c>
      <c r="J736" s="1">
        <v>0</v>
      </c>
      <c r="K736" s="1">
        <v>0</v>
      </c>
      <c r="L736" s="1">
        <v>0</v>
      </c>
      <c r="M736" s="1">
        <v>0</v>
      </c>
      <c r="N736" s="1">
        <v>0</v>
      </c>
      <c r="O736" s="1">
        <v>0</v>
      </c>
      <c r="P736" s="1">
        <v>0</v>
      </c>
      <c r="Q736" s="1">
        <v>0</v>
      </c>
      <c r="R736" s="1">
        <v>0</v>
      </c>
      <c r="S736" s="1">
        <v>0</v>
      </c>
      <c r="T736" s="1">
        <v>0</v>
      </c>
      <c r="U736" s="1">
        <v>0</v>
      </c>
      <c r="V736" s="1" t="s">
        <v>301</v>
      </c>
    </row>
    <row r="737" spans="1:22">
      <c r="A737" t="s">
        <v>197</v>
      </c>
      <c r="B737" t="s">
        <v>57</v>
      </c>
      <c r="C737" t="s">
        <v>63</v>
      </c>
      <c r="D737" s="1">
        <v>0</v>
      </c>
      <c r="E737" s="1">
        <v>0</v>
      </c>
      <c r="F737" s="1">
        <v>0</v>
      </c>
      <c r="G737" s="1">
        <v>0</v>
      </c>
      <c r="H737" s="1">
        <v>0</v>
      </c>
      <c r="I737" s="1">
        <v>0</v>
      </c>
      <c r="J737" s="1">
        <v>0</v>
      </c>
      <c r="K737" s="1">
        <v>0</v>
      </c>
      <c r="L737" s="1">
        <v>0</v>
      </c>
      <c r="M737" s="1">
        <v>0</v>
      </c>
      <c r="N737" s="1">
        <v>0</v>
      </c>
      <c r="O737" s="1">
        <v>0</v>
      </c>
      <c r="P737" s="1">
        <v>0</v>
      </c>
      <c r="Q737" s="1">
        <v>0</v>
      </c>
      <c r="R737" s="1">
        <v>0</v>
      </c>
      <c r="S737" s="1">
        <v>0</v>
      </c>
      <c r="T737" s="1">
        <v>0</v>
      </c>
      <c r="U737" s="1">
        <v>0</v>
      </c>
      <c r="V737" s="1" t="s">
        <v>301</v>
      </c>
    </row>
    <row r="738" spans="1:22">
      <c r="A738" t="s">
        <v>197</v>
      </c>
      <c r="B738" t="s">
        <v>57</v>
      </c>
      <c r="C738" t="s">
        <v>64</v>
      </c>
      <c r="D738" s="1">
        <v>0</v>
      </c>
      <c r="E738" s="1">
        <v>0</v>
      </c>
      <c r="F738" s="1">
        <v>0</v>
      </c>
      <c r="G738" s="1">
        <v>0</v>
      </c>
      <c r="H738" s="1">
        <v>1</v>
      </c>
      <c r="I738" s="1">
        <v>0</v>
      </c>
      <c r="J738" s="1">
        <v>0</v>
      </c>
      <c r="K738" s="1">
        <v>0</v>
      </c>
      <c r="L738" s="1">
        <v>0</v>
      </c>
      <c r="M738" s="1">
        <v>1</v>
      </c>
      <c r="N738" s="1">
        <v>0</v>
      </c>
      <c r="O738" s="1">
        <v>0</v>
      </c>
      <c r="P738" s="1">
        <v>0</v>
      </c>
      <c r="Q738" s="1">
        <v>1</v>
      </c>
      <c r="R738" s="1">
        <v>0</v>
      </c>
      <c r="S738" s="1">
        <v>1</v>
      </c>
      <c r="T738" s="1">
        <v>0</v>
      </c>
      <c r="U738" s="1">
        <v>1</v>
      </c>
      <c r="V738" s="1" t="s">
        <v>301</v>
      </c>
    </row>
    <row r="739" spans="1:22">
      <c r="A739" t="s">
        <v>197</v>
      </c>
      <c r="B739" t="s">
        <v>57</v>
      </c>
      <c r="C739" t="s">
        <v>65</v>
      </c>
      <c r="D739" s="1">
        <v>0</v>
      </c>
      <c r="E739" s="1">
        <v>0</v>
      </c>
      <c r="F739" s="1">
        <v>0</v>
      </c>
      <c r="G739" s="1">
        <v>0</v>
      </c>
      <c r="H739" s="1">
        <v>0</v>
      </c>
      <c r="I739" s="1">
        <v>0</v>
      </c>
      <c r="J739" s="1">
        <v>0</v>
      </c>
      <c r="K739" s="1">
        <v>0</v>
      </c>
      <c r="L739" s="1">
        <v>0</v>
      </c>
      <c r="M739" s="1">
        <v>0</v>
      </c>
      <c r="N739" s="1">
        <v>0</v>
      </c>
      <c r="O739" s="1">
        <v>0</v>
      </c>
      <c r="P739" s="1">
        <v>0</v>
      </c>
      <c r="Q739" s="1">
        <v>0</v>
      </c>
      <c r="R739" s="1">
        <v>0</v>
      </c>
      <c r="S739" s="1">
        <v>0</v>
      </c>
      <c r="T739" s="1">
        <v>0</v>
      </c>
      <c r="U739" s="1">
        <v>0</v>
      </c>
      <c r="V739" s="1" t="s">
        <v>301</v>
      </c>
    </row>
    <row r="740" spans="1:22">
      <c r="A740" t="s">
        <v>55</v>
      </c>
      <c r="B740" t="s">
        <v>57</v>
      </c>
      <c r="C740" t="s">
        <v>58</v>
      </c>
      <c r="D740" s="1">
        <v>0</v>
      </c>
      <c r="E740" s="1">
        <v>0</v>
      </c>
      <c r="F740" s="1">
        <v>0</v>
      </c>
      <c r="G740" s="1">
        <v>0</v>
      </c>
      <c r="H740" s="1">
        <v>0</v>
      </c>
      <c r="I740" s="1">
        <v>0</v>
      </c>
      <c r="J740" s="1">
        <v>0</v>
      </c>
      <c r="K740" s="1">
        <v>0</v>
      </c>
      <c r="L740" s="1">
        <v>0</v>
      </c>
      <c r="M740" s="1">
        <v>0</v>
      </c>
      <c r="N740" s="1">
        <v>0</v>
      </c>
      <c r="O740" s="1">
        <v>0</v>
      </c>
      <c r="P740" s="1">
        <v>0</v>
      </c>
      <c r="Q740" s="1">
        <v>0</v>
      </c>
      <c r="R740" s="1">
        <v>0</v>
      </c>
      <c r="S740" s="1">
        <v>0</v>
      </c>
      <c r="T740" s="1">
        <v>0</v>
      </c>
      <c r="U740" s="1">
        <v>7</v>
      </c>
      <c r="V740" s="1" t="s">
        <v>301</v>
      </c>
    </row>
    <row r="741" spans="1:22">
      <c r="A741" t="s">
        <v>55</v>
      </c>
      <c r="B741" t="s">
        <v>57</v>
      </c>
      <c r="C741" t="s">
        <v>59</v>
      </c>
      <c r="D741" s="1">
        <v>0</v>
      </c>
      <c r="E741" s="1">
        <v>0</v>
      </c>
      <c r="F741" s="1">
        <v>0</v>
      </c>
      <c r="G741" s="1">
        <v>0</v>
      </c>
      <c r="H741" s="1">
        <v>1</v>
      </c>
      <c r="I741" s="1">
        <v>0</v>
      </c>
      <c r="J741" s="1">
        <v>0</v>
      </c>
      <c r="K741" s="1">
        <v>0</v>
      </c>
      <c r="L741" s="1">
        <v>0</v>
      </c>
      <c r="M741" s="1">
        <v>1</v>
      </c>
      <c r="N741" s="1">
        <v>0</v>
      </c>
      <c r="O741" s="1">
        <v>0</v>
      </c>
      <c r="P741" s="1">
        <v>0</v>
      </c>
      <c r="Q741" s="1">
        <v>1</v>
      </c>
      <c r="R741" s="1">
        <v>0</v>
      </c>
      <c r="S741" s="1">
        <v>1</v>
      </c>
      <c r="T741" s="1">
        <v>0</v>
      </c>
      <c r="U741" s="1">
        <v>1</v>
      </c>
      <c r="V741" s="1" t="s">
        <v>301</v>
      </c>
    </row>
    <row r="742" spans="1:22">
      <c r="A742" t="s">
        <v>55</v>
      </c>
      <c r="B742" t="s">
        <v>57</v>
      </c>
      <c r="C742" t="s">
        <v>60</v>
      </c>
      <c r="D742" s="1">
        <v>0</v>
      </c>
      <c r="E742" s="1">
        <v>0</v>
      </c>
      <c r="F742" s="1">
        <v>0</v>
      </c>
      <c r="G742" s="1">
        <v>0</v>
      </c>
      <c r="H742" s="1">
        <v>0</v>
      </c>
      <c r="I742" s="1">
        <v>0</v>
      </c>
      <c r="J742" s="1">
        <v>0</v>
      </c>
      <c r="K742" s="1">
        <v>0</v>
      </c>
      <c r="L742" s="1">
        <v>0</v>
      </c>
      <c r="M742" s="1">
        <v>0</v>
      </c>
      <c r="N742" s="1">
        <v>0</v>
      </c>
      <c r="O742" s="1">
        <v>0</v>
      </c>
      <c r="P742" s="1">
        <v>0</v>
      </c>
      <c r="Q742" s="1">
        <v>0</v>
      </c>
      <c r="R742" s="1">
        <v>0</v>
      </c>
      <c r="S742" s="1">
        <v>0</v>
      </c>
      <c r="T742" s="1">
        <v>0</v>
      </c>
      <c r="U742" s="1">
        <v>0</v>
      </c>
      <c r="V742" s="1" t="s">
        <v>301</v>
      </c>
    </row>
    <row r="743" spans="1:22">
      <c r="A743" t="s">
        <v>55</v>
      </c>
      <c r="B743" t="s">
        <v>57</v>
      </c>
      <c r="C743" t="s">
        <v>61</v>
      </c>
      <c r="D743" s="1">
        <v>0</v>
      </c>
      <c r="E743" s="1">
        <v>0</v>
      </c>
      <c r="F743" s="1">
        <v>0</v>
      </c>
      <c r="G743" s="1">
        <v>0</v>
      </c>
      <c r="H743" s="1">
        <v>0</v>
      </c>
      <c r="I743" s="1">
        <v>0</v>
      </c>
      <c r="J743" s="1">
        <v>0</v>
      </c>
      <c r="K743" s="1">
        <v>0</v>
      </c>
      <c r="L743" s="1">
        <v>0</v>
      </c>
      <c r="M743" s="1">
        <v>0</v>
      </c>
      <c r="N743" s="1">
        <v>0</v>
      </c>
      <c r="O743" s="1">
        <v>0</v>
      </c>
      <c r="P743" s="1">
        <v>0</v>
      </c>
      <c r="Q743" s="1">
        <v>0</v>
      </c>
      <c r="R743" s="1">
        <v>0</v>
      </c>
      <c r="S743" s="1">
        <v>0</v>
      </c>
      <c r="T743" s="1">
        <v>0</v>
      </c>
      <c r="U743" s="1">
        <v>0</v>
      </c>
      <c r="V743" s="1" t="s">
        <v>301</v>
      </c>
    </row>
    <row r="744" spans="1:22">
      <c r="A744" t="s">
        <v>55</v>
      </c>
      <c r="B744" t="s">
        <v>57</v>
      </c>
      <c r="C744" t="s">
        <v>62</v>
      </c>
      <c r="D744" s="1">
        <v>0</v>
      </c>
      <c r="E744" s="1">
        <v>0</v>
      </c>
      <c r="F744" s="1">
        <v>0</v>
      </c>
      <c r="G744" s="1">
        <v>0</v>
      </c>
      <c r="H744" s="1">
        <v>0</v>
      </c>
      <c r="I744" s="1">
        <v>0</v>
      </c>
      <c r="J744" s="1">
        <v>0</v>
      </c>
      <c r="K744" s="1">
        <v>0</v>
      </c>
      <c r="L744" s="1">
        <v>0</v>
      </c>
      <c r="M744" s="1">
        <v>0</v>
      </c>
      <c r="N744" s="1">
        <v>0</v>
      </c>
      <c r="O744" s="1">
        <v>0</v>
      </c>
      <c r="P744" s="1">
        <v>0</v>
      </c>
      <c r="Q744" s="1">
        <v>0</v>
      </c>
      <c r="R744" s="1">
        <v>0</v>
      </c>
      <c r="S744" s="1">
        <v>0</v>
      </c>
      <c r="T744" s="1">
        <v>0</v>
      </c>
      <c r="U744" s="1">
        <v>0</v>
      </c>
      <c r="V744" s="1" t="s">
        <v>301</v>
      </c>
    </row>
    <row r="745" spans="1:22">
      <c r="A745" t="s">
        <v>55</v>
      </c>
      <c r="B745" t="s">
        <v>57</v>
      </c>
      <c r="C745" t="s">
        <v>63</v>
      </c>
      <c r="D745" s="1">
        <v>0</v>
      </c>
      <c r="E745" s="1">
        <v>0</v>
      </c>
      <c r="F745" s="1">
        <v>0</v>
      </c>
      <c r="G745" s="1">
        <v>0</v>
      </c>
      <c r="H745" s="1">
        <v>0</v>
      </c>
      <c r="I745" s="1">
        <v>0</v>
      </c>
      <c r="J745" s="1">
        <v>0</v>
      </c>
      <c r="K745" s="1">
        <v>0</v>
      </c>
      <c r="L745" s="1">
        <v>0</v>
      </c>
      <c r="M745" s="1">
        <v>0</v>
      </c>
      <c r="N745" s="1">
        <v>0</v>
      </c>
      <c r="O745" s="1">
        <v>0</v>
      </c>
      <c r="P745" s="1">
        <v>0</v>
      </c>
      <c r="Q745" s="1">
        <v>0</v>
      </c>
      <c r="R745" s="1">
        <v>0</v>
      </c>
      <c r="S745" s="1">
        <v>0</v>
      </c>
      <c r="T745" s="1">
        <v>0</v>
      </c>
      <c r="U745" s="1">
        <v>0</v>
      </c>
      <c r="V745" s="1" t="s">
        <v>301</v>
      </c>
    </row>
    <row r="746" spans="1:22">
      <c r="A746" t="s">
        <v>55</v>
      </c>
      <c r="B746" t="s">
        <v>57</v>
      </c>
      <c r="C746" t="s">
        <v>64</v>
      </c>
      <c r="D746" s="1">
        <v>0</v>
      </c>
      <c r="E746" s="1">
        <v>0</v>
      </c>
      <c r="F746" s="1">
        <v>0</v>
      </c>
      <c r="G746" s="1">
        <v>0</v>
      </c>
      <c r="H746" s="1">
        <v>1</v>
      </c>
      <c r="I746" s="1">
        <v>0</v>
      </c>
      <c r="J746" s="1">
        <v>0</v>
      </c>
      <c r="K746" s="1">
        <v>0</v>
      </c>
      <c r="L746" s="1">
        <v>0</v>
      </c>
      <c r="M746" s="1">
        <v>1</v>
      </c>
      <c r="N746" s="1">
        <v>0</v>
      </c>
      <c r="O746" s="1">
        <v>0</v>
      </c>
      <c r="P746" s="1">
        <v>0</v>
      </c>
      <c r="Q746" s="1">
        <v>1</v>
      </c>
      <c r="R746" s="1">
        <v>0</v>
      </c>
      <c r="S746" s="1">
        <v>1</v>
      </c>
      <c r="T746" s="1">
        <v>0</v>
      </c>
      <c r="U746" s="1">
        <v>1</v>
      </c>
      <c r="V746" s="1" t="s">
        <v>301</v>
      </c>
    </row>
    <row r="747" spans="1:22">
      <c r="A747" t="s">
        <v>55</v>
      </c>
      <c r="B747" t="s">
        <v>57</v>
      </c>
      <c r="C747" t="s">
        <v>65</v>
      </c>
      <c r="D747" s="1">
        <v>0</v>
      </c>
      <c r="E747" s="1">
        <v>0</v>
      </c>
      <c r="F747" s="1">
        <v>0</v>
      </c>
      <c r="G747" s="1">
        <v>0</v>
      </c>
      <c r="H747" s="1">
        <v>0</v>
      </c>
      <c r="I747" s="1">
        <v>0</v>
      </c>
      <c r="J747" s="1">
        <v>0</v>
      </c>
      <c r="K747" s="1">
        <v>0</v>
      </c>
      <c r="L747" s="1">
        <v>0</v>
      </c>
      <c r="M747" s="1">
        <v>0</v>
      </c>
      <c r="N747" s="1">
        <v>0</v>
      </c>
      <c r="O747" s="1">
        <v>0</v>
      </c>
      <c r="P747" s="1">
        <v>0</v>
      </c>
      <c r="Q747" s="1">
        <v>0</v>
      </c>
      <c r="R747" s="1">
        <v>0</v>
      </c>
      <c r="S747" s="1">
        <v>0</v>
      </c>
      <c r="T747" s="1">
        <v>0</v>
      </c>
      <c r="U747" s="1">
        <v>0</v>
      </c>
      <c r="V747" s="1" t="s">
        <v>301</v>
      </c>
    </row>
    <row r="748" spans="1:22"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</row>
    <row r="749" spans="1:22"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</row>
    <row r="750" spans="1:22"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</row>
    <row r="751" spans="1:22"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</row>
    <row r="752" spans="1:22"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</row>
    <row r="753" spans="4:22"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</row>
    <row r="754" spans="4:22"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</row>
    <row r="755" spans="4:22"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</row>
    <row r="756" spans="4:22"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</row>
    <row r="757" spans="4:22"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</row>
    <row r="758" spans="4:22"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</row>
    <row r="759" spans="4:22"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</row>
    <row r="760" spans="4:22"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</row>
    <row r="761" spans="4:22"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</row>
    <row r="762" spans="4:22"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</row>
    <row r="763" spans="4:22"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</row>
    <row r="764" spans="4:22"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</row>
    <row r="765" spans="4:22"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</row>
    <row r="766" spans="4:22"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</row>
    <row r="767" spans="4:22"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</row>
    <row r="768" spans="4:22"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</row>
    <row r="769" spans="4:22"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</row>
    <row r="770" spans="4:22"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</row>
    <row r="771" spans="4:22"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</row>
    <row r="772" spans="4:22"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</row>
    <row r="773" spans="4:22"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</row>
    <row r="774" spans="4:22"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</row>
    <row r="775" spans="4:22"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</row>
    <row r="776" spans="4:22"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</row>
    <row r="777" spans="4:22"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</row>
    <row r="778" spans="4:22"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</row>
    <row r="779" spans="4:22"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</row>
    <row r="780" spans="4:22"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</row>
    <row r="781" spans="4:22"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</row>
    <row r="782" spans="4:22"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</row>
    <row r="783" spans="4:22"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</row>
    <row r="784" spans="4:22"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</row>
    <row r="785" spans="4:22"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</row>
    <row r="786" spans="4:22"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</row>
    <row r="787" spans="4:22"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</row>
    <row r="788" spans="4:22"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</row>
    <row r="789" spans="4:22"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</row>
    <row r="790" spans="4:22"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</row>
    <row r="791" spans="4:22"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</row>
    <row r="792" spans="4:22"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</row>
    <row r="793" spans="4:22"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</row>
    <row r="794" spans="4:22"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</row>
    <row r="795" spans="4:22"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</row>
    <row r="796" spans="4:22"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</row>
    <row r="797" spans="4:22"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</row>
    <row r="798" spans="4:22"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</row>
    <row r="799" spans="4:22"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</row>
    <row r="800" spans="4:22"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</row>
    <row r="801" spans="4:22"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</row>
    <row r="802" spans="4:22"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</row>
    <row r="803" spans="4:22"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</row>
    <row r="804" spans="4:22"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</row>
    <row r="805" spans="4:22"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</row>
    <row r="806" spans="4:22"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</row>
    <row r="807" spans="4:22"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</row>
    <row r="808" spans="4:22"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</row>
    <row r="809" spans="4:22"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</row>
    <row r="810" spans="4:22"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</row>
    <row r="811" spans="4:22"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</row>
    <row r="812" spans="4:22"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</row>
    <row r="813" spans="4:22"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</row>
    <row r="814" spans="4:22"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</row>
    <row r="815" spans="4:22"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</row>
    <row r="816" spans="4:22"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</row>
    <row r="817" spans="1:22"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</row>
    <row r="818" spans="1:22"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</row>
    <row r="819" spans="1:22"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</row>
    <row r="820" spans="1:22"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</row>
    <row r="821" spans="1:22"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</row>
    <row r="822" spans="1:22"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</row>
    <row r="823" spans="1:22"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</row>
    <row r="824" spans="1:22"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</row>
    <row r="825" spans="1:22"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</row>
    <row r="826" spans="1:22"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</row>
    <row r="827" spans="1:22"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</row>
    <row r="829" spans="1:22">
      <c r="A829" s="1">
        <f>setup!C23</f>
        <v>3832</v>
      </c>
    </row>
    <row r="830" spans="1:22">
      <c r="A830" t="str">
        <f>_xlfn.CONCAT(setup!D23," - ",setup!E23)</f>
        <v>OSEP – Multiple Disabilities - Digital - OSEP_MD_D</v>
      </c>
      <c r="D830" s="1"/>
      <c r="E830" s="1"/>
      <c r="F830" s="1"/>
      <c r="G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</row>
    <row r="831" spans="1:22">
      <c r="A831" t="s">
        <v>35</v>
      </c>
      <c r="B831" t="s">
        <v>36</v>
      </c>
      <c r="C831" t="s">
        <v>37</v>
      </c>
      <c r="D831" s="1" t="s">
        <v>38</v>
      </c>
      <c r="E831" s="1" t="s">
        <v>39</v>
      </c>
      <c r="F831" s="1" t="s">
        <v>40</v>
      </c>
      <c r="G831" s="1" t="s">
        <v>41</v>
      </c>
      <c r="H831" s="1" t="s">
        <v>42</v>
      </c>
      <c r="I831" s="1" t="s">
        <v>43</v>
      </c>
      <c r="J831" s="1" t="s">
        <v>44</v>
      </c>
      <c r="K831" s="1" t="s">
        <v>45</v>
      </c>
      <c r="L831" s="1" t="s">
        <v>46</v>
      </c>
      <c r="M831" s="1" t="s">
        <v>47</v>
      </c>
      <c r="N831" s="1" t="s">
        <v>48</v>
      </c>
      <c r="O831" s="1" t="s">
        <v>49</v>
      </c>
      <c r="P831" s="1" t="s">
        <v>50</v>
      </c>
      <c r="Q831" s="1" t="s">
        <v>51</v>
      </c>
      <c r="R831" s="1" t="s">
        <v>52</v>
      </c>
      <c r="S831" s="1" t="s">
        <v>53</v>
      </c>
      <c r="T831" t="s">
        <v>54</v>
      </c>
      <c r="U831" s="1" t="s">
        <v>55</v>
      </c>
      <c r="V831" t="s">
        <v>56</v>
      </c>
    </row>
    <row r="832" spans="1:22">
      <c r="A832" t="s">
        <v>197</v>
      </c>
      <c r="B832" t="s">
        <v>57</v>
      </c>
      <c r="C832" t="s">
        <v>58</v>
      </c>
      <c r="D832" s="1">
        <v>0</v>
      </c>
      <c r="E832" s="1">
        <v>0</v>
      </c>
      <c r="F832" s="1">
        <v>0</v>
      </c>
      <c r="G832" s="1">
        <v>0</v>
      </c>
      <c r="H832" s="1">
        <v>0</v>
      </c>
      <c r="I832" s="1">
        <v>0</v>
      </c>
      <c r="J832" s="1">
        <v>0</v>
      </c>
      <c r="K832" s="1">
        <v>0</v>
      </c>
      <c r="L832" s="1">
        <v>0</v>
      </c>
      <c r="M832" s="1">
        <v>0</v>
      </c>
      <c r="N832" s="1">
        <v>0</v>
      </c>
      <c r="O832" s="1">
        <v>0</v>
      </c>
      <c r="P832" s="1">
        <v>0</v>
      </c>
      <c r="Q832" s="1">
        <v>0</v>
      </c>
      <c r="R832" s="1">
        <v>0</v>
      </c>
      <c r="S832" s="1">
        <v>0</v>
      </c>
      <c r="T832" s="1">
        <v>0</v>
      </c>
      <c r="U832" s="1">
        <v>2</v>
      </c>
      <c r="V832" s="1" t="s">
        <v>301</v>
      </c>
    </row>
    <row r="833" spans="1:22">
      <c r="A833" t="s">
        <v>197</v>
      </c>
      <c r="B833" t="s">
        <v>57</v>
      </c>
      <c r="C833" t="s">
        <v>59</v>
      </c>
      <c r="D833" s="1">
        <v>0</v>
      </c>
      <c r="E833" s="1">
        <v>0</v>
      </c>
      <c r="F833" s="1">
        <v>0</v>
      </c>
      <c r="G833" s="1">
        <v>0</v>
      </c>
      <c r="H833" s="1">
        <v>0</v>
      </c>
      <c r="I833" s="1">
        <v>0</v>
      </c>
      <c r="J833" s="1">
        <v>0</v>
      </c>
      <c r="K833" s="1">
        <v>0</v>
      </c>
      <c r="L833" s="1">
        <v>0</v>
      </c>
      <c r="M833" s="1">
        <v>0</v>
      </c>
      <c r="N833" s="1">
        <v>0</v>
      </c>
      <c r="O833" s="1">
        <v>0</v>
      </c>
      <c r="P833" s="1">
        <v>0</v>
      </c>
      <c r="Q833" s="1">
        <v>0</v>
      </c>
      <c r="R833" s="1">
        <v>0</v>
      </c>
      <c r="S833" s="1">
        <v>0</v>
      </c>
      <c r="T833" s="1">
        <v>0</v>
      </c>
      <c r="U833" s="1">
        <v>0</v>
      </c>
      <c r="V833" s="1" t="s">
        <v>301</v>
      </c>
    </row>
    <row r="834" spans="1:22">
      <c r="A834" t="s">
        <v>197</v>
      </c>
      <c r="B834" t="s">
        <v>57</v>
      </c>
      <c r="C834" t="s">
        <v>60</v>
      </c>
      <c r="D834" s="1">
        <v>0</v>
      </c>
      <c r="E834" s="1">
        <v>0</v>
      </c>
      <c r="F834" s="1">
        <v>0</v>
      </c>
      <c r="G834" s="1">
        <v>0</v>
      </c>
      <c r="H834" s="1">
        <v>0</v>
      </c>
      <c r="I834" s="1">
        <v>0</v>
      </c>
      <c r="J834" s="1">
        <v>0</v>
      </c>
      <c r="K834" s="1">
        <v>0</v>
      </c>
      <c r="L834" s="1">
        <v>0</v>
      </c>
      <c r="M834" s="1">
        <v>0</v>
      </c>
      <c r="N834" s="1">
        <v>0</v>
      </c>
      <c r="O834" s="1">
        <v>0</v>
      </c>
      <c r="P834" s="1">
        <v>0</v>
      </c>
      <c r="Q834" s="1">
        <v>0</v>
      </c>
      <c r="R834" s="1">
        <v>0</v>
      </c>
      <c r="S834" s="1">
        <v>0</v>
      </c>
      <c r="T834" s="1">
        <v>0</v>
      </c>
      <c r="U834" s="1">
        <v>0</v>
      </c>
      <c r="V834" s="1" t="s">
        <v>301</v>
      </c>
    </row>
    <row r="835" spans="1:22">
      <c r="A835" t="s">
        <v>197</v>
      </c>
      <c r="B835" t="s">
        <v>57</v>
      </c>
      <c r="C835" t="s">
        <v>61</v>
      </c>
      <c r="D835" s="1">
        <v>0</v>
      </c>
      <c r="E835" s="1">
        <v>0</v>
      </c>
      <c r="F835" s="1">
        <v>0</v>
      </c>
      <c r="G835" s="1">
        <v>0</v>
      </c>
      <c r="H835" s="1">
        <v>0</v>
      </c>
      <c r="I835" s="1">
        <v>0</v>
      </c>
      <c r="J835" s="1">
        <v>0</v>
      </c>
      <c r="K835" s="1">
        <v>0</v>
      </c>
      <c r="L835" s="1">
        <v>0</v>
      </c>
      <c r="M835" s="1">
        <v>0</v>
      </c>
      <c r="N835" s="1">
        <v>0</v>
      </c>
      <c r="O835" s="1">
        <v>0</v>
      </c>
      <c r="P835" s="1">
        <v>0</v>
      </c>
      <c r="Q835" s="1">
        <v>0</v>
      </c>
      <c r="R835" s="1">
        <v>0</v>
      </c>
      <c r="S835" s="1">
        <v>0</v>
      </c>
      <c r="T835" s="1">
        <v>0</v>
      </c>
      <c r="U835" s="1">
        <v>0</v>
      </c>
      <c r="V835" s="1" t="s">
        <v>301</v>
      </c>
    </row>
    <row r="836" spans="1:22">
      <c r="A836" t="s">
        <v>197</v>
      </c>
      <c r="B836" t="s">
        <v>57</v>
      </c>
      <c r="C836" t="s">
        <v>62</v>
      </c>
      <c r="D836" s="1">
        <v>0</v>
      </c>
      <c r="E836" s="1">
        <v>0</v>
      </c>
      <c r="F836" s="1">
        <v>0</v>
      </c>
      <c r="G836" s="1">
        <v>0</v>
      </c>
      <c r="H836" s="1">
        <v>0</v>
      </c>
      <c r="I836" s="1">
        <v>0</v>
      </c>
      <c r="J836" s="1">
        <v>0</v>
      </c>
      <c r="K836" s="1">
        <v>0</v>
      </c>
      <c r="L836" s="1">
        <v>0</v>
      </c>
      <c r="M836" s="1">
        <v>0</v>
      </c>
      <c r="N836" s="1">
        <v>0</v>
      </c>
      <c r="O836" s="1">
        <v>0</v>
      </c>
      <c r="P836" s="1">
        <v>0</v>
      </c>
      <c r="Q836" s="1">
        <v>0</v>
      </c>
      <c r="R836" s="1">
        <v>0</v>
      </c>
      <c r="S836" s="1">
        <v>0</v>
      </c>
      <c r="T836" s="1">
        <v>0</v>
      </c>
      <c r="U836" s="1">
        <v>0</v>
      </c>
      <c r="V836" s="1" t="s">
        <v>301</v>
      </c>
    </row>
    <row r="837" spans="1:22">
      <c r="A837" t="s">
        <v>197</v>
      </c>
      <c r="B837" t="s">
        <v>57</v>
      </c>
      <c r="C837" t="s">
        <v>63</v>
      </c>
      <c r="D837" s="1">
        <v>0</v>
      </c>
      <c r="E837" s="1">
        <v>0</v>
      </c>
      <c r="F837" s="1">
        <v>0</v>
      </c>
      <c r="G837" s="1">
        <v>0</v>
      </c>
      <c r="H837" s="1">
        <v>0</v>
      </c>
      <c r="I837" s="1">
        <v>0</v>
      </c>
      <c r="J837" s="1">
        <v>0</v>
      </c>
      <c r="K837" s="1">
        <v>0</v>
      </c>
      <c r="L837" s="1">
        <v>0</v>
      </c>
      <c r="M837" s="1">
        <v>0</v>
      </c>
      <c r="N837" s="1">
        <v>0</v>
      </c>
      <c r="O837" s="1">
        <v>0</v>
      </c>
      <c r="P837" s="1">
        <v>0</v>
      </c>
      <c r="Q837" s="1">
        <v>0</v>
      </c>
      <c r="R837" s="1">
        <v>0</v>
      </c>
      <c r="S837" s="1">
        <v>0</v>
      </c>
      <c r="T837" s="1">
        <v>0</v>
      </c>
      <c r="U837" s="1">
        <v>0</v>
      </c>
      <c r="V837" s="1" t="s">
        <v>301</v>
      </c>
    </row>
    <row r="838" spans="1:22">
      <c r="A838" t="s">
        <v>197</v>
      </c>
      <c r="B838" t="s">
        <v>57</v>
      </c>
      <c r="C838" t="s">
        <v>64</v>
      </c>
      <c r="D838" s="1">
        <v>0</v>
      </c>
      <c r="E838" s="1">
        <v>0</v>
      </c>
      <c r="F838" s="1">
        <v>0</v>
      </c>
      <c r="G838" s="1">
        <v>0</v>
      </c>
      <c r="H838" s="1">
        <v>0</v>
      </c>
      <c r="I838" s="1">
        <v>0</v>
      </c>
      <c r="J838" s="1">
        <v>0</v>
      </c>
      <c r="K838" s="1">
        <v>0</v>
      </c>
      <c r="L838" s="1">
        <v>0</v>
      </c>
      <c r="M838" s="1">
        <v>0</v>
      </c>
      <c r="N838" s="1">
        <v>0</v>
      </c>
      <c r="O838" s="1">
        <v>0</v>
      </c>
      <c r="P838" s="1">
        <v>0</v>
      </c>
      <c r="Q838" s="1">
        <v>0</v>
      </c>
      <c r="R838" s="1">
        <v>0</v>
      </c>
      <c r="S838" s="1">
        <v>0</v>
      </c>
      <c r="T838" s="1">
        <v>0</v>
      </c>
      <c r="U838" s="1">
        <v>0</v>
      </c>
      <c r="V838" s="1" t="s">
        <v>301</v>
      </c>
    </row>
    <row r="839" spans="1:22">
      <c r="A839" t="s">
        <v>197</v>
      </c>
      <c r="B839" t="s">
        <v>57</v>
      </c>
      <c r="C839" t="s">
        <v>65</v>
      </c>
      <c r="D839" s="1">
        <v>0</v>
      </c>
      <c r="E839" s="1">
        <v>0</v>
      </c>
      <c r="F839" s="1">
        <v>0</v>
      </c>
      <c r="G839" s="1">
        <v>0</v>
      </c>
      <c r="H839" s="1">
        <v>0</v>
      </c>
      <c r="I839" s="1">
        <v>0</v>
      </c>
      <c r="J839" s="1">
        <v>0</v>
      </c>
      <c r="K839" s="1">
        <v>0</v>
      </c>
      <c r="L839" s="1">
        <v>0</v>
      </c>
      <c r="M839" s="1">
        <v>0</v>
      </c>
      <c r="N839" s="1">
        <v>0</v>
      </c>
      <c r="O839" s="1">
        <v>0</v>
      </c>
      <c r="P839" s="1">
        <v>0</v>
      </c>
      <c r="Q839" s="1">
        <v>0</v>
      </c>
      <c r="R839" s="1">
        <v>0</v>
      </c>
      <c r="S839" s="1">
        <v>0</v>
      </c>
      <c r="T839" s="1">
        <v>0</v>
      </c>
      <c r="U839" s="1">
        <v>0</v>
      </c>
      <c r="V839" s="1" t="s">
        <v>301</v>
      </c>
    </row>
    <row r="840" spans="1:22">
      <c r="A840" t="s">
        <v>55</v>
      </c>
      <c r="B840" t="s">
        <v>57</v>
      </c>
      <c r="C840" t="s">
        <v>58</v>
      </c>
      <c r="D840" s="1">
        <v>0</v>
      </c>
      <c r="E840" s="1">
        <v>0</v>
      </c>
      <c r="F840" s="1">
        <v>0</v>
      </c>
      <c r="G840" s="1">
        <v>0</v>
      </c>
      <c r="H840" s="1">
        <v>0</v>
      </c>
      <c r="I840" s="1">
        <v>0</v>
      </c>
      <c r="J840" s="1">
        <v>0</v>
      </c>
      <c r="K840" s="1">
        <v>0</v>
      </c>
      <c r="L840" s="1">
        <v>0</v>
      </c>
      <c r="M840" s="1">
        <v>0</v>
      </c>
      <c r="N840" s="1">
        <v>0</v>
      </c>
      <c r="O840" s="1">
        <v>0</v>
      </c>
      <c r="P840" s="1">
        <v>0</v>
      </c>
      <c r="Q840" s="1">
        <v>0</v>
      </c>
      <c r="R840" s="1">
        <v>0</v>
      </c>
      <c r="S840" s="1">
        <v>0</v>
      </c>
      <c r="T840" s="1">
        <v>0</v>
      </c>
      <c r="U840" s="1">
        <v>2</v>
      </c>
      <c r="V840" s="1" t="s">
        <v>301</v>
      </c>
    </row>
    <row r="841" spans="1:22">
      <c r="A841" t="s">
        <v>55</v>
      </c>
      <c r="B841" t="s">
        <v>57</v>
      </c>
      <c r="C841" t="s">
        <v>59</v>
      </c>
      <c r="D841" s="1">
        <v>0</v>
      </c>
      <c r="E841" s="1">
        <v>0</v>
      </c>
      <c r="F841" s="1">
        <v>0</v>
      </c>
      <c r="G841" s="1">
        <v>0</v>
      </c>
      <c r="H841" s="1">
        <v>0</v>
      </c>
      <c r="I841" s="1">
        <v>0</v>
      </c>
      <c r="J841" s="1">
        <v>0</v>
      </c>
      <c r="K841" s="1">
        <v>0</v>
      </c>
      <c r="L841" s="1">
        <v>0</v>
      </c>
      <c r="M841" s="1">
        <v>0</v>
      </c>
      <c r="N841" s="1">
        <v>0</v>
      </c>
      <c r="O841" s="1">
        <v>0</v>
      </c>
      <c r="P841" s="1">
        <v>0</v>
      </c>
      <c r="Q841" s="1">
        <v>0</v>
      </c>
      <c r="R841" s="1">
        <v>0</v>
      </c>
      <c r="S841" s="1">
        <v>0</v>
      </c>
      <c r="T841" s="1">
        <v>0</v>
      </c>
      <c r="U841" s="1">
        <v>0</v>
      </c>
      <c r="V841" s="1" t="s">
        <v>301</v>
      </c>
    </row>
    <row r="842" spans="1:22">
      <c r="A842" t="s">
        <v>55</v>
      </c>
      <c r="B842" t="s">
        <v>57</v>
      </c>
      <c r="C842" t="s">
        <v>60</v>
      </c>
      <c r="D842" s="1">
        <v>0</v>
      </c>
      <c r="E842" s="1">
        <v>0</v>
      </c>
      <c r="F842" s="1">
        <v>0</v>
      </c>
      <c r="G842" s="1">
        <v>0</v>
      </c>
      <c r="H842" s="1">
        <v>0</v>
      </c>
      <c r="I842" s="1">
        <v>0</v>
      </c>
      <c r="J842" s="1">
        <v>0</v>
      </c>
      <c r="K842" s="1">
        <v>0</v>
      </c>
      <c r="L842" s="1">
        <v>0</v>
      </c>
      <c r="M842" s="1">
        <v>0</v>
      </c>
      <c r="N842" s="1">
        <v>0</v>
      </c>
      <c r="O842" s="1">
        <v>0</v>
      </c>
      <c r="P842" s="1">
        <v>0</v>
      </c>
      <c r="Q842" s="1">
        <v>0</v>
      </c>
      <c r="R842" s="1">
        <v>0</v>
      </c>
      <c r="S842" s="1">
        <v>0</v>
      </c>
      <c r="T842" s="1">
        <v>0</v>
      </c>
      <c r="U842" s="1">
        <v>0</v>
      </c>
      <c r="V842" s="1" t="s">
        <v>301</v>
      </c>
    </row>
    <row r="843" spans="1:22">
      <c r="A843" t="s">
        <v>55</v>
      </c>
      <c r="B843" t="s">
        <v>57</v>
      </c>
      <c r="C843" t="s">
        <v>61</v>
      </c>
      <c r="D843" s="1">
        <v>0</v>
      </c>
      <c r="E843" s="1">
        <v>0</v>
      </c>
      <c r="F843" s="1">
        <v>0</v>
      </c>
      <c r="G843" s="1">
        <v>0</v>
      </c>
      <c r="H843" s="1">
        <v>0</v>
      </c>
      <c r="I843" s="1">
        <v>0</v>
      </c>
      <c r="J843" s="1">
        <v>0</v>
      </c>
      <c r="K843" s="1">
        <v>0</v>
      </c>
      <c r="L843" s="1">
        <v>0</v>
      </c>
      <c r="M843" s="1">
        <v>0</v>
      </c>
      <c r="N843" s="1">
        <v>0</v>
      </c>
      <c r="O843" s="1">
        <v>0</v>
      </c>
      <c r="P843" s="1">
        <v>0</v>
      </c>
      <c r="Q843" s="1">
        <v>0</v>
      </c>
      <c r="R843" s="1">
        <v>0</v>
      </c>
      <c r="S843" s="1">
        <v>0</v>
      </c>
      <c r="T843" s="1">
        <v>0</v>
      </c>
      <c r="U843" s="1">
        <v>0</v>
      </c>
      <c r="V843" s="1" t="s">
        <v>301</v>
      </c>
    </row>
    <row r="844" spans="1:22">
      <c r="A844" t="s">
        <v>55</v>
      </c>
      <c r="B844" t="s">
        <v>57</v>
      </c>
      <c r="C844" t="s">
        <v>62</v>
      </c>
      <c r="D844" s="1">
        <v>0</v>
      </c>
      <c r="E844" s="1">
        <v>0</v>
      </c>
      <c r="F844" s="1">
        <v>0</v>
      </c>
      <c r="G844" s="1">
        <v>0</v>
      </c>
      <c r="H844" s="1">
        <v>0</v>
      </c>
      <c r="I844" s="1">
        <v>0</v>
      </c>
      <c r="J844" s="1">
        <v>0</v>
      </c>
      <c r="K844" s="1">
        <v>0</v>
      </c>
      <c r="L844" s="1">
        <v>0</v>
      </c>
      <c r="M844" s="1">
        <v>0</v>
      </c>
      <c r="N844" s="1">
        <v>0</v>
      </c>
      <c r="O844" s="1">
        <v>0</v>
      </c>
      <c r="P844" s="1">
        <v>0</v>
      </c>
      <c r="Q844" s="1">
        <v>0</v>
      </c>
      <c r="R844" s="1">
        <v>0</v>
      </c>
      <c r="S844" s="1">
        <v>0</v>
      </c>
      <c r="T844" s="1">
        <v>0</v>
      </c>
      <c r="U844" s="1">
        <v>0</v>
      </c>
      <c r="V844" s="1" t="s">
        <v>301</v>
      </c>
    </row>
    <row r="845" spans="1:22">
      <c r="A845" t="s">
        <v>55</v>
      </c>
      <c r="B845" t="s">
        <v>57</v>
      </c>
      <c r="C845" t="s">
        <v>63</v>
      </c>
      <c r="D845" s="1">
        <v>0</v>
      </c>
      <c r="E845" s="1">
        <v>0</v>
      </c>
      <c r="F845" s="1">
        <v>0</v>
      </c>
      <c r="G845" s="1">
        <v>0</v>
      </c>
      <c r="H845" s="1">
        <v>0</v>
      </c>
      <c r="I845" s="1">
        <v>0</v>
      </c>
      <c r="J845" s="1">
        <v>0</v>
      </c>
      <c r="K845" s="1">
        <v>0</v>
      </c>
      <c r="L845" s="1">
        <v>0</v>
      </c>
      <c r="M845" s="1">
        <v>0</v>
      </c>
      <c r="N845" s="1">
        <v>0</v>
      </c>
      <c r="O845" s="1">
        <v>0</v>
      </c>
      <c r="P845" s="1">
        <v>0</v>
      </c>
      <c r="Q845" s="1">
        <v>0</v>
      </c>
      <c r="R845" s="1">
        <v>0</v>
      </c>
      <c r="S845" s="1">
        <v>0</v>
      </c>
      <c r="T845" s="1">
        <v>0</v>
      </c>
      <c r="U845" s="1">
        <v>0</v>
      </c>
      <c r="V845" s="1" t="s">
        <v>301</v>
      </c>
    </row>
    <row r="846" spans="1:22">
      <c r="A846" t="s">
        <v>55</v>
      </c>
      <c r="B846" t="s">
        <v>57</v>
      </c>
      <c r="C846" t="s">
        <v>64</v>
      </c>
      <c r="D846" s="1">
        <v>0</v>
      </c>
      <c r="E846" s="1">
        <v>0</v>
      </c>
      <c r="F846" s="1">
        <v>0</v>
      </c>
      <c r="G846" s="1">
        <v>0</v>
      </c>
      <c r="H846" s="1">
        <v>0</v>
      </c>
      <c r="I846" s="1">
        <v>0</v>
      </c>
      <c r="J846" s="1">
        <v>0</v>
      </c>
      <c r="K846" s="1">
        <v>0</v>
      </c>
      <c r="L846" s="1">
        <v>0</v>
      </c>
      <c r="M846" s="1">
        <v>0</v>
      </c>
      <c r="N846" s="1">
        <v>0</v>
      </c>
      <c r="O846" s="1">
        <v>0</v>
      </c>
      <c r="P846" s="1">
        <v>0</v>
      </c>
      <c r="Q846" s="1">
        <v>0</v>
      </c>
      <c r="R846" s="1">
        <v>0</v>
      </c>
      <c r="S846" s="1">
        <v>0</v>
      </c>
      <c r="T846" s="1">
        <v>0</v>
      </c>
      <c r="U846" s="1">
        <v>0</v>
      </c>
      <c r="V846" s="1" t="s">
        <v>301</v>
      </c>
    </row>
    <row r="847" spans="1:22">
      <c r="A847" t="s">
        <v>55</v>
      </c>
      <c r="B847" t="s">
        <v>57</v>
      </c>
      <c r="C847" t="s">
        <v>65</v>
      </c>
      <c r="D847" s="1">
        <v>0</v>
      </c>
      <c r="E847" s="1">
        <v>0</v>
      </c>
      <c r="F847" s="1">
        <v>0</v>
      </c>
      <c r="G847" s="1">
        <v>0</v>
      </c>
      <c r="H847" s="1">
        <v>0</v>
      </c>
      <c r="I847" s="1">
        <v>0</v>
      </c>
      <c r="J847" s="1">
        <v>0</v>
      </c>
      <c r="K847" s="1">
        <v>0</v>
      </c>
      <c r="L847" s="1">
        <v>0</v>
      </c>
      <c r="M847" s="1">
        <v>0</v>
      </c>
      <c r="N847" s="1">
        <v>0</v>
      </c>
      <c r="O847" s="1">
        <v>0</v>
      </c>
      <c r="P847" s="1">
        <v>0</v>
      </c>
      <c r="Q847" s="1">
        <v>0</v>
      </c>
      <c r="R847" s="1">
        <v>0</v>
      </c>
      <c r="S847" s="1">
        <v>0</v>
      </c>
      <c r="T847" s="1">
        <v>0</v>
      </c>
      <c r="U847" s="1">
        <v>0</v>
      </c>
      <c r="V847" s="1" t="s">
        <v>301</v>
      </c>
    </row>
    <row r="929" spans="1:22">
      <c r="A929" s="1">
        <f>setup!C24</f>
        <v>3821</v>
      </c>
    </row>
    <row r="930" spans="1:22">
      <c r="A930" t="str">
        <f>_xlfn.CONCAT(setup!D24," - ",setup!E24)</f>
        <v>OSEP – Orthopedic Impairment - Paper - OSEP_OI_P</v>
      </c>
      <c r="D930" s="1"/>
      <c r="E930" s="1"/>
      <c r="F930" s="1"/>
      <c r="G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</row>
    <row r="931" spans="1:22">
      <c r="A931" t="s">
        <v>35</v>
      </c>
      <c r="B931" t="s">
        <v>36</v>
      </c>
      <c r="C931" t="s">
        <v>37</v>
      </c>
      <c r="D931" s="1" t="s">
        <v>38</v>
      </c>
      <c r="E931" s="1" t="s">
        <v>39</v>
      </c>
      <c r="F931" s="1" t="s">
        <v>40</v>
      </c>
      <c r="G931" s="1" t="s">
        <v>41</v>
      </c>
      <c r="H931" s="1" t="s">
        <v>42</v>
      </c>
      <c r="I931" s="1" t="s">
        <v>43</v>
      </c>
      <c r="J931" s="1" t="s">
        <v>44</v>
      </c>
      <c r="K931" s="1" t="s">
        <v>45</v>
      </c>
      <c r="L931" s="1" t="s">
        <v>46</v>
      </c>
      <c r="M931" s="1" t="s">
        <v>47</v>
      </c>
      <c r="N931" s="1" t="s">
        <v>48</v>
      </c>
      <c r="O931" s="1" t="s">
        <v>49</v>
      </c>
      <c r="P931" s="1" t="s">
        <v>50</v>
      </c>
      <c r="Q931" s="1" t="s">
        <v>51</v>
      </c>
      <c r="R931" s="1" t="s">
        <v>52</v>
      </c>
      <c r="S931" s="1" t="s">
        <v>53</v>
      </c>
      <c r="T931" t="s">
        <v>54</v>
      </c>
      <c r="U931" s="1" t="s">
        <v>55</v>
      </c>
      <c r="V931" t="s">
        <v>56</v>
      </c>
    </row>
    <row r="932" spans="1:22">
      <c r="A932" t="s">
        <v>197</v>
      </c>
      <c r="B932" t="s">
        <v>57</v>
      </c>
      <c r="C932" t="s">
        <v>58</v>
      </c>
      <c r="D932" s="1">
        <v>0</v>
      </c>
      <c r="E932" s="1">
        <v>0</v>
      </c>
      <c r="F932" s="1">
        <v>0</v>
      </c>
      <c r="G932" s="1">
        <v>0</v>
      </c>
      <c r="H932" s="1">
        <v>0</v>
      </c>
      <c r="I932" s="1">
        <v>0</v>
      </c>
      <c r="J932" s="1">
        <v>0</v>
      </c>
      <c r="K932" s="1">
        <v>0</v>
      </c>
      <c r="L932" s="1">
        <v>0</v>
      </c>
      <c r="M932" s="1">
        <v>0</v>
      </c>
      <c r="N932" s="1">
        <v>0</v>
      </c>
      <c r="O932" s="1">
        <v>0</v>
      </c>
      <c r="P932" s="1">
        <v>0</v>
      </c>
      <c r="Q932" s="1">
        <v>0</v>
      </c>
      <c r="R932" s="1">
        <v>0</v>
      </c>
      <c r="S932" s="1">
        <v>0</v>
      </c>
      <c r="T932" s="1">
        <v>0</v>
      </c>
      <c r="U932" s="1">
        <v>2</v>
      </c>
      <c r="V932" s="1" t="s">
        <v>301</v>
      </c>
    </row>
    <row r="933" spans="1:22">
      <c r="A933" t="s">
        <v>197</v>
      </c>
      <c r="B933" t="s">
        <v>57</v>
      </c>
      <c r="C933" t="s">
        <v>59</v>
      </c>
      <c r="D933" s="1">
        <v>1</v>
      </c>
      <c r="E933" s="1">
        <v>1</v>
      </c>
      <c r="F933" s="1">
        <v>0</v>
      </c>
      <c r="G933" s="1">
        <v>0</v>
      </c>
      <c r="H933" s="1">
        <v>0</v>
      </c>
      <c r="I933" s="1">
        <v>0</v>
      </c>
      <c r="J933" s="1">
        <v>0</v>
      </c>
      <c r="K933" s="1">
        <v>0</v>
      </c>
      <c r="L933" s="1">
        <v>2</v>
      </c>
      <c r="M933" s="1">
        <v>0</v>
      </c>
      <c r="N933" s="1">
        <v>1</v>
      </c>
      <c r="O933" s="1">
        <v>0</v>
      </c>
      <c r="P933" s="1">
        <v>1</v>
      </c>
      <c r="Q933" s="1">
        <v>0</v>
      </c>
      <c r="R933" s="1">
        <v>2</v>
      </c>
      <c r="S933" s="1">
        <v>0</v>
      </c>
      <c r="T933" s="1">
        <v>0</v>
      </c>
      <c r="U933" s="1">
        <v>2</v>
      </c>
      <c r="V933" s="1" t="s">
        <v>301</v>
      </c>
    </row>
    <row r="934" spans="1:22">
      <c r="A934" t="s">
        <v>197</v>
      </c>
      <c r="B934" t="s">
        <v>57</v>
      </c>
      <c r="C934" t="s">
        <v>60</v>
      </c>
      <c r="D934" s="1">
        <v>0</v>
      </c>
      <c r="E934" s="1">
        <v>0</v>
      </c>
      <c r="F934" s="1">
        <v>0</v>
      </c>
      <c r="G934" s="1">
        <v>0</v>
      </c>
      <c r="H934" s="1">
        <v>0</v>
      </c>
      <c r="I934" s="1">
        <v>0</v>
      </c>
      <c r="J934" s="1">
        <v>0</v>
      </c>
      <c r="K934" s="1">
        <v>0</v>
      </c>
      <c r="L934" s="1">
        <v>0</v>
      </c>
      <c r="M934" s="1">
        <v>0</v>
      </c>
      <c r="N934" s="1">
        <v>0</v>
      </c>
      <c r="O934" s="1">
        <v>0</v>
      </c>
      <c r="P934" s="1">
        <v>0</v>
      </c>
      <c r="Q934" s="1">
        <v>0</v>
      </c>
      <c r="R934" s="1">
        <v>0</v>
      </c>
      <c r="S934" s="1">
        <v>0</v>
      </c>
      <c r="T934" s="1">
        <v>0</v>
      </c>
      <c r="U934" s="1">
        <v>0</v>
      </c>
      <c r="V934" s="1" t="s">
        <v>301</v>
      </c>
    </row>
    <row r="935" spans="1:22">
      <c r="A935" t="s">
        <v>197</v>
      </c>
      <c r="B935" t="s">
        <v>57</v>
      </c>
      <c r="C935" t="s">
        <v>61</v>
      </c>
      <c r="D935" s="1">
        <v>0</v>
      </c>
      <c r="E935" s="1">
        <v>0</v>
      </c>
      <c r="F935" s="1">
        <v>0</v>
      </c>
      <c r="G935" s="1">
        <v>0</v>
      </c>
      <c r="H935" s="1">
        <v>0</v>
      </c>
      <c r="I935" s="1">
        <v>0</v>
      </c>
      <c r="J935" s="1">
        <v>0</v>
      </c>
      <c r="K935" s="1">
        <v>0</v>
      </c>
      <c r="L935" s="1">
        <v>0</v>
      </c>
      <c r="M935" s="1">
        <v>0</v>
      </c>
      <c r="N935" s="1">
        <v>0</v>
      </c>
      <c r="O935" s="1">
        <v>0</v>
      </c>
      <c r="P935" s="1">
        <v>0</v>
      </c>
      <c r="Q935" s="1">
        <v>0</v>
      </c>
      <c r="R935" s="1">
        <v>0</v>
      </c>
      <c r="S935" s="1">
        <v>0</v>
      </c>
      <c r="T935" s="1">
        <v>0</v>
      </c>
      <c r="U935" s="1">
        <v>0</v>
      </c>
      <c r="V935" s="1" t="s">
        <v>301</v>
      </c>
    </row>
    <row r="936" spans="1:22">
      <c r="A936" t="s">
        <v>197</v>
      </c>
      <c r="B936" t="s">
        <v>57</v>
      </c>
      <c r="C936" t="s">
        <v>62</v>
      </c>
      <c r="D936" s="1">
        <v>0</v>
      </c>
      <c r="E936" s="1">
        <v>0</v>
      </c>
      <c r="F936" s="1">
        <v>0</v>
      </c>
      <c r="G936" s="1">
        <v>0</v>
      </c>
      <c r="H936" s="1">
        <v>0</v>
      </c>
      <c r="I936" s="1">
        <v>0</v>
      </c>
      <c r="J936" s="1">
        <v>0</v>
      </c>
      <c r="K936" s="1">
        <v>0</v>
      </c>
      <c r="L936" s="1">
        <v>0</v>
      </c>
      <c r="M936" s="1">
        <v>0</v>
      </c>
      <c r="N936" s="1">
        <v>0</v>
      </c>
      <c r="O936" s="1">
        <v>0</v>
      </c>
      <c r="P936" s="1">
        <v>0</v>
      </c>
      <c r="Q936" s="1">
        <v>0</v>
      </c>
      <c r="R936" s="1">
        <v>0</v>
      </c>
      <c r="S936" s="1">
        <v>0</v>
      </c>
      <c r="T936" s="1">
        <v>0</v>
      </c>
      <c r="U936" s="1">
        <v>0</v>
      </c>
      <c r="V936" s="1" t="s">
        <v>301</v>
      </c>
    </row>
    <row r="937" spans="1:22">
      <c r="A937" t="s">
        <v>197</v>
      </c>
      <c r="B937" t="s">
        <v>57</v>
      </c>
      <c r="C937" t="s">
        <v>63</v>
      </c>
      <c r="D937" s="1">
        <v>0</v>
      </c>
      <c r="E937" s="1">
        <v>0</v>
      </c>
      <c r="F937" s="1">
        <v>0</v>
      </c>
      <c r="G937" s="1">
        <v>0</v>
      </c>
      <c r="H937" s="1">
        <v>0</v>
      </c>
      <c r="I937" s="1">
        <v>0</v>
      </c>
      <c r="J937" s="1">
        <v>0</v>
      </c>
      <c r="K937" s="1">
        <v>0</v>
      </c>
      <c r="L937" s="1">
        <v>0</v>
      </c>
      <c r="M937" s="1">
        <v>0</v>
      </c>
      <c r="N937" s="1">
        <v>0</v>
      </c>
      <c r="O937" s="1">
        <v>0</v>
      </c>
      <c r="P937" s="1">
        <v>0</v>
      </c>
      <c r="Q937" s="1">
        <v>0</v>
      </c>
      <c r="R937" s="1">
        <v>0</v>
      </c>
      <c r="S937" s="1">
        <v>0</v>
      </c>
      <c r="T937" s="1">
        <v>0</v>
      </c>
      <c r="U937" s="1">
        <v>0</v>
      </c>
      <c r="V937" s="1" t="s">
        <v>301</v>
      </c>
    </row>
    <row r="938" spans="1:22">
      <c r="A938" t="s">
        <v>197</v>
      </c>
      <c r="B938" t="s">
        <v>57</v>
      </c>
      <c r="C938" t="s">
        <v>64</v>
      </c>
      <c r="D938" s="1">
        <v>1</v>
      </c>
      <c r="E938" s="1">
        <v>1</v>
      </c>
      <c r="F938" s="1">
        <v>0</v>
      </c>
      <c r="G938" s="1">
        <v>0</v>
      </c>
      <c r="H938" s="1">
        <v>0</v>
      </c>
      <c r="I938" s="1">
        <v>0</v>
      </c>
      <c r="J938" s="1">
        <v>0</v>
      </c>
      <c r="K938" s="1">
        <v>0</v>
      </c>
      <c r="L938" s="1">
        <v>2</v>
      </c>
      <c r="M938" s="1">
        <v>0</v>
      </c>
      <c r="N938" s="1">
        <v>1</v>
      </c>
      <c r="O938" s="1">
        <v>0</v>
      </c>
      <c r="P938" s="1">
        <v>1</v>
      </c>
      <c r="Q938" s="1">
        <v>0</v>
      </c>
      <c r="R938" s="1">
        <v>2</v>
      </c>
      <c r="S938" s="1">
        <v>0</v>
      </c>
      <c r="T938" s="1">
        <v>0</v>
      </c>
      <c r="U938" s="1">
        <v>2</v>
      </c>
      <c r="V938" s="1" t="s">
        <v>301</v>
      </c>
    </row>
    <row r="939" spans="1:22">
      <c r="A939" t="s">
        <v>197</v>
      </c>
      <c r="B939" t="s">
        <v>57</v>
      </c>
      <c r="C939" t="s">
        <v>65</v>
      </c>
      <c r="D939" s="1">
        <v>0</v>
      </c>
      <c r="E939" s="1">
        <v>0</v>
      </c>
      <c r="F939" s="1">
        <v>0</v>
      </c>
      <c r="G939" s="1">
        <v>0</v>
      </c>
      <c r="H939" s="1">
        <v>0</v>
      </c>
      <c r="I939" s="1">
        <v>0</v>
      </c>
      <c r="J939" s="1">
        <v>0</v>
      </c>
      <c r="K939" s="1">
        <v>0</v>
      </c>
      <c r="L939" s="1">
        <v>0</v>
      </c>
      <c r="M939" s="1">
        <v>0</v>
      </c>
      <c r="N939" s="1">
        <v>0</v>
      </c>
      <c r="O939" s="1">
        <v>0</v>
      </c>
      <c r="P939" s="1">
        <v>0</v>
      </c>
      <c r="Q939" s="1">
        <v>0</v>
      </c>
      <c r="R939" s="1">
        <v>0</v>
      </c>
      <c r="S939" s="1">
        <v>0</v>
      </c>
      <c r="T939" s="1">
        <v>0</v>
      </c>
      <c r="U939" s="1">
        <v>0</v>
      </c>
      <c r="V939" s="1" t="s">
        <v>301</v>
      </c>
    </row>
    <row r="940" spans="1:22">
      <c r="A940" t="s">
        <v>55</v>
      </c>
      <c r="B940" t="s">
        <v>57</v>
      </c>
      <c r="C940" t="s">
        <v>58</v>
      </c>
      <c r="D940" s="1">
        <v>0</v>
      </c>
      <c r="E940" s="1">
        <v>0</v>
      </c>
      <c r="F940" s="1">
        <v>0</v>
      </c>
      <c r="G940" s="1">
        <v>0</v>
      </c>
      <c r="H940" s="1">
        <v>0</v>
      </c>
      <c r="I940" s="1">
        <v>0</v>
      </c>
      <c r="J940" s="1">
        <v>0</v>
      </c>
      <c r="K940" s="1">
        <v>0</v>
      </c>
      <c r="L940" s="1">
        <v>0</v>
      </c>
      <c r="M940" s="1">
        <v>0</v>
      </c>
      <c r="N940" s="1">
        <v>0</v>
      </c>
      <c r="O940" s="1">
        <v>0</v>
      </c>
      <c r="P940" s="1">
        <v>0</v>
      </c>
      <c r="Q940" s="1">
        <v>0</v>
      </c>
      <c r="R940" s="1">
        <v>0</v>
      </c>
      <c r="S940" s="1">
        <v>0</v>
      </c>
      <c r="T940" s="1">
        <v>0</v>
      </c>
      <c r="U940" s="1">
        <v>2</v>
      </c>
      <c r="V940" s="1" t="s">
        <v>301</v>
      </c>
    </row>
    <row r="941" spans="1:22">
      <c r="A941" t="s">
        <v>55</v>
      </c>
      <c r="B941" t="s">
        <v>57</v>
      </c>
      <c r="C941" t="s">
        <v>59</v>
      </c>
      <c r="D941" s="1">
        <v>1</v>
      </c>
      <c r="E941" s="1">
        <v>1</v>
      </c>
      <c r="F941" s="1">
        <v>0</v>
      </c>
      <c r="G941" s="1">
        <v>0</v>
      </c>
      <c r="H941" s="1">
        <v>0</v>
      </c>
      <c r="I941" s="1">
        <v>0</v>
      </c>
      <c r="J941" s="1">
        <v>0</v>
      </c>
      <c r="K941" s="1">
        <v>0</v>
      </c>
      <c r="L941" s="1">
        <v>2</v>
      </c>
      <c r="M941" s="1">
        <v>0</v>
      </c>
      <c r="N941" s="1">
        <v>1</v>
      </c>
      <c r="O941" s="1">
        <v>0</v>
      </c>
      <c r="P941" s="1">
        <v>1</v>
      </c>
      <c r="Q941" s="1">
        <v>0</v>
      </c>
      <c r="R941" s="1">
        <v>2</v>
      </c>
      <c r="S941" s="1">
        <v>0</v>
      </c>
      <c r="T941" s="1">
        <v>0</v>
      </c>
      <c r="U941" s="1">
        <v>2</v>
      </c>
      <c r="V941" s="1" t="s">
        <v>301</v>
      </c>
    </row>
    <row r="942" spans="1:22">
      <c r="A942" t="s">
        <v>55</v>
      </c>
      <c r="B942" t="s">
        <v>57</v>
      </c>
      <c r="C942" t="s">
        <v>60</v>
      </c>
      <c r="D942" s="1">
        <v>0</v>
      </c>
      <c r="E942" s="1">
        <v>0</v>
      </c>
      <c r="F942" s="1">
        <v>0</v>
      </c>
      <c r="G942" s="1">
        <v>0</v>
      </c>
      <c r="H942" s="1">
        <v>0</v>
      </c>
      <c r="I942" s="1">
        <v>0</v>
      </c>
      <c r="J942" s="1">
        <v>0</v>
      </c>
      <c r="K942" s="1">
        <v>0</v>
      </c>
      <c r="L942" s="1">
        <v>0</v>
      </c>
      <c r="M942" s="1">
        <v>0</v>
      </c>
      <c r="N942" s="1">
        <v>0</v>
      </c>
      <c r="O942" s="1">
        <v>0</v>
      </c>
      <c r="P942" s="1">
        <v>0</v>
      </c>
      <c r="Q942" s="1">
        <v>0</v>
      </c>
      <c r="R942" s="1">
        <v>0</v>
      </c>
      <c r="S942" s="1">
        <v>0</v>
      </c>
      <c r="T942" s="1">
        <v>0</v>
      </c>
      <c r="U942" s="1">
        <v>0</v>
      </c>
      <c r="V942" s="1" t="s">
        <v>301</v>
      </c>
    </row>
    <row r="943" spans="1:22">
      <c r="A943" t="s">
        <v>55</v>
      </c>
      <c r="B943" t="s">
        <v>57</v>
      </c>
      <c r="C943" t="s">
        <v>61</v>
      </c>
      <c r="D943" s="1">
        <v>0</v>
      </c>
      <c r="E943" s="1">
        <v>0</v>
      </c>
      <c r="F943" s="1">
        <v>0</v>
      </c>
      <c r="G943" s="1">
        <v>0</v>
      </c>
      <c r="H943" s="1">
        <v>0</v>
      </c>
      <c r="I943" s="1">
        <v>0</v>
      </c>
      <c r="J943" s="1">
        <v>0</v>
      </c>
      <c r="K943" s="1">
        <v>0</v>
      </c>
      <c r="L943" s="1">
        <v>0</v>
      </c>
      <c r="M943" s="1">
        <v>0</v>
      </c>
      <c r="N943" s="1">
        <v>0</v>
      </c>
      <c r="O943" s="1">
        <v>0</v>
      </c>
      <c r="P943" s="1">
        <v>0</v>
      </c>
      <c r="Q943" s="1">
        <v>0</v>
      </c>
      <c r="R943" s="1">
        <v>0</v>
      </c>
      <c r="S943" s="1">
        <v>0</v>
      </c>
      <c r="T943" s="1">
        <v>0</v>
      </c>
      <c r="U943" s="1">
        <v>0</v>
      </c>
      <c r="V943" s="1" t="s">
        <v>301</v>
      </c>
    </row>
    <row r="944" spans="1:22">
      <c r="A944" t="s">
        <v>55</v>
      </c>
      <c r="B944" t="s">
        <v>57</v>
      </c>
      <c r="C944" t="s">
        <v>62</v>
      </c>
      <c r="D944" s="1">
        <v>0</v>
      </c>
      <c r="E944" s="1">
        <v>0</v>
      </c>
      <c r="F944" s="1">
        <v>0</v>
      </c>
      <c r="G944" s="1">
        <v>0</v>
      </c>
      <c r="H944" s="1">
        <v>0</v>
      </c>
      <c r="I944" s="1">
        <v>0</v>
      </c>
      <c r="J944" s="1">
        <v>0</v>
      </c>
      <c r="K944" s="1">
        <v>0</v>
      </c>
      <c r="L944" s="1">
        <v>0</v>
      </c>
      <c r="M944" s="1">
        <v>0</v>
      </c>
      <c r="N944" s="1">
        <v>0</v>
      </c>
      <c r="O944" s="1">
        <v>0</v>
      </c>
      <c r="P944" s="1">
        <v>0</v>
      </c>
      <c r="Q944" s="1">
        <v>0</v>
      </c>
      <c r="R944" s="1">
        <v>0</v>
      </c>
      <c r="S944" s="1">
        <v>0</v>
      </c>
      <c r="T944" s="1">
        <v>0</v>
      </c>
      <c r="U944" s="1">
        <v>0</v>
      </c>
      <c r="V944" s="1" t="s">
        <v>301</v>
      </c>
    </row>
    <row r="945" spans="1:22">
      <c r="A945" t="s">
        <v>55</v>
      </c>
      <c r="B945" t="s">
        <v>57</v>
      </c>
      <c r="C945" t="s">
        <v>63</v>
      </c>
      <c r="D945" s="1">
        <v>0</v>
      </c>
      <c r="E945" s="1">
        <v>0</v>
      </c>
      <c r="F945" s="1">
        <v>0</v>
      </c>
      <c r="G945" s="1">
        <v>0</v>
      </c>
      <c r="H945" s="1">
        <v>0</v>
      </c>
      <c r="I945" s="1">
        <v>0</v>
      </c>
      <c r="J945" s="1">
        <v>0</v>
      </c>
      <c r="K945" s="1">
        <v>0</v>
      </c>
      <c r="L945" s="1">
        <v>0</v>
      </c>
      <c r="M945" s="1">
        <v>0</v>
      </c>
      <c r="N945" s="1">
        <v>0</v>
      </c>
      <c r="O945" s="1">
        <v>0</v>
      </c>
      <c r="P945" s="1">
        <v>0</v>
      </c>
      <c r="Q945" s="1">
        <v>0</v>
      </c>
      <c r="R945" s="1">
        <v>0</v>
      </c>
      <c r="S945" s="1">
        <v>0</v>
      </c>
      <c r="T945" s="1">
        <v>0</v>
      </c>
      <c r="U945" s="1">
        <v>0</v>
      </c>
      <c r="V945" s="1" t="s">
        <v>301</v>
      </c>
    </row>
    <row r="946" spans="1:22">
      <c r="A946" t="s">
        <v>55</v>
      </c>
      <c r="B946" t="s">
        <v>57</v>
      </c>
      <c r="C946" t="s">
        <v>64</v>
      </c>
      <c r="D946" s="1">
        <v>1</v>
      </c>
      <c r="E946" s="1">
        <v>1</v>
      </c>
      <c r="F946" s="1">
        <v>0</v>
      </c>
      <c r="G946" s="1">
        <v>0</v>
      </c>
      <c r="H946" s="1">
        <v>0</v>
      </c>
      <c r="I946" s="1">
        <v>0</v>
      </c>
      <c r="J946" s="1">
        <v>0</v>
      </c>
      <c r="K946" s="1">
        <v>0</v>
      </c>
      <c r="L946" s="1">
        <v>2</v>
      </c>
      <c r="M946" s="1">
        <v>0</v>
      </c>
      <c r="N946" s="1">
        <v>1</v>
      </c>
      <c r="O946" s="1">
        <v>0</v>
      </c>
      <c r="P946" s="1">
        <v>1</v>
      </c>
      <c r="Q946" s="1">
        <v>0</v>
      </c>
      <c r="R946" s="1">
        <v>2</v>
      </c>
      <c r="S946" s="1">
        <v>0</v>
      </c>
      <c r="T946" s="1">
        <v>0</v>
      </c>
      <c r="U946" s="1">
        <v>2</v>
      </c>
      <c r="V946" s="1" t="s">
        <v>301</v>
      </c>
    </row>
    <row r="947" spans="1:22">
      <c r="A947" t="s">
        <v>55</v>
      </c>
      <c r="B947" t="s">
        <v>57</v>
      </c>
      <c r="C947" t="s">
        <v>65</v>
      </c>
      <c r="D947" s="1">
        <v>0</v>
      </c>
      <c r="E947" s="1">
        <v>0</v>
      </c>
      <c r="F947" s="1">
        <v>0</v>
      </c>
      <c r="G947" s="1">
        <v>0</v>
      </c>
      <c r="H947" s="1">
        <v>0</v>
      </c>
      <c r="I947" s="1">
        <v>0</v>
      </c>
      <c r="J947" s="1">
        <v>0</v>
      </c>
      <c r="K947" s="1">
        <v>0</v>
      </c>
      <c r="L947" s="1">
        <v>0</v>
      </c>
      <c r="M947" s="1">
        <v>0</v>
      </c>
      <c r="N947" s="1">
        <v>0</v>
      </c>
      <c r="O947" s="1">
        <v>0</v>
      </c>
      <c r="P947" s="1">
        <v>0</v>
      </c>
      <c r="Q947" s="1">
        <v>0</v>
      </c>
      <c r="R947" s="1">
        <v>0</v>
      </c>
      <c r="S947" s="1">
        <v>0</v>
      </c>
      <c r="T947" s="1">
        <v>0</v>
      </c>
      <c r="U947" s="1">
        <v>0</v>
      </c>
      <c r="V947" s="1" t="s">
        <v>301</v>
      </c>
    </row>
    <row r="948" spans="1:22"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</row>
    <row r="949" spans="1:22"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</row>
    <row r="950" spans="1:22"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</row>
    <row r="951" spans="1:22"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</row>
    <row r="952" spans="1:22"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</row>
    <row r="953" spans="1:22"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</row>
    <row r="954" spans="1:22"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</row>
    <row r="955" spans="1:22"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</row>
    <row r="956" spans="1:22"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</row>
    <row r="957" spans="1:22"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</row>
    <row r="958" spans="1:22"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</row>
    <row r="959" spans="1:22"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</row>
    <row r="960" spans="1:22"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</row>
    <row r="961" spans="4:22"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</row>
    <row r="962" spans="4:22"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</row>
    <row r="963" spans="4:22"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</row>
    <row r="964" spans="4:22"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</row>
    <row r="965" spans="4:22"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</row>
    <row r="966" spans="4:22"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</row>
    <row r="967" spans="4:22"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</row>
    <row r="968" spans="4:22"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</row>
    <row r="969" spans="4:22"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</row>
    <row r="970" spans="4:22"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</row>
    <row r="971" spans="4:22"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</row>
    <row r="972" spans="4:22"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</row>
    <row r="973" spans="4:22"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</row>
    <row r="974" spans="4:22"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</row>
    <row r="975" spans="4:22"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</row>
    <row r="976" spans="4:22"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</row>
    <row r="977" spans="4:22"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</row>
    <row r="978" spans="4:22"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</row>
    <row r="979" spans="4:22"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</row>
    <row r="980" spans="4:22"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</row>
    <row r="981" spans="4:22"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</row>
    <row r="982" spans="4:22"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</row>
    <row r="983" spans="4:22"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</row>
    <row r="984" spans="4:22"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</row>
    <row r="985" spans="4:22"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</row>
    <row r="986" spans="4:22"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</row>
    <row r="987" spans="4:22"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</row>
    <row r="988" spans="4:22"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</row>
    <row r="989" spans="4:22"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</row>
    <row r="990" spans="4:22"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</row>
    <row r="991" spans="4:22"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</row>
    <row r="992" spans="4:22"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</row>
    <row r="993" spans="4:22"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</row>
    <row r="994" spans="4:22"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</row>
    <row r="1029" spans="1:22">
      <c r="A1029" s="1">
        <f>setup!C25</f>
        <v>3833</v>
      </c>
    </row>
    <row r="1030" spans="1:22">
      <c r="A1030" t="str">
        <f>_xlfn.CONCAT(setup!D25," - ",setup!E25)</f>
        <v>OSEP – Orthopedic Impairment - Digital - OSEP_OI_D</v>
      </c>
      <c r="D1030" s="1"/>
      <c r="E1030" s="1"/>
      <c r="F1030" s="1"/>
      <c r="G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</row>
    <row r="1031" spans="1:22">
      <c r="A1031" t="s">
        <v>35</v>
      </c>
      <c r="B1031" t="s">
        <v>36</v>
      </c>
      <c r="C1031" t="s">
        <v>37</v>
      </c>
      <c r="D1031" s="1" t="s">
        <v>38</v>
      </c>
      <c r="E1031" s="1" t="s">
        <v>39</v>
      </c>
      <c r="F1031" s="1" t="s">
        <v>40</v>
      </c>
      <c r="G1031" s="1" t="s">
        <v>41</v>
      </c>
      <c r="H1031" s="1" t="s">
        <v>42</v>
      </c>
      <c r="I1031" s="1" t="s">
        <v>43</v>
      </c>
      <c r="J1031" s="1" t="s">
        <v>44</v>
      </c>
      <c r="K1031" s="1" t="s">
        <v>45</v>
      </c>
      <c r="L1031" s="1" t="s">
        <v>46</v>
      </c>
      <c r="M1031" s="1" t="s">
        <v>47</v>
      </c>
      <c r="N1031" s="1" t="s">
        <v>48</v>
      </c>
      <c r="O1031" s="1" t="s">
        <v>49</v>
      </c>
      <c r="P1031" s="1" t="s">
        <v>50</v>
      </c>
      <c r="Q1031" s="1" t="s">
        <v>51</v>
      </c>
      <c r="R1031" s="1" t="s">
        <v>52</v>
      </c>
      <c r="S1031" s="1" t="s">
        <v>53</v>
      </c>
      <c r="T1031" t="s">
        <v>54</v>
      </c>
      <c r="U1031" s="1" t="s">
        <v>55</v>
      </c>
      <c r="V1031" t="s">
        <v>56</v>
      </c>
    </row>
    <row r="1032" spans="1:22">
      <c r="A1032" t="s">
        <v>197</v>
      </c>
      <c r="B1032" t="s">
        <v>57</v>
      </c>
      <c r="C1032" t="s">
        <v>58</v>
      </c>
      <c r="D1032" s="1">
        <v>0</v>
      </c>
      <c r="E1032" s="1">
        <v>0</v>
      </c>
      <c r="F1032" s="1">
        <v>0</v>
      </c>
      <c r="G1032" s="1">
        <v>0</v>
      </c>
      <c r="H1032" s="1">
        <v>0</v>
      </c>
      <c r="I1032" s="1">
        <v>0</v>
      </c>
      <c r="J1032" s="1">
        <v>0</v>
      </c>
      <c r="K1032" s="1">
        <v>0</v>
      </c>
      <c r="L1032" s="1">
        <v>0</v>
      </c>
      <c r="M1032" s="1">
        <v>0</v>
      </c>
      <c r="N1032" s="1">
        <v>0</v>
      </c>
      <c r="O1032" s="1">
        <v>0</v>
      </c>
      <c r="P1032" s="1">
        <v>0</v>
      </c>
      <c r="Q1032" s="1">
        <v>0</v>
      </c>
      <c r="R1032" s="1">
        <v>0</v>
      </c>
      <c r="S1032" s="1">
        <v>0</v>
      </c>
      <c r="T1032" s="1">
        <v>0</v>
      </c>
      <c r="U1032" s="1">
        <v>1</v>
      </c>
      <c r="V1032" s="1" t="s">
        <v>301</v>
      </c>
    </row>
    <row r="1033" spans="1:22">
      <c r="A1033" t="s">
        <v>197</v>
      </c>
      <c r="B1033" t="s">
        <v>57</v>
      </c>
      <c r="C1033" t="s">
        <v>59</v>
      </c>
      <c r="D1033" s="1">
        <v>0</v>
      </c>
      <c r="E1033" s="1">
        <v>0</v>
      </c>
      <c r="F1033" s="1">
        <v>0</v>
      </c>
      <c r="G1033" s="1">
        <v>0</v>
      </c>
      <c r="H1033" s="1">
        <v>0</v>
      </c>
      <c r="I1033" s="1">
        <v>0</v>
      </c>
      <c r="J1033" s="1">
        <v>0</v>
      </c>
      <c r="K1033" s="1">
        <v>0</v>
      </c>
      <c r="L1033" s="1">
        <v>0</v>
      </c>
      <c r="M1033" s="1">
        <v>0</v>
      </c>
      <c r="N1033" s="1">
        <v>0</v>
      </c>
      <c r="O1033" s="1">
        <v>0</v>
      </c>
      <c r="P1033" s="1">
        <v>0</v>
      </c>
      <c r="Q1033" s="1">
        <v>0</v>
      </c>
      <c r="R1033" s="1">
        <v>0</v>
      </c>
      <c r="S1033" s="1">
        <v>0</v>
      </c>
      <c r="T1033" s="1">
        <v>0</v>
      </c>
      <c r="U1033" s="1">
        <v>0</v>
      </c>
      <c r="V1033" s="1" t="s">
        <v>301</v>
      </c>
    </row>
    <row r="1034" spans="1:22">
      <c r="A1034" t="s">
        <v>197</v>
      </c>
      <c r="B1034" t="s">
        <v>57</v>
      </c>
      <c r="C1034" t="s">
        <v>60</v>
      </c>
      <c r="D1034" s="1">
        <v>0</v>
      </c>
      <c r="E1034" s="1">
        <v>0</v>
      </c>
      <c r="F1034" s="1">
        <v>0</v>
      </c>
      <c r="G1034" s="1">
        <v>0</v>
      </c>
      <c r="H1034" s="1">
        <v>0</v>
      </c>
      <c r="I1034" s="1">
        <v>0</v>
      </c>
      <c r="J1034" s="1">
        <v>0</v>
      </c>
      <c r="K1034" s="1">
        <v>0</v>
      </c>
      <c r="L1034" s="1">
        <v>0</v>
      </c>
      <c r="M1034" s="1">
        <v>0</v>
      </c>
      <c r="N1034" s="1">
        <v>0</v>
      </c>
      <c r="O1034" s="1">
        <v>0</v>
      </c>
      <c r="P1034" s="1">
        <v>0</v>
      </c>
      <c r="Q1034" s="1">
        <v>0</v>
      </c>
      <c r="R1034" s="1">
        <v>0</v>
      </c>
      <c r="S1034" s="1">
        <v>0</v>
      </c>
      <c r="T1034" s="1">
        <v>0</v>
      </c>
      <c r="U1034" s="1">
        <v>0</v>
      </c>
      <c r="V1034" s="1" t="s">
        <v>301</v>
      </c>
    </row>
    <row r="1035" spans="1:22">
      <c r="A1035" t="s">
        <v>197</v>
      </c>
      <c r="B1035" t="s">
        <v>57</v>
      </c>
      <c r="C1035" t="s">
        <v>61</v>
      </c>
      <c r="D1035" s="1">
        <v>0</v>
      </c>
      <c r="E1035" s="1">
        <v>0</v>
      </c>
      <c r="F1035" s="1">
        <v>0</v>
      </c>
      <c r="G1035" s="1">
        <v>0</v>
      </c>
      <c r="H1035" s="1">
        <v>0</v>
      </c>
      <c r="I1035" s="1">
        <v>0</v>
      </c>
      <c r="J1035" s="1">
        <v>0</v>
      </c>
      <c r="K1035" s="1">
        <v>0</v>
      </c>
      <c r="L1035" s="1">
        <v>0</v>
      </c>
      <c r="M1035" s="1">
        <v>0</v>
      </c>
      <c r="N1035" s="1">
        <v>0</v>
      </c>
      <c r="O1035" s="1">
        <v>0</v>
      </c>
      <c r="P1035" s="1">
        <v>0</v>
      </c>
      <c r="Q1035" s="1">
        <v>0</v>
      </c>
      <c r="R1035" s="1">
        <v>0</v>
      </c>
      <c r="S1035" s="1">
        <v>0</v>
      </c>
      <c r="T1035" s="1">
        <v>0</v>
      </c>
      <c r="U1035" s="1">
        <v>0</v>
      </c>
      <c r="V1035" s="1" t="s">
        <v>301</v>
      </c>
    </row>
    <row r="1036" spans="1:22">
      <c r="A1036" t="s">
        <v>197</v>
      </c>
      <c r="B1036" t="s">
        <v>57</v>
      </c>
      <c r="C1036" t="s">
        <v>62</v>
      </c>
      <c r="D1036" s="1">
        <v>0</v>
      </c>
      <c r="E1036" s="1">
        <v>0</v>
      </c>
      <c r="F1036" s="1">
        <v>0</v>
      </c>
      <c r="G1036" s="1">
        <v>0</v>
      </c>
      <c r="H1036" s="1">
        <v>0</v>
      </c>
      <c r="I1036" s="1">
        <v>0</v>
      </c>
      <c r="J1036" s="1">
        <v>0</v>
      </c>
      <c r="K1036" s="1">
        <v>0</v>
      </c>
      <c r="L1036" s="1">
        <v>0</v>
      </c>
      <c r="M1036" s="1">
        <v>0</v>
      </c>
      <c r="N1036" s="1">
        <v>0</v>
      </c>
      <c r="O1036" s="1">
        <v>0</v>
      </c>
      <c r="P1036" s="1">
        <v>0</v>
      </c>
      <c r="Q1036" s="1">
        <v>0</v>
      </c>
      <c r="R1036" s="1">
        <v>0</v>
      </c>
      <c r="S1036" s="1">
        <v>0</v>
      </c>
      <c r="T1036" s="1">
        <v>0</v>
      </c>
      <c r="U1036" s="1">
        <v>0</v>
      </c>
      <c r="V1036" s="1" t="s">
        <v>301</v>
      </c>
    </row>
    <row r="1037" spans="1:22">
      <c r="A1037" t="s">
        <v>197</v>
      </c>
      <c r="B1037" t="s">
        <v>57</v>
      </c>
      <c r="C1037" t="s">
        <v>63</v>
      </c>
      <c r="D1037" s="1">
        <v>0</v>
      </c>
      <c r="E1037" s="1">
        <v>0</v>
      </c>
      <c r="F1037" s="1">
        <v>0</v>
      </c>
      <c r="G1037" s="1">
        <v>0</v>
      </c>
      <c r="H1037" s="1">
        <v>0</v>
      </c>
      <c r="I1037" s="1">
        <v>0</v>
      </c>
      <c r="J1037" s="1">
        <v>0</v>
      </c>
      <c r="K1037" s="1">
        <v>0</v>
      </c>
      <c r="L1037" s="1">
        <v>0</v>
      </c>
      <c r="M1037" s="1">
        <v>0</v>
      </c>
      <c r="N1037" s="1">
        <v>0</v>
      </c>
      <c r="O1037" s="1">
        <v>0</v>
      </c>
      <c r="P1037" s="1">
        <v>0</v>
      </c>
      <c r="Q1037" s="1">
        <v>0</v>
      </c>
      <c r="R1037" s="1">
        <v>0</v>
      </c>
      <c r="S1037" s="1">
        <v>0</v>
      </c>
      <c r="T1037" s="1">
        <v>0</v>
      </c>
      <c r="U1037" s="1">
        <v>0</v>
      </c>
      <c r="V1037" s="1" t="s">
        <v>301</v>
      </c>
    </row>
    <row r="1038" spans="1:22">
      <c r="A1038" t="s">
        <v>197</v>
      </c>
      <c r="B1038" t="s">
        <v>57</v>
      </c>
      <c r="C1038" t="s">
        <v>64</v>
      </c>
      <c r="D1038" s="1">
        <v>0</v>
      </c>
      <c r="E1038" s="1">
        <v>0</v>
      </c>
      <c r="F1038" s="1">
        <v>0</v>
      </c>
      <c r="G1038" s="1">
        <v>0</v>
      </c>
      <c r="H1038" s="1">
        <v>0</v>
      </c>
      <c r="I1038" s="1">
        <v>0</v>
      </c>
      <c r="J1038" s="1">
        <v>0</v>
      </c>
      <c r="K1038" s="1">
        <v>0</v>
      </c>
      <c r="L1038" s="1">
        <v>0</v>
      </c>
      <c r="M1038" s="1">
        <v>0</v>
      </c>
      <c r="N1038" s="1">
        <v>0</v>
      </c>
      <c r="O1038" s="1">
        <v>0</v>
      </c>
      <c r="P1038" s="1">
        <v>0</v>
      </c>
      <c r="Q1038" s="1">
        <v>0</v>
      </c>
      <c r="R1038" s="1">
        <v>0</v>
      </c>
      <c r="S1038" s="1">
        <v>0</v>
      </c>
      <c r="T1038" s="1">
        <v>0</v>
      </c>
      <c r="U1038" s="1">
        <v>0</v>
      </c>
      <c r="V1038" s="1" t="s">
        <v>301</v>
      </c>
    </row>
    <row r="1039" spans="1:22">
      <c r="A1039" t="s">
        <v>197</v>
      </c>
      <c r="B1039" t="s">
        <v>57</v>
      </c>
      <c r="C1039" t="s">
        <v>65</v>
      </c>
      <c r="D1039" s="1">
        <v>0</v>
      </c>
      <c r="E1039" s="1">
        <v>0</v>
      </c>
      <c r="F1039" s="1">
        <v>0</v>
      </c>
      <c r="G1039" s="1">
        <v>0</v>
      </c>
      <c r="H1039" s="1">
        <v>0</v>
      </c>
      <c r="I1039" s="1">
        <v>0</v>
      </c>
      <c r="J1039" s="1">
        <v>0</v>
      </c>
      <c r="K1039" s="1">
        <v>0</v>
      </c>
      <c r="L1039" s="1">
        <v>0</v>
      </c>
      <c r="M1039" s="1">
        <v>0</v>
      </c>
      <c r="N1039" s="1">
        <v>0</v>
      </c>
      <c r="O1039" s="1">
        <v>0</v>
      </c>
      <c r="P1039" s="1">
        <v>0</v>
      </c>
      <c r="Q1039" s="1">
        <v>0</v>
      </c>
      <c r="R1039" s="1">
        <v>0</v>
      </c>
      <c r="S1039" s="1">
        <v>0</v>
      </c>
      <c r="T1039" s="1">
        <v>0</v>
      </c>
      <c r="U1039" s="1">
        <v>0</v>
      </c>
      <c r="V1039" s="1" t="s">
        <v>301</v>
      </c>
    </row>
    <row r="1040" spans="1:22">
      <c r="A1040" t="s">
        <v>55</v>
      </c>
      <c r="B1040" t="s">
        <v>57</v>
      </c>
      <c r="C1040" t="s">
        <v>58</v>
      </c>
      <c r="D1040" s="1">
        <v>0</v>
      </c>
      <c r="E1040" s="1">
        <v>0</v>
      </c>
      <c r="F1040" s="1">
        <v>0</v>
      </c>
      <c r="G1040" s="1">
        <v>0</v>
      </c>
      <c r="H1040" s="1">
        <v>0</v>
      </c>
      <c r="I1040" s="1">
        <v>0</v>
      </c>
      <c r="J1040" s="1">
        <v>0</v>
      </c>
      <c r="K1040" s="1">
        <v>0</v>
      </c>
      <c r="L1040" s="1">
        <v>0</v>
      </c>
      <c r="M1040" s="1">
        <v>0</v>
      </c>
      <c r="N1040" s="1">
        <v>0</v>
      </c>
      <c r="O1040" s="1">
        <v>0</v>
      </c>
      <c r="P1040" s="1">
        <v>0</v>
      </c>
      <c r="Q1040" s="1">
        <v>0</v>
      </c>
      <c r="R1040" s="1">
        <v>0</v>
      </c>
      <c r="S1040" s="1">
        <v>0</v>
      </c>
      <c r="T1040" s="1">
        <v>0</v>
      </c>
      <c r="U1040" s="1">
        <v>1</v>
      </c>
      <c r="V1040" s="1" t="s">
        <v>301</v>
      </c>
    </row>
    <row r="1041" spans="1:22">
      <c r="A1041" t="s">
        <v>55</v>
      </c>
      <c r="B1041" t="s">
        <v>57</v>
      </c>
      <c r="C1041" t="s">
        <v>59</v>
      </c>
      <c r="D1041" s="1">
        <v>0</v>
      </c>
      <c r="E1041" s="1">
        <v>0</v>
      </c>
      <c r="F1041" s="1">
        <v>0</v>
      </c>
      <c r="G1041" s="1">
        <v>0</v>
      </c>
      <c r="H1041" s="1">
        <v>0</v>
      </c>
      <c r="I1041" s="1">
        <v>0</v>
      </c>
      <c r="J1041" s="1">
        <v>0</v>
      </c>
      <c r="K1041" s="1">
        <v>0</v>
      </c>
      <c r="L1041" s="1">
        <v>0</v>
      </c>
      <c r="M1041" s="1">
        <v>0</v>
      </c>
      <c r="N1041" s="1">
        <v>0</v>
      </c>
      <c r="O1041" s="1">
        <v>0</v>
      </c>
      <c r="P1041" s="1">
        <v>0</v>
      </c>
      <c r="Q1041" s="1">
        <v>0</v>
      </c>
      <c r="R1041" s="1">
        <v>0</v>
      </c>
      <c r="S1041" s="1">
        <v>0</v>
      </c>
      <c r="T1041" s="1">
        <v>0</v>
      </c>
      <c r="U1041" s="1">
        <v>0</v>
      </c>
      <c r="V1041" s="1" t="s">
        <v>301</v>
      </c>
    </row>
    <row r="1042" spans="1:22">
      <c r="A1042" t="s">
        <v>55</v>
      </c>
      <c r="B1042" t="s">
        <v>57</v>
      </c>
      <c r="C1042" t="s">
        <v>60</v>
      </c>
      <c r="D1042" s="1">
        <v>0</v>
      </c>
      <c r="E1042" s="1">
        <v>0</v>
      </c>
      <c r="F1042" s="1">
        <v>0</v>
      </c>
      <c r="G1042" s="1">
        <v>0</v>
      </c>
      <c r="H1042" s="1">
        <v>0</v>
      </c>
      <c r="I1042" s="1">
        <v>0</v>
      </c>
      <c r="J1042" s="1">
        <v>0</v>
      </c>
      <c r="K1042" s="1">
        <v>0</v>
      </c>
      <c r="L1042" s="1">
        <v>0</v>
      </c>
      <c r="M1042" s="1">
        <v>0</v>
      </c>
      <c r="N1042" s="1">
        <v>0</v>
      </c>
      <c r="O1042" s="1">
        <v>0</v>
      </c>
      <c r="P1042" s="1">
        <v>0</v>
      </c>
      <c r="Q1042" s="1">
        <v>0</v>
      </c>
      <c r="R1042" s="1">
        <v>0</v>
      </c>
      <c r="S1042" s="1">
        <v>0</v>
      </c>
      <c r="T1042" s="1">
        <v>0</v>
      </c>
      <c r="U1042" s="1">
        <v>0</v>
      </c>
      <c r="V1042" s="1" t="s">
        <v>301</v>
      </c>
    </row>
    <row r="1043" spans="1:22">
      <c r="A1043" t="s">
        <v>55</v>
      </c>
      <c r="B1043" t="s">
        <v>57</v>
      </c>
      <c r="C1043" t="s">
        <v>61</v>
      </c>
      <c r="D1043" s="1">
        <v>0</v>
      </c>
      <c r="E1043" s="1">
        <v>0</v>
      </c>
      <c r="F1043" s="1">
        <v>0</v>
      </c>
      <c r="G1043" s="1">
        <v>0</v>
      </c>
      <c r="H1043" s="1">
        <v>0</v>
      </c>
      <c r="I1043" s="1">
        <v>0</v>
      </c>
      <c r="J1043" s="1">
        <v>0</v>
      </c>
      <c r="K1043" s="1">
        <v>0</v>
      </c>
      <c r="L1043" s="1">
        <v>0</v>
      </c>
      <c r="M1043" s="1">
        <v>0</v>
      </c>
      <c r="N1043" s="1">
        <v>0</v>
      </c>
      <c r="O1043" s="1">
        <v>0</v>
      </c>
      <c r="P1043" s="1">
        <v>0</v>
      </c>
      <c r="Q1043" s="1">
        <v>0</v>
      </c>
      <c r="R1043" s="1">
        <v>0</v>
      </c>
      <c r="S1043" s="1">
        <v>0</v>
      </c>
      <c r="T1043" s="1">
        <v>0</v>
      </c>
      <c r="U1043" s="1">
        <v>0</v>
      </c>
      <c r="V1043" s="1" t="s">
        <v>301</v>
      </c>
    </row>
    <row r="1044" spans="1:22">
      <c r="A1044" t="s">
        <v>55</v>
      </c>
      <c r="B1044" t="s">
        <v>57</v>
      </c>
      <c r="C1044" t="s">
        <v>62</v>
      </c>
      <c r="D1044" s="1">
        <v>0</v>
      </c>
      <c r="E1044" s="1">
        <v>0</v>
      </c>
      <c r="F1044" s="1">
        <v>0</v>
      </c>
      <c r="G1044" s="1">
        <v>0</v>
      </c>
      <c r="H1044" s="1">
        <v>0</v>
      </c>
      <c r="I1044" s="1">
        <v>0</v>
      </c>
      <c r="J1044" s="1">
        <v>0</v>
      </c>
      <c r="K1044" s="1">
        <v>0</v>
      </c>
      <c r="L1044" s="1">
        <v>0</v>
      </c>
      <c r="M1044" s="1">
        <v>0</v>
      </c>
      <c r="N1044" s="1">
        <v>0</v>
      </c>
      <c r="O1044" s="1">
        <v>0</v>
      </c>
      <c r="P1044" s="1">
        <v>0</v>
      </c>
      <c r="Q1044" s="1">
        <v>0</v>
      </c>
      <c r="R1044" s="1">
        <v>0</v>
      </c>
      <c r="S1044" s="1">
        <v>0</v>
      </c>
      <c r="T1044" s="1">
        <v>0</v>
      </c>
      <c r="U1044" s="1">
        <v>0</v>
      </c>
      <c r="V1044" s="1" t="s">
        <v>301</v>
      </c>
    </row>
    <row r="1045" spans="1:22">
      <c r="A1045" t="s">
        <v>55</v>
      </c>
      <c r="B1045" t="s">
        <v>57</v>
      </c>
      <c r="C1045" t="s">
        <v>63</v>
      </c>
      <c r="D1045" s="1">
        <v>0</v>
      </c>
      <c r="E1045" s="1">
        <v>0</v>
      </c>
      <c r="F1045" s="1">
        <v>0</v>
      </c>
      <c r="G1045" s="1">
        <v>0</v>
      </c>
      <c r="H1045" s="1">
        <v>0</v>
      </c>
      <c r="I1045" s="1">
        <v>0</v>
      </c>
      <c r="J1045" s="1">
        <v>0</v>
      </c>
      <c r="K1045" s="1">
        <v>0</v>
      </c>
      <c r="L1045" s="1">
        <v>0</v>
      </c>
      <c r="M1045" s="1">
        <v>0</v>
      </c>
      <c r="N1045" s="1">
        <v>0</v>
      </c>
      <c r="O1045" s="1">
        <v>0</v>
      </c>
      <c r="P1045" s="1">
        <v>0</v>
      </c>
      <c r="Q1045" s="1">
        <v>0</v>
      </c>
      <c r="R1045" s="1">
        <v>0</v>
      </c>
      <c r="S1045" s="1">
        <v>0</v>
      </c>
      <c r="T1045" s="1">
        <v>0</v>
      </c>
      <c r="U1045" s="1">
        <v>0</v>
      </c>
      <c r="V1045" s="1" t="s">
        <v>301</v>
      </c>
    </row>
    <row r="1046" spans="1:22">
      <c r="A1046" t="s">
        <v>55</v>
      </c>
      <c r="B1046" t="s">
        <v>57</v>
      </c>
      <c r="C1046" t="s">
        <v>64</v>
      </c>
      <c r="D1046" s="1">
        <v>0</v>
      </c>
      <c r="E1046" s="1">
        <v>0</v>
      </c>
      <c r="F1046" s="1">
        <v>0</v>
      </c>
      <c r="G1046" s="1">
        <v>0</v>
      </c>
      <c r="H1046" s="1">
        <v>0</v>
      </c>
      <c r="I1046" s="1">
        <v>0</v>
      </c>
      <c r="J1046" s="1">
        <v>0</v>
      </c>
      <c r="K1046" s="1">
        <v>0</v>
      </c>
      <c r="L1046" s="1">
        <v>0</v>
      </c>
      <c r="M1046" s="1">
        <v>0</v>
      </c>
      <c r="N1046" s="1">
        <v>0</v>
      </c>
      <c r="O1046" s="1">
        <v>0</v>
      </c>
      <c r="P1046" s="1">
        <v>0</v>
      </c>
      <c r="Q1046" s="1">
        <v>0</v>
      </c>
      <c r="R1046" s="1">
        <v>0</v>
      </c>
      <c r="S1046" s="1">
        <v>0</v>
      </c>
      <c r="T1046" s="1">
        <v>0</v>
      </c>
      <c r="U1046" s="1">
        <v>0</v>
      </c>
      <c r="V1046" s="1" t="s">
        <v>301</v>
      </c>
    </row>
    <row r="1047" spans="1:22">
      <c r="A1047" t="s">
        <v>55</v>
      </c>
      <c r="B1047" t="s">
        <v>57</v>
      </c>
      <c r="C1047" t="s">
        <v>65</v>
      </c>
      <c r="D1047" s="1">
        <v>0</v>
      </c>
      <c r="E1047" s="1">
        <v>0</v>
      </c>
      <c r="F1047" s="1">
        <v>0</v>
      </c>
      <c r="G1047" s="1">
        <v>0</v>
      </c>
      <c r="H1047" s="1">
        <v>0</v>
      </c>
      <c r="I1047" s="1">
        <v>0</v>
      </c>
      <c r="J1047" s="1">
        <v>0</v>
      </c>
      <c r="K1047" s="1">
        <v>0</v>
      </c>
      <c r="L1047" s="1">
        <v>0</v>
      </c>
      <c r="M1047" s="1">
        <v>0</v>
      </c>
      <c r="N1047" s="1">
        <v>0</v>
      </c>
      <c r="O1047" s="1">
        <v>0</v>
      </c>
      <c r="P1047" s="1">
        <v>0</v>
      </c>
      <c r="Q1047" s="1">
        <v>0</v>
      </c>
      <c r="R1047" s="1">
        <v>0</v>
      </c>
      <c r="S1047" s="1">
        <v>0</v>
      </c>
      <c r="T1047" s="1">
        <v>0</v>
      </c>
      <c r="U1047" s="1">
        <v>0</v>
      </c>
      <c r="V1047" s="1" t="s">
        <v>301</v>
      </c>
    </row>
    <row r="1048" spans="1:22"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</row>
    <row r="1049" spans="1:22"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</row>
    <row r="1050" spans="1:22"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</row>
    <row r="1051" spans="1:22"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</row>
    <row r="1052" spans="1:22"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</row>
    <row r="1053" spans="1:22"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</row>
    <row r="1054" spans="1:22"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</row>
    <row r="1055" spans="1:22"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</row>
    <row r="1056" spans="1:22"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</row>
    <row r="1057" spans="4:22"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</row>
    <row r="1058" spans="4:22"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</row>
    <row r="1059" spans="4:22"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</row>
    <row r="1060" spans="4:22"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</row>
    <row r="1061" spans="4:22"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</row>
    <row r="1062" spans="4:22"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</row>
    <row r="1063" spans="4:22"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</row>
    <row r="1064" spans="4:22">
      <c r="D1064" s="1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</row>
    <row r="1065" spans="4:22">
      <c r="D1065" s="1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</row>
    <row r="1066" spans="4:22"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</row>
    <row r="1067" spans="4:22">
      <c r="D1067" s="1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</row>
    <row r="1068" spans="4:22"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</row>
    <row r="1069" spans="4:22">
      <c r="D1069" s="1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</row>
    <row r="1070" spans="4:22"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</row>
    <row r="1071" spans="4:22">
      <c r="D1071" s="1"/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</row>
    <row r="1072" spans="4:22">
      <c r="D1072" s="1"/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</row>
    <row r="1073" spans="4:22">
      <c r="D1073" s="1"/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  <c r="Q1073" s="1"/>
      <c r="R1073" s="1"/>
      <c r="S1073" s="1"/>
      <c r="T1073" s="1"/>
      <c r="U1073" s="1"/>
      <c r="V1073" s="1"/>
    </row>
    <row r="1074" spans="4:22">
      <c r="D1074" s="1"/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  <c r="Q1074" s="1"/>
      <c r="R1074" s="1"/>
      <c r="S1074" s="1"/>
      <c r="T1074" s="1"/>
      <c r="U1074" s="1"/>
      <c r="V1074" s="1"/>
    </row>
    <row r="1075" spans="4:22">
      <c r="D1075" s="1"/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  <c r="Q1075" s="1"/>
      <c r="R1075" s="1"/>
      <c r="S1075" s="1"/>
      <c r="T1075" s="1"/>
      <c r="U1075" s="1"/>
      <c r="V1075" s="1"/>
    </row>
    <row r="1076" spans="4:22">
      <c r="D1076" s="1"/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  <c r="Q1076" s="1"/>
      <c r="R1076" s="1"/>
      <c r="S1076" s="1"/>
      <c r="T1076" s="1"/>
      <c r="U1076" s="1"/>
      <c r="V1076" s="1"/>
    </row>
    <row r="1077" spans="4:22">
      <c r="D1077" s="1"/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  <c r="Q1077" s="1"/>
      <c r="R1077" s="1"/>
      <c r="S1077" s="1"/>
      <c r="T1077" s="1"/>
      <c r="U1077" s="1"/>
      <c r="V1077" s="1"/>
    </row>
    <row r="1078" spans="4:22">
      <c r="D1078" s="1"/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  <c r="Q1078" s="1"/>
      <c r="R1078" s="1"/>
      <c r="S1078" s="1"/>
      <c r="T1078" s="1"/>
      <c r="U1078" s="1"/>
      <c r="V1078" s="1"/>
    </row>
    <row r="1079" spans="4:22">
      <c r="D1079" s="1"/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"/>
      <c r="Q1079" s="1"/>
      <c r="R1079" s="1"/>
      <c r="S1079" s="1"/>
      <c r="T1079" s="1"/>
      <c r="U1079" s="1"/>
      <c r="V1079" s="1"/>
    </row>
    <row r="1080" spans="4:22">
      <c r="D1080" s="1"/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1"/>
      <c r="Q1080" s="1"/>
      <c r="R1080" s="1"/>
      <c r="S1080" s="1"/>
      <c r="T1080" s="1"/>
      <c r="U1080" s="1"/>
      <c r="V1080" s="1"/>
    </row>
    <row r="1081" spans="4:22">
      <c r="D1081" s="1"/>
      <c r="E1081" s="1"/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/>
      <c r="Q1081" s="1"/>
      <c r="R1081" s="1"/>
      <c r="S1081" s="1"/>
      <c r="T1081" s="1"/>
      <c r="U1081" s="1"/>
      <c r="V1081" s="1"/>
    </row>
    <row r="1082" spans="4:22">
      <c r="D1082" s="1"/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  <c r="Q1082" s="1"/>
      <c r="R1082" s="1"/>
      <c r="S1082" s="1"/>
      <c r="T1082" s="1"/>
      <c r="U1082" s="1"/>
      <c r="V1082" s="1"/>
    </row>
    <row r="1083" spans="4:22">
      <c r="D1083" s="1"/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  <c r="Q1083" s="1"/>
      <c r="R1083" s="1"/>
      <c r="S1083" s="1"/>
      <c r="T1083" s="1"/>
      <c r="U1083" s="1"/>
      <c r="V1083" s="1"/>
    </row>
    <row r="1084" spans="4:22">
      <c r="D1084" s="1"/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  <c r="Q1084" s="1"/>
      <c r="R1084" s="1"/>
      <c r="S1084" s="1"/>
      <c r="T1084" s="1"/>
      <c r="U1084" s="1"/>
      <c r="V1084" s="1"/>
    </row>
    <row r="1085" spans="4:22">
      <c r="D1085" s="1"/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  <c r="Q1085" s="1"/>
      <c r="R1085" s="1"/>
      <c r="S1085" s="1"/>
      <c r="T1085" s="1"/>
      <c r="U1085" s="1"/>
      <c r="V1085" s="1"/>
    </row>
    <row r="1086" spans="4:22">
      <c r="D1086" s="1"/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  <c r="Q1086" s="1"/>
      <c r="R1086" s="1"/>
      <c r="S1086" s="1"/>
      <c r="T1086" s="1"/>
      <c r="U1086" s="1"/>
      <c r="V1086" s="1"/>
    </row>
    <row r="1087" spans="4:22">
      <c r="D1087" s="1"/>
      <c r="E1087" s="1"/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1"/>
      <c r="Q1087" s="1"/>
      <c r="R1087" s="1"/>
      <c r="S1087" s="1"/>
      <c r="T1087" s="1"/>
      <c r="U1087" s="1"/>
      <c r="V1087" s="1"/>
    </row>
    <row r="1088" spans="4:22">
      <c r="D1088" s="1"/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  <c r="Q1088" s="1"/>
      <c r="R1088" s="1"/>
      <c r="S1088" s="1"/>
      <c r="T1088" s="1"/>
      <c r="U1088" s="1"/>
      <c r="V1088" s="1"/>
    </row>
    <row r="1089" spans="4:22">
      <c r="D1089" s="1"/>
      <c r="E1089" s="1"/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1"/>
      <c r="Q1089" s="1"/>
      <c r="R1089" s="1"/>
      <c r="S1089" s="1"/>
      <c r="T1089" s="1"/>
      <c r="U1089" s="1"/>
      <c r="V1089" s="1"/>
    </row>
    <row r="1090" spans="4:22">
      <c r="D1090" s="1"/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"/>
      <c r="Q1090" s="1"/>
      <c r="R1090" s="1"/>
      <c r="S1090" s="1"/>
      <c r="T1090" s="1"/>
      <c r="U1090" s="1"/>
      <c r="V1090" s="1"/>
    </row>
    <row r="1091" spans="4:22">
      <c r="D1091" s="1"/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  <c r="Q1091" s="1"/>
      <c r="R1091" s="1"/>
      <c r="S1091" s="1"/>
      <c r="T1091" s="1"/>
      <c r="U1091" s="1"/>
      <c r="V1091" s="1"/>
    </row>
    <row r="1092" spans="4:22">
      <c r="D1092" s="1"/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"/>
      <c r="Q1092" s="1"/>
      <c r="R1092" s="1"/>
      <c r="S1092" s="1"/>
      <c r="T1092" s="1"/>
      <c r="U1092" s="1"/>
      <c r="V1092" s="1"/>
    </row>
    <row r="1093" spans="4:22">
      <c r="D1093" s="1"/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1"/>
      <c r="Q1093" s="1"/>
      <c r="R1093" s="1"/>
      <c r="S1093" s="1"/>
      <c r="T1093" s="1"/>
      <c r="U1093" s="1"/>
      <c r="V1093" s="1"/>
    </row>
    <row r="1094" spans="4:22">
      <c r="D1094" s="1"/>
      <c r="E1094" s="1"/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P1094" s="1"/>
      <c r="Q1094" s="1"/>
      <c r="R1094" s="1"/>
      <c r="S1094" s="1"/>
      <c r="T1094" s="1"/>
      <c r="U1094" s="1"/>
      <c r="V1094" s="1"/>
    </row>
    <row r="1095" spans="4:22">
      <c r="D1095" s="1"/>
      <c r="E1095" s="1"/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P1095" s="1"/>
      <c r="Q1095" s="1"/>
      <c r="R1095" s="1"/>
      <c r="S1095" s="1"/>
      <c r="T1095" s="1"/>
      <c r="U1095" s="1"/>
      <c r="V1095" s="1"/>
    </row>
    <row r="1096" spans="4:22">
      <c r="D1096" s="1"/>
      <c r="E1096" s="1"/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P1096" s="1"/>
      <c r="Q1096" s="1"/>
      <c r="R1096" s="1"/>
      <c r="S1096" s="1"/>
      <c r="T1096" s="1"/>
      <c r="U1096" s="1"/>
      <c r="V1096" s="1"/>
    </row>
    <row r="1097" spans="4:22">
      <c r="D1097" s="1"/>
      <c r="E1097" s="1"/>
      <c r="F1097" s="1"/>
      <c r="G1097" s="1"/>
      <c r="H1097" s="1"/>
      <c r="I1097" s="1"/>
      <c r="J1097" s="1"/>
      <c r="K1097" s="1"/>
      <c r="L1097" s="1"/>
      <c r="M1097" s="1"/>
      <c r="N1097" s="1"/>
      <c r="O1097" s="1"/>
      <c r="P1097" s="1"/>
      <c r="Q1097" s="1"/>
      <c r="R1097" s="1"/>
      <c r="S1097" s="1"/>
      <c r="T1097" s="1"/>
      <c r="U1097" s="1"/>
      <c r="V1097" s="1"/>
    </row>
    <row r="1098" spans="4:22">
      <c r="D1098" s="1"/>
      <c r="E1098" s="1"/>
      <c r="F1098" s="1"/>
      <c r="G1098" s="1"/>
      <c r="H1098" s="1"/>
      <c r="I1098" s="1"/>
      <c r="J1098" s="1"/>
      <c r="K1098" s="1"/>
      <c r="L1098" s="1"/>
      <c r="M1098" s="1"/>
      <c r="N1098" s="1"/>
      <c r="O1098" s="1"/>
      <c r="P1098" s="1"/>
      <c r="Q1098" s="1"/>
      <c r="R1098" s="1"/>
      <c r="S1098" s="1"/>
      <c r="T1098" s="1"/>
      <c r="U1098" s="1"/>
      <c r="V1098" s="1"/>
    </row>
    <row r="1099" spans="4:22">
      <c r="D1099" s="1"/>
      <c r="E1099" s="1"/>
      <c r="F1099" s="1"/>
      <c r="G1099" s="1"/>
      <c r="H1099" s="1"/>
      <c r="I1099" s="1"/>
      <c r="J1099" s="1"/>
      <c r="K1099" s="1"/>
      <c r="L1099" s="1"/>
      <c r="M1099" s="1"/>
      <c r="N1099" s="1"/>
      <c r="O1099" s="1"/>
      <c r="P1099" s="1"/>
      <c r="Q1099" s="1"/>
      <c r="R1099" s="1"/>
      <c r="S1099" s="1"/>
      <c r="T1099" s="1"/>
      <c r="U1099" s="1"/>
      <c r="V1099" s="1"/>
    </row>
    <row r="1100" spans="4:22">
      <c r="D1100" s="1"/>
      <c r="E1100" s="1"/>
      <c r="F1100" s="1"/>
      <c r="G1100" s="1"/>
      <c r="H1100" s="1"/>
      <c r="I1100" s="1"/>
      <c r="J1100" s="1"/>
      <c r="K1100" s="1"/>
      <c r="L1100" s="1"/>
      <c r="M1100" s="1"/>
      <c r="N1100" s="1"/>
      <c r="O1100" s="1"/>
      <c r="P1100" s="1"/>
      <c r="Q1100" s="1"/>
      <c r="R1100" s="1"/>
      <c r="S1100" s="1"/>
      <c r="T1100" s="1"/>
      <c r="U1100" s="1"/>
      <c r="V1100" s="1"/>
    </row>
    <row r="1101" spans="4:22">
      <c r="D1101" s="1"/>
      <c r="E1101" s="1"/>
      <c r="F1101" s="1"/>
      <c r="G1101" s="1"/>
      <c r="H1101" s="1"/>
      <c r="I1101" s="1"/>
      <c r="J1101" s="1"/>
      <c r="K1101" s="1"/>
      <c r="L1101" s="1"/>
      <c r="M1101" s="1"/>
      <c r="N1101" s="1"/>
      <c r="O1101" s="1"/>
      <c r="P1101" s="1"/>
      <c r="Q1101" s="1"/>
      <c r="R1101" s="1"/>
      <c r="S1101" s="1"/>
      <c r="T1101" s="1"/>
      <c r="U1101" s="1"/>
      <c r="V1101" s="1"/>
    </row>
    <row r="1102" spans="4:22">
      <c r="D1102" s="1"/>
      <c r="E1102" s="1"/>
      <c r="F1102" s="1"/>
      <c r="G1102" s="1"/>
      <c r="H1102" s="1"/>
      <c r="I1102" s="1"/>
      <c r="J1102" s="1"/>
      <c r="K1102" s="1"/>
      <c r="L1102" s="1"/>
      <c r="M1102" s="1"/>
      <c r="N1102" s="1"/>
      <c r="O1102" s="1"/>
      <c r="P1102" s="1"/>
      <c r="Q1102" s="1"/>
      <c r="R1102" s="1"/>
      <c r="S1102" s="1"/>
      <c r="T1102" s="1"/>
      <c r="U1102" s="1"/>
      <c r="V1102" s="1"/>
    </row>
    <row r="1103" spans="4:22">
      <c r="D1103" s="1"/>
      <c r="E1103" s="1"/>
      <c r="F1103" s="1"/>
      <c r="G1103" s="1"/>
      <c r="H1103" s="1"/>
      <c r="I1103" s="1"/>
      <c r="J1103" s="1"/>
      <c r="K1103" s="1"/>
      <c r="L1103" s="1"/>
      <c r="M1103" s="1"/>
      <c r="N1103" s="1"/>
      <c r="O1103" s="1"/>
      <c r="P1103" s="1"/>
      <c r="Q1103" s="1"/>
      <c r="R1103" s="1"/>
      <c r="S1103" s="1"/>
      <c r="T1103" s="1"/>
      <c r="U1103" s="1"/>
      <c r="V1103" s="1"/>
    </row>
    <row r="1104" spans="4:22">
      <c r="D1104" s="1"/>
      <c r="E1104" s="1"/>
      <c r="F1104" s="1"/>
      <c r="G1104" s="1"/>
      <c r="H1104" s="1"/>
      <c r="I1104" s="1"/>
      <c r="J1104" s="1"/>
      <c r="K1104" s="1"/>
      <c r="L1104" s="1"/>
      <c r="M1104" s="1"/>
      <c r="N1104" s="1"/>
      <c r="O1104" s="1"/>
      <c r="P1104" s="1"/>
      <c r="Q1104" s="1"/>
      <c r="R1104" s="1"/>
      <c r="S1104" s="1"/>
      <c r="T1104" s="1"/>
      <c r="U1104" s="1"/>
      <c r="V1104" s="1"/>
    </row>
    <row r="1105" spans="4:22">
      <c r="D1105" s="1"/>
      <c r="E1105" s="1"/>
      <c r="F1105" s="1"/>
      <c r="G1105" s="1"/>
      <c r="H1105" s="1"/>
      <c r="I1105" s="1"/>
      <c r="J1105" s="1"/>
      <c r="K1105" s="1"/>
      <c r="L1105" s="1"/>
      <c r="M1105" s="1"/>
      <c r="N1105" s="1"/>
      <c r="O1105" s="1"/>
      <c r="P1105" s="1"/>
      <c r="Q1105" s="1"/>
      <c r="R1105" s="1"/>
      <c r="S1105" s="1"/>
      <c r="T1105" s="1"/>
      <c r="U1105" s="1"/>
      <c r="V1105" s="1"/>
    </row>
    <row r="1106" spans="4:22">
      <c r="D1106" s="1"/>
      <c r="E1106" s="1"/>
      <c r="F1106" s="1"/>
      <c r="G1106" s="1"/>
      <c r="H1106" s="1"/>
      <c r="I1106" s="1"/>
      <c r="J1106" s="1"/>
      <c r="K1106" s="1"/>
      <c r="L1106" s="1"/>
      <c r="M1106" s="1"/>
      <c r="N1106" s="1"/>
      <c r="O1106" s="1"/>
      <c r="P1106" s="1"/>
      <c r="Q1106" s="1"/>
      <c r="R1106" s="1"/>
      <c r="S1106" s="1"/>
      <c r="T1106" s="1"/>
      <c r="U1106" s="1"/>
      <c r="V1106" s="1"/>
    </row>
    <row r="1107" spans="4:22">
      <c r="D1107" s="1"/>
      <c r="E1107" s="1"/>
      <c r="F1107" s="1"/>
      <c r="G1107" s="1"/>
      <c r="H1107" s="1"/>
      <c r="I1107" s="1"/>
      <c r="J1107" s="1"/>
      <c r="K1107" s="1"/>
      <c r="L1107" s="1"/>
      <c r="M1107" s="1"/>
      <c r="N1107" s="1"/>
      <c r="O1107" s="1"/>
      <c r="P1107" s="1"/>
      <c r="Q1107" s="1"/>
      <c r="R1107" s="1"/>
      <c r="S1107" s="1"/>
      <c r="T1107" s="1"/>
      <c r="U1107" s="1"/>
      <c r="V1107" s="1"/>
    </row>
    <row r="1108" spans="4:22">
      <c r="D1108" s="1"/>
      <c r="E1108" s="1"/>
      <c r="F1108" s="1"/>
      <c r="G1108" s="1"/>
      <c r="H1108" s="1"/>
      <c r="I1108" s="1"/>
      <c r="J1108" s="1"/>
      <c r="K1108" s="1"/>
      <c r="L1108" s="1"/>
      <c r="M1108" s="1"/>
      <c r="N1108" s="1"/>
      <c r="O1108" s="1"/>
      <c r="P1108" s="1"/>
      <c r="Q1108" s="1"/>
      <c r="R1108" s="1"/>
      <c r="S1108" s="1"/>
      <c r="T1108" s="1"/>
      <c r="U1108" s="1"/>
      <c r="V1108" s="1"/>
    </row>
    <row r="1109" spans="4:22">
      <c r="D1109" s="1"/>
      <c r="E1109" s="1"/>
      <c r="F1109" s="1"/>
      <c r="G1109" s="1"/>
      <c r="H1109" s="1"/>
      <c r="I1109" s="1"/>
      <c r="J1109" s="1"/>
      <c r="K1109" s="1"/>
      <c r="L1109" s="1"/>
      <c r="M1109" s="1"/>
      <c r="N1109" s="1"/>
      <c r="O1109" s="1"/>
      <c r="P1109" s="1"/>
      <c r="Q1109" s="1"/>
      <c r="R1109" s="1"/>
      <c r="S1109" s="1"/>
      <c r="T1109" s="1"/>
      <c r="U1109" s="1"/>
      <c r="V1109" s="1"/>
    </row>
    <row r="1110" spans="4:22">
      <c r="D1110" s="1"/>
      <c r="E1110" s="1"/>
      <c r="F1110" s="1"/>
      <c r="G1110" s="1"/>
      <c r="H1110" s="1"/>
      <c r="I1110" s="1"/>
      <c r="J1110" s="1"/>
      <c r="K1110" s="1"/>
      <c r="L1110" s="1"/>
      <c r="M1110" s="1"/>
      <c r="N1110" s="1"/>
      <c r="O1110" s="1"/>
      <c r="P1110" s="1"/>
      <c r="Q1110" s="1"/>
      <c r="R1110" s="1"/>
      <c r="S1110" s="1"/>
      <c r="T1110" s="1"/>
      <c r="U1110" s="1"/>
      <c r="V1110" s="1"/>
    </row>
    <row r="1111" spans="4:22">
      <c r="D1111" s="1"/>
      <c r="E1111" s="1"/>
      <c r="F1111" s="1"/>
      <c r="G1111" s="1"/>
      <c r="H1111" s="1"/>
      <c r="I1111" s="1"/>
      <c r="J1111" s="1"/>
      <c r="K1111" s="1"/>
      <c r="L1111" s="1"/>
      <c r="M1111" s="1"/>
      <c r="N1111" s="1"/>
      <c r="O1111" s="1"/>
      <c r="P1111" s="1"/>
      <c r="Q1111" s="1"/>
      <c r="R1111" s="1"/>
      <c r="S1111" s="1"/>
      <c r="T1111" s="1"/>
      <c r="U1111" s="1"/>
      <c r="V1111" s="1"/>
    </row>
    <row r="1112" spans="4:22">
      <c r="D1112" s="1"/>
      <c r="E1112" s="1"/>
      <c r="F1112" s="1"/>
      <c r="G1112" s="1"/>
      <c r="H1112" s="1"/>
      <c r="I1112" s="1"/>
      <c r="J1112" s="1"/>
      <c r="K1112" s="1"/>
      <c r="L1112" s="1"/>
      <c r="M1112" s="1"/>
      <c r="N1112" s="1"/>
      <c r="O1112" s="1"/>
      <c r="P1112" s="1"/>
      <c r="Q1112" s="1"/>
      <c r="R1112" s="1"/>
      <c r="S1112" s="1"/>
      <c r="T1112" s="1"/>
      <c r="U1112" s="1"/>
      <c r="V1112" s="1"/>
    </row>
    <row r="1129" spans="1:22">
      <c r="A1129">
        <f>setup!C26</f>
        <v>3822</v>
      </c>
    </row>
    <row r="1130" spans="1:22">
      <c r="A1130" t="str">
        <f>_xlfn.CONCAT(setup!D26," - ",setup!E26)</f>
        <v>OSEP – Other Health Impairment - Paper - OSEP_OHI_P</v>
      </c>
      <c r="D1130" s="1"/>
      <c r="E1130" s="1"/>
      <c r="F1130" s="1"/>
      <c r="G1130" s="1"/>
      <c r="H1130" s="1"/>
      <c r="I1130" s="1"/>
      <c r="J1130" s="1"/>
      <c r="K1130" s="1"/>
      <c r="L1130" s="1"/>
      <c r="M1130" s="1"/>
      <c r="N1130" s="1"/>
      <c r="O1130" s="1"/>
      <c r="P1130" s="1"/>
      <c r="Q1130" s="1"/>
      <c r="R1130" s="1"/>
      <c r="S1130" s="1"/>
      <c r="T1130" s="1"/>
      <c r="U1130" s="1"/>
    </row>
    <row r="1131" spans="1:22">
      <c r="A1131" t="s">
        <v>35</v>
      </c>
      <c r="B1131" t="s">
        <v>36</v>
      </c>
      <c r="C1131" t="s">
        <v>37</v>
      </c>
      <c r="D1131" s="1" t="s">
        <v>38</v>
      </c>
      <c r="E1131" s="1" t="s">
        <v>39</v>
      </c>
      <c r="F1131" s="1" t="s">
        <v>40</v>
      </c>
      <c r="G1131" s="1" t="s">
        <v>41</v>
      </c>
      <c r="H1131" s="1" t="s">
        <v>42</v>
      </c>
      <c r="I1131" s="1" t="s">
        <v>43</v>
      </c>
      <c r="J1131" s="1" t="s">
        <v>44</v>
      </c>
      <c r="K1131" s="1" t="s">
        <v>45</v>
      </c>
      <c r="L1131" s="1" t="s">
        <v>46</v>
      </c>
      <c r="M1131" s="1" t="s">
        <v>47</v>
      </c>
      <c r="N1131" s="1" t="s">
        <v>48</v>
      </c>
      <c r="O1131" s="1" t="s">
        <v>49</v>
      </c>
      <c r="P1131" s="1" t="s">
        <v>50</v>
      </c>
      <c r="Q1131" s="1" t="s">
        <v>51</v>
      </c>
      <c r="R1131" s="1" t="s">
        <v>52</v>
      </c>
      <c r="S1131" s="1" t="s">
        <v>53</v>
      </c>
      <c r="T1131" t="s">
        <v>54</v>
      </c>
      <c r="U1131" s="1" t="s">
        <v>55</v>
      </c>
      <c r="V1131" t="s">
        <v>56</v>
      </c>
    </row>
    <row r="1132" spans="1:22">
      <c r="A1132" t="s">
        <v>187</v>
      </c>
      <c r="B1132" t="s">
        <v>57</v>
      </c>
      <c r="C1132" t="s">
        <v>58</v>
      </c>
      <c r="D1132" s="1">
        <v>0</v>
      </c>
      <c r="E1132" s="1">
        <v>0</v>
      </c>
      <c r="F1132" s="1">
        <v>0</v>
      </c>
      <c r="G1132" s="1">
        <v>0</v>
      </c>
      <c r="H1132" s="1">
        <v>0</v>
      </c>
      <c r="I1132" s="1">
        <v>0</v>
      </c>
      <c r="J1132" s="1">
        <v>0</v>
      </c>
      <c r="K1132" s="1">
        <v>0</v>
      </c>
      <c r="L1132" s="1">
        <v>0</v>
      </c>
      <c r="M1132" s="1">
        <v>0</v>
      </c>
      <c r="N1132" s="1">
        <v>0</v>
      </c>
      <c r="O1132" s="1">
        <v>0</v>
      </c>
      <c r="P1132" s="1">
        <v>0</v>
      </c>
      <c r="Q1132" s="1">
        <v>0</v>
      </c>
      <c r="R1132" s="1">
        <v>0</v>
      </c>
      <c r="S1132" s="1">
        <v>0</v>
      </c>
      <c r="T1132" s="1">
        <v>0</v>
      </c>
      <c r="U1132" s="1">
        <v>5</v>
      </c>
      <c r="V1132" s="1" t="s">
        <v>301</v>
      </c>
    </row>
    <row r="1133" spans="1:22">
      <c r="A1133" t="s">
        <v>187</v>
      </c>
      <c r="B1133" t="s">
        <v>57</v>
      </c>
      <c r="C1133" t="s">
        <v>59</v>
      </c>
      <c r="D1133" s="1">
        <v>0</v>
      </c>
      <c r="E1133" s="1">
        <v>0</v>
      </c>
      <c r="F1133" s="1">
        <v>0</v>
      </c>
      <c r="G1133" s="1">
        <v>0</v>
      </c>
      <c r="H1133" s="1">
        <v>0</v>
      </c>
      <c r="I1133" s="1">
        <v>0</v>
      </c>
      <c r="J1133" s="1">
        <v>0</v>
      </c>
      <c r="K1133" s="1">
        <v>0</v>
      </c>
      <c r="L1133" s="1">
        <v>0</v>
      </c>
      <c r="M1133" s="1">
        <v>0</v>
      </c>
      <c r="N1133" s="1">
        <v>0</v>
      </c>
      <c r="O1133" s="1">
        <v>0</v>
      </c>
      <c r="P1133" s="1">
        <v>0</v>
      </c>
      <c r="Q1133" s="1">
        <v>0</v>
      </c>
      <c r="R1133" s="1">
        <v>0</v>
      </c>
      <c r="S1133" s="1">
        <v>0</v>
      </c>
      <c r="T1133" s="1">
        <v>0</v>
      </c>
      <c r="U1133" s="1">
        <v>0</v>
      </c>
      <c r="V1133" s="1" t="s">
        <v>301</v>
      </c>
    </row>
    <row r="1134" spans="1:22">
      <c r="A1134" t="s">
        <v>187</v>
      </c>
      <c r="B1134" t="s">
        <v>57</v>
      </c>
      <c r="C1134" t="s">
        <v>60</v>
      </c>
      <c r="D1134" s="1">
        <v>0</v>
      </c>
      <c r="E1134" s="1">
        <v>0</v>
      </c>
      <c r="F1134" s="1">
        <v>0</v>
      </c>
      <c r="G1134" s="1">
        <v>0</v>
      </c>
      <c r="H1134" s="1">
        <v>0</v>
      </c>
      <c r="I1134" s="1">
        <v>0</v>
      </c>
      <c r="J1134" s="1">
        <v>0</v>
      </c>
      <c r="K1134" s="1">
        <v>0</v>
      </c>
      <c r="L1134" s="1">
        <v>0</v>
      </c>
      <c r="M1134" s="1">
        <v>0</v>
      </c>
      <c r="N1134" s="1">
        <v>0</v>
      </c>
      <c r="O1134" s="1">
        <v>0</v>
      </c>
      <c r="P1134" s="1">
        <v>0</v>
      </c>
      <c r="Q1134" s="1">
        <v>0</v>
      </c>
      <c r="R1134" s="1">
        <v>0</v>
      </c>
      <c r="S1134" s="1">
        <v>0</v>
      </c>
      <c r="T1134" s="1">
        <v>0</v>
      </c>
      <c r="U1134" s="1">
        <v>0</v>
      </c>
      <c r="V1134" s="1" t="s">
        <v>301</v>
      </c>
    </row>
    <row r="1135" spans="1:22">
      <c r="A1135" t="s">
        <v>187</v>
      </c>
      <c r="B1135" t="s">
        <v>57</v>
      </c>
      <c r="C1135" t="s">
        <v>61</v>
      </c>
      <c r="D1135" s="1">
        <v>0</v>
      </c>
      <c r="E1135" s="1">
        <v>0</v>
      </c>
      <c r="F1135" s="1">
        <v>0</v>
      </c>
      <c r="G1135" s="1">
        <v>0</v>
      </c>
      <c r="H1135" s="1">
        <v>0</v>
      </c>
      <c r="I1135" s="1">
        <v>0</v>
      </c>
      <c r="J1135" s="1">
        <v>0</v>
      </c>
      <c r="K1135" s="1">
        <v>0</v>
      </c>
      <c r="L1135" s="1">
        <v>0</v>
      </c>
      <c r="M1135" s="1">
        <v>0</v>
      </c>
      <c r="N1135" s="1">
        <v>0</v>
      </c>
      <c r="O1135" s="1">
        <v>0</v>
      </c>
      <c r="P1135" s="1">
        <v>0</v>
      </c>
      <c r="Q1135" s="1">
        <v>0</v>
      </c>
      <c r="R1135" s="1">
        <v>0</v>
      </c>
      <c r="S1135" s="1">
        <v>0</v>
      </c>
      <c r="T1135" s="1">
        <v>0</v>
      </c>
      <c r="U1135" s="1">
        <v>0</v>
      </c>
      <c r="V1135" s="1" t="s">
        <v>301</v>
      </c>
    </row>
    <row r="1136" spans="1:22">
      <c r="A1136" t="s">
        <v>187</v>
      </c>
      <c r="B1136" t="s">
        <v>57</v>
      </c>
      <c r="C1136" t="s">
        <v>62</v>
      </c>
      <c r="D1136" s="1">
        <v>0</v>
      </c>
      <c r="E1136" s="1">
        <v>0</v>
      </c>
      <c r="F1136" s="1">
        <v>0</v>
      </c>
      <c r="G1136" s="1">
        <v>0</v>
      </c>
      <c r="H1136" s="1">
        <v>0</v>
      </c>
      <c r="I1136" s="1">
        <v>0</v>
      </c>
      <c r="J1136" s="1">
        <v>0</v>
      </c>
      <c r="K1136" s="1">
        <v>0</v>
      </c>
      <c r="L1136" s="1">
        <v>0</v>
      </c>
      <c r="M1136" s="1">
        <v>0</v>
      </c>
      <c r="N1136" s="1">
        <v>0</v>
      </c>
      <c r="O1136" s="1">
        <v>0</v>
      </c>
      <c r="P1136" s="1">
        <v>0</v>
      </c>
      <c r="Q1136" s="1">
        <v>0</v>
      </c>
      <c r="R1136" s="1">
        <v>0</v>
      </c>
      <c r="S1136" s="1">
        <v>0</v>
      </c>
      <c r="T1136" s="1">
        <v>0</v>
      </c>
      <c r="U1136" s="1">
        <v>0</v>
      </c>
      <c r="V1136" s="1" t="s">
        <v>301</v>
      </c>
    </row>
    <row r="1137" spans="1:22">
      <c r="A1137" t="s">
        <v>187</v>
      </c>
      <c r="B1137" t="s">
        <v>57</v>
      </c>
      <c r="C1137" t="s">
        <v>63</v>
      </c>
      <c r="D1137" s="1">
        <v>0</v>
      </c>
      <c r="E1137" s="1">
        <v>0</v>
      </c>
      <c r="F1137" s="1">
        <v>0</v>
      </c>
      <c r="G1137" s="1">
        <v>0</v>
      </c>
      <c r="H1137" s="1">
        <v>0</v>
      </c>
      <c r="I1137" s="1">
        <v>0</v>
      </c>
      <c r="J1137" s="1">
        <v>0</v>
      </c>
      <c r="K1137" s="1">
        <v>0</v>
      </c>
      <c r="L1137" s="1">
        <v>0</v>
      </c>
      <c r="M1137" s="1">
        <v>0</v>
      </c>
      <c r="N1137" s="1">
        <v>0</v>
      </c>
      <c r="O1137" s="1">
        <v>0</v>
      </c>
      <c r="P1137" s="1">
        <v>0</v>
      </c>
      <c r="Q1137" s="1">
        <v>0</v>
      </c>
      <c r="R1137" s="1">
        <v>0</v>
      </c>
      <c r="S1137" s="1">
        <v>0</v>
      </c>
      <c r="T1137" s="1">
        <v>0</v>
      </c>
      <c r="U1137" s="1">
        <v>0</v>
      </c>
      <c r="V1137" s="1" t="s">
        <v>301</v>
      </c>
    </row>
    <row r="1138" spans="1:22">
      <c r="A1138" t="s">
        <v>187</v>
      </c>
      <c r="B1138" t="s">
        <v>57</v>
      </c>
      <c r="C1138" t="s">
        <v>64</v>
      </c>
      <c r="D1138" s="1">
        <v>0</v>
      </c>
      <c r="E1138" s="1">
        <v>0</v>
      </c>
      <c r="F1138" s="1">
        <v>0</v>
      </c>
      <c r="G1138" s="1">
        <v>0</v>
      </c>
      <c r="H1138" s="1">
        <v>0</v>
      </c>
      <c r="I1138" s="1">
        <v>0</v>
      </c>
      <c r="J1138" s="1">
        <v>0</v>
      </c>
      <c r="K1138" s="1">
        <v>0</v>
      </c>
      <c r="L1138" s="1">
        <v>0</v>
      </c>
      <c r="M1138" s="1">
        <v>0</v>
      </c>
      <c r="N1138" s="1">
        <v>0</v>
      </c>
      <c r="O1138" s="1">
        <v>0</v>
      </c>
      <c r="P1138" s="1">
        <v>0</v>
      </c>
      <c r="Q1138" s="1">
        <v>0</v>
      </c>
      <c r="R1138" s="1">
        <v>0</v>
      </c>
      <c r="S1138" s="1">
        <v>0</v>
      </c>
      <c r="T1138" s="1">
        <v>0</v>
      </c>
      <c r="U1138" s="1">
        <v>0</v>
      </c>
      <c r="V1138" s="1" t="s">
        <v>301</v>
      </c>
    </row>
    <row r="1139" spans="1:22">
      <c r="A1139" t="s">
        <v>187</v>
      </c>
      <c r="B1139" t="s">
        <v>57</v>
      </c>
      <c r="C1139" t="s">
        <v>65</v>
      </c>
      <c r="D1139" s="1">
        <v>0</v>
      </c>
      <c r="E1139" s="1">
        <v>0</v>
      </c>
      <c r="F1139" s="1">
        <v>0</v>
      </c>
      <c r="G1139" s="1">
        <v>0</v>
      </c>
      <c r="H1139" s="1">
        <v>0</v>
      </c>
      <c r="I1139" s="1">
        <v>0</v>
      </c>
      <c r="J1139" s="1">
        <v>0</v>
      </c>
      <c r="K1139" s="1">
        <v>0</v>
      </c>
      <c r="L1139" s="1">
        <v>0</v>
      </c>
      <c r="M1139" s="1">
        <v>0</v>
      </c>
      <c r="N1139" s="1">
        <v>0</v>
      </c>
      <c r="O1139" s="1">
        <v>0</v>
      </c>
      <c r="P1139" s="1">
        <v>0</v>
      </c>
      <c r="Q1139" s="1">
        <v>0</v>
      </c>
      <c r="R1139" s="1">
        <v>0</v>
      </c>
      <c r="S1139" s="1">
        <v>0</v>
      </c>
      <c r="T1139" s="1">
        <v>0</v>
      </c>
      <c r="U1139" s="1">
        <v>0</v>
      </c>
      <c r="V1139" s="1" t="s">
        <v>301</v>
      </c>
    </row>
    <row r="1140" spans="1:22">
      <c r="A1140" t="s">
        <v>188</v>
      </c>
      <c r="B1140" t="s">
        <v>57</v>
      </c>
      <c r="C1140" t="s">
        <v>58</v>
      </c>
      <c r="D1140" s="1">
        <v>0</v>
      </c>
      <c r="E1140" s="1">
        <v>0</v>
      </c>
      <c r="F1140" s="1">
        <v>0</v>
      </c>
      <c r="G1140" s="1">
        <v>0</v>
      </c>
      <c r="H1140" s="1">
        <v>0</v>
      </c>
      <c r="I1140" s="1">
        <v>0</v>
      </c>
      <c r="J1140" s="1">
        <v>0</v>
      </c>
      <c r="K1140" s="1">
        <v>0</v>
      </c>
      <c r="L1140" s="1">
        <v>0</v>
      </c>
      <c r="M1140" s="1">
        <v>0</v>
      </c>
      <c r="N1140" s="1">
        <v>0</v>
      </c>
      <c r="O1140" s="1">
        <v>0</v>
      </c>
      <c r="P1140" s="1">
        <v>0</v>
      </c>
      <c r="Q1140" s="1">
        <v>0</v>
      </c>
      <c r="R1140" s="1">
        <v>0</v>
      </c>
      <c r="S1140" s="1">
        <v>0</v>
      </c>
      <c r="T1140" s="1">
        <v>0</v>
      </c>
      <c r="U1140" s="1">
        <v>5</v>
      </c>
      <c r="V1140" s="1" t="s">
        <v>301</v>
      </c>
    </row>
    <row r="1141" spans="1:22">
      <c r="A1141" t="s">
        <v>188</v>
      </c>
      <c r="B1141" t="s">
        <v>57</v>
      </c>
      <c r="C1141" t="s">
        <v>59</v>
      </c>
      <c r="D1141" s="1">
        <v>0</v>
      </c>
      <c r="E1141" s="1">
        <v>0</v>
      </c>
      <c r="F1141" s="1">
        <v>0</v>
      </c>
      <c r="G1141" s="1">
        <v>0</v>
      </c>
      <c r="H1141" s="1">
        <v>0</v>
      </c>
      <c r="I1141" s="1">
        <v>0</v>
      </c>
      <c r="J1141" s="1">
        <v>0</v>
      </c>
      <c r="K1141" s="1">
        <v>0</v>
      </c>
      <c r="L1141" s="1">
        <v>0</v>
      </c>
      <c r="M1141" s="1">
        <v>0</v>
      </c>
      <c r="N1141" s="1">
        <v>0</v>
      </c>
      <c r="O1141" s="1">
        <v>0</v>
      </c>
      <c r="P1141" s="1">
        <v>0</v>
      </c>
      <c r="Q1141" s="1">
        <v>0</v>
      </c>
      <c r="R1141" s="1">
        <v>0</v>
      </c>
      <c r="S1141" s="1">
        <v>0</v>
      </c>
      <c r="T1141" s="1">
        <v>0</v>
      </c>
      <c r="U1141" s="1">
        <v>0</v>
      </c>
      <c r="V1141" s="1" t="s">
        <v>301</v>
      </c>
    </row>
    <row r="1142" spans="1:22">
      <c r="A1142" t="s">
        <v>188</v>
      </c>
      <c r="B1142" t="s">
        <v>57</v>
      </c>
      <c r="C1142" t="s">
        <v>60</v>
      </c>
      <c r="D1142" s="1">
        <v>0</v>
      </c>
      <c r="E1142" s="1">
        <v>0</v>
      </c>
      <c r="F1142" s="1">
        <v>0</v>
      </c>
      <c r="G1142" s="1">
        <v>0</v>
      </c>
      <c r="H1142" s="1">
        <v>0</v>
      </c>
      <c r="I1142" s="1">
        <v>0</v>
      </c>
      <c r="J1142" s="1">
        <v>0</v>
      </c>
      <c r="K1142" s="1">
        <v>0</v>
      </c>
      <c r="L1142" s="1">
        <v>0</v>
      </c>
      <c r="M1142" s="1">
        <v>0</v>
      </c>
      <c r="N1142" s="1">
        <v>0</v>
      </c>
      <c r="O1142" s="1">
        <v>0</v>
      </c>
      <c r="P1142" s="1">
        <v>0</v>
      </c>
      <c r="Q1142" s="1">
        <v>0</v>
      </c>
      <c r="R1142" s="1">
        <v>0</v>
      </c>
      <c r="S1142" s="1">
        <v>0</v>
      </c>
      <c r="T1142" s="1">
        <v>0</v>
      </c>
      <c r="U1142" s="1">
        <v>0</v>
      </c>
      <c r="V1142" s="1" t="s">
        <v>301</v>
      </c>
    </row>
    <row r="1143" spans="1:22">
      <c r="A1143" t="s">
        <v>188</v>
      </c>
      <c r="B1143" t="s">
        <v>57</v>
      </c>
      <c r="C1143" t="s">
        <v>61</v>
      </c>
      <c r="D1143" s="1">
        <v>0</v>
      </c>
      <c r="E1143" s="1">
        <v>0</v>
      </c>
      <c r="F1143" s="1">
        <v>0</v>
      </c>
      <c r="G1143" s="1">
        <v>0</v>
      </c>
      <c r="H1143" s="1">
        <v>0</v>
      </c>
      <c r="I1143" s="1">
        <v>0</v>
      </c>
      <c r="J1143" s="1">
        <v>0</v>
      </c>
      <c r="K1143" s="1">
        <v>0</v>
      </c>
      <c r="L1143" s="1">
        <v>0</v>
      </c>
      <c r="M1143" s="1">
        <v>0</v>
      </c>
      <c r="N1143" s="1">
        <v>0</v>
      </c>
      <c r="O1143" s="1">
        <v>0</v>
      </c>
      <c r="P1143" s="1">
        <v>0</v>
      </c>
      <c r="Q1143" s="1">
        <v>0</v>
      </c>
      <c r="R1143" s="1">
        <v>0</v>
      </c>
      <c r="S1143" s="1">
        <v>0</v>
      </c>
      <c r="T1143" s="1">
        <v>0</v>
      </c>
      <c r="U1143" s="1">
        <v>0</v>
      </c>
      <c r="V1143" s="1" t="s">
        <v>301</v>
      </c>
    </row>
    <row r="1144" spans="1:22">
      <c r="A1144" t="s">
        <v>188</v>
      </c>
      <c r="B1144" t="s">
        <v>57</v>
      </c>
      <c r="C1144" t="s">
        <v>62</v>
      </c>
      <c r="D1144" s="1">
        <v>0</v>
      </c>
      <c r="E1144" s="1">
        <v>0</v>
      </c>
      <c r="F1144" s="1">
        <v>0</v>
      </c>
      <c r="G1144" s="1">
        <v>0</v>
      </c>
      <c r="H1144" s="1">
        <v>0</v>
      </c>
      <c r="I1144" s="1">
        <v>0</v>
      </c>
      <c r="J1144" s="1">
        <v>0</v>
      </c>
      <c r="K1144" s="1">
        <v>0</v>
      </c>
      <c r="L1144" s="1">
        <v>0</v>
      </c>
      <c r="M1144" s="1">
        <v>0</v>
      </c>
      <c r="N1144" s="1">
        <v>0</v>
      </c>
      <c r="O1144" s="1">
        <v>0</v>
      </c>
      <c r="P1144" s="1">
        <v>0</v>
      </c>
      <c r="Q1144" s="1">
        <v>0</v>
      </c>
      <c r="R1144" s="1">
        <v>0</v>
      </c>
      <c r="S1144" s="1">
        <v>0</v>
      </c>
      <c r="T1144" s="1">
        <v>0</v>
      </c>
      <c r="U1144" s="1">
        <v>0</v>
      </c>
      <c r="V1144" s="1" t="s">
        <v>301</v>
      </c>
    </row>
    <row r="1145" spans="1:22">
      <c r="A1145" t="s">
        <v>188</v>
      </c>
      <c r="B1145" t="s">
        <v>57</v>
      </c>
      <c r="C1145" t="s">
        <v>63</v>
      </c>
      <c r="D1145" s="1">
        <v>0</v>
      </c>
      <c r="E1145" s="1">
        <v>0</v>
      </c>
      <c r="F1145" s="1">
        <v>0</v>
      </c>
      <c r="G1145" s="1">
        <v>0</v>
      </c>
      <c r="H1145" s="1">
        <v>0</v>
      </c>
      <c r="I1145" s="1">
        <v>0</v>
      </c>
      <c r="J1145" s="1">
        <v>0</v>
      </c>
      <c r="K1145" s="1">
        <v>0</v>
      </c>
      <c r="L1145" s="1">
        <v>0</v>
      </c>
      <c r="M1145" s="1">
        <v>0</v>
      </c>
      <c r="N1145" s="1">
        <v>0</v>
      </c>
      <c r="O1145" s="1">
        <v>0</v>
      </c>
      <c r="P1145" s="1">
        <v>0</v>
      </c>
      <c r="Q1145" s="1">
        <v>0</v>
      </c>
      <c r="R1145" s="1">
        <v>0</v>
      </c>
      <c r="S1145" s="1">
        <v>0</v>
      </c>
      <c r="T1145" s="1">
        <v>0</v>
      </c>
      <c r="U1145" s="1">
        <v>0</v>
      </c>
      <c r="V1145" s="1" t="s">
        <v>301</v>
      </c>
    </row>
    <row r="1146" spans="1:22">
      <c r="A1146" t="s">
        <v>188</v>
      </c>
      <c r="B1146" t="s">
        <v>57</v>
      </c>
      <c r="C1146" t="s">
        <v>64</v>
      </c>
      <c r="D1146" s="1">
        <v>0</v>
      </c>
      <c r="E1146" s="1">
        <v>0</v>
      </c>
      <c r="F1146" s="1">
        <v>0</v>
      </c>
      <c r="G1146" s="1">
        <v>0</v>
      </c>
      <c r="H1146" s="1">
        <v>0</v>
      </c>
      <c r="I1146" s="1">
        <v>0</v>
      </c>
      <c r="J1146" s="1">
        <v>0</v>
      </c>
      <c r="K1146" s="1">
        <v>0</v>
      </c>
      <c r="L1146" s="1">
        <v>0</v>
      </c>
      <c r="M1146" s="1">
        <v>0</v>
      </c>
      <c r="N1146" s="1">
        <v>0</v>
      </c>
      <c r="O1146" s="1">
        <v>0</v>
      </c>
      <c r="P1146" s="1">
        <v>0</v>
      </c>
      <c r="Q1146" s="1">
        <v>0</v>
      </c>
      <c r="R1146" s="1">
        <v>0</v>
      </c>
      <c r="S1146" s="1">
        <v>0</v>
      </c>
      <c r="T1146" s="1">
        <v>0</v>
      </c>
      <c r="U1146" s="1">
        <v>0</v>
      </c>
      <c r="V1146" s="1" t="s">
        <v>301</v>
      </c>
    </row>
    <row r="1147" spans="1:22">
      <c r="A1147" t="s">
        <v>188</v>
      </c>
      <c r="B1147" t="s">
        <v>57</v>
      </c>
      <c r="C1147" t="s">
        <v>65</v>
      </c>
      <c r="D1147" s="1">
        <v>0</v>
      </c>
      <c r="E1147" s="1">
        <v>0</v>
      </c>
      <c r="F1147" s="1">
        <v>0</v>
      </c>
      <c r="G1147" s="1">
        <v>0</v>
      </c>
      <c r="H1147" s="1">
        <v>0</v>
      </c>
      <c r="I1147" s="1">
        <v>0</v>
      </c>
      <c r="J1147" s="1">
        <v>0</v>
      </c>
      <c r="K1147" s="1">
        <v>0</v>
      </c>
      <c r="L1147" s="1">
        <v>0</v>
      </c>
      <c r="M1147" s="1">
        <v>0</v>
      </c>
      <c r="N1147" s="1">
        <v>0</v>
      </c>
      <c r="O1147" s="1">
        <v>0</v>
      </c>
      <c r="P1147" s="1">
        <v>0</v>
      </c>
      <c r="Q1147" s="1">
        <v>0</v>
      </c>
      <c r="R1147" s="1">
        <v>0</v>
      </c>
      <c r="S1147" s="1">
        <v>0</v>
      </c>
      <c r="T1147" s="1">
        <v>0</v>
      </c>
      <c r="U1147" s="1">
        <v>0</v>
      </c>
      <c r="V1147" s="1" t="s">
        <v>301</v>
      </c>
    </row>
    <row r="1148" spans="1:22">
      <c r="A1148" t="s">
        <v>66</v>
      </c>
      <c r="B1148" t="s">
        <v>57</v>
      </c>
      <c r="C1148" t="s">
        <v>58</v>
      </c>
      <c r="D1148" s="1">
        <v>0</v>
      </c>
      <c r="E1148" s="1">
        <v>0</v>
      </c>
      <c r="F1148" s="1">
        <v>0</v>
      </c>
      <c r="G1148" s="1">
        <v>0</v>
      </c>
      <c r="H1148" s="1">
        <v>0</v>
      </c>
      <c r="I1148" s="1">
        <v>0</v>
      </c>
      <c r="J1148" s="1">
        <v>0</v>
      </c>
      <c r="K1148" s="1">
        <v>0</v>
      </c>
      <c r="L1148" s="1">
        <v>0</v>
      </c>
      <c r="M1148" s="1">
        <v>0</v>
      </c>
      <c r="N1148" s="1">
        <v>0</v>
      </c>
      <c r="O1148" s="1">
        <v>0</v>
      </c>
      <c r="P1148" s="1">
        <v>0</v>
      </c>
      <c r="Q1148" s="1">
        <v>0</v>
      </c>
      <c r="R1148" s="1">
        <v>0</v>
      </c>
      <c r="S1148" s="1">
        <v>0</v>
      </c>
      <c r="T1148" s="1">
        <v>0</v>
      </c>
      <c r="U1148" s="1">
        <v>5</v>
      </c>
      <c r="V1148" s="1" t="s">
        <v>301</v>
      </c>
    </row>
    <row r="1149" spans="1:22">
      <c r="A1149" t="s">
        <v>66</v>
      </c>
      <c r="B1149" t="s">
        <v>57</v>
      </c>
      <c r="C1149" t="s">
        <v>59</v>
      </c>
      <c r="D1149" s="1">
        <v>0</v>
      </c>
      <c r="E1149" s="1">
        <v>0</v>
      </c>
      <c r="F1149" s="1">
        <v>0</v>
      </c>
      <c r="G1149" s="1">
        <v>0</v>
      </c>
      <c r="H1149" s="1">
        <v>0</v>
      </c>
      <c r="I1149" s="1">
        <v>0</v>
      </c>
      <c r="J1149" s="1">
        <v>0</v>
      </c>
      <c r="K1149" s="1">
        <v>0</v>
      </c>
      <c r="L1149" s="1">
        <v>0</v>
      </c>
      <c r="M1149" s="1">
        <v>0</v>
      </c>
      <c r="N1149" s="1">
        <v>0</v>
      </c>
      <c r="O1149" s="1">
        <v>0</v>
      </c>
      <c r="P1149" s="1">
        <v>0</v>
      </c>
      <c r="Q1149" s="1">
        <v>0</v>
      </c>
      <c r="R1149" s="1">
        <v>0</v>
      </c>
      <c r="S1149" s="1">
        <v>0</v>
      </c>
      <c r="T1149" s="1">
        <v>0</v>
      </c>
      <c r="U1149" s="1">
        <v>0</v>
      </c>
      <c r="V1149" s="1" t="s">
        <v>301</v>
      </c>
    </row>
    <row r="1150" spans="1:22">
      <c r="A1150" t="s">
        <v>66</v>
      </c>
      <c r="B1150" t="s">
        <v>57</v>
      </c>
      <c r="C1150" t="s">
        <v>60</v>
      </c>
      <c r="D1150" s="1">
        <v>0</v>
      </c>
      <c r="E1150" s="1">
        <v>0</v>
      </c>
      <c r="F1150" s="1">
        <v>0</v>
      </c>
      <c r="G1150" s="1">
        <v>0</v>
      </c>
      <c r="H1150" s="1">
        <v>0</v>
      </c>
      <c r="I1150" s="1">
        <v>0</v>
      </c>
      <c r="J1150" s="1">
        <v>0</v>
      </c>
      <c r="K1150" s="1">
        <v>0</v>
      </c>
      <c r="L1150" s="1">
        <v>0</v>
      </c>
      <c r="M1150" s="1">
        <v>0</v>
      </c>
      <c r="N1150" s="1">
        <v>0</v>
      </c>
      <c r="O1150" s="1">
        <v>0</v>
      </c>
      <c r="P1150" s="1">
        <v>0</v>
      </c>
      <c r="Q1150" s="1">
        <v>0</v>
      </c>
      <c r="R1150" s="1">
        <v>0</v>
      </c>
      <c r="S1150" s="1">
        <v>0</v>
      </c>
      <c r="T1150" s="1">
        <v>0</v>
      </c>
      <c r="U1150" s="1">
        <v>0</v>
      </c>
      <c r="V1150" s="1" t="s">
        <v>301</v>
      </c>
    </row>
    <row r="1151" spans="1:22">
      <c r="A1151" t="s">
        <v>66</v>
      </c>
      <c r="B1151" t="s">
        <v>57</v>
      </c>
      <c r="C1151" t="s">
        <v>61</v>
      </c>
      <c r="D1151" s="1">
        <v>0</v>
      </c>
      <c r="E1151" s="1">
        <v>0</v>
      </c>
      <c r="F1151" s="1">
        <v>0</v>
      </c>
      <c r="G1151" s="1">
        <v>0</v>
      </c>
      <c r="H1151" s="1">
        <v>0</v>
      </c>
      <c r="I1151" s="1">
        <v>0</v>
      </c>
      <c r="J1151" s="1">
        <v>0</v>
      </c>
      <c r="K1151" s="1">
        <v>0</v>
      </c>
      <c r="L1151" s="1">
        <v>0</v>
      </c>
      <c r="M1151" s="1">
        <v>0</v>
      </c>
      <c r="N1151" s="1">
        <v>0</v>
      </c>
      <c r="O1151" s="1">
        <v>0</v>
      </c>
      <c r="P1151" s="1">
        <v>0</v>
      </c>
      <c r="Q1151" s="1">
        <v>0</v>
      </c>
      <c r="R1151" s="1">
        <v>0</v>
      </c>
      <c r="S1151" s="1">
        <v>0</v>
      </c>
      <c r="T1151" s="1">
        <v>0</v>
      </c>
      <c r="U1151" s="1">
        <v>0</v>
      </c>
      <c r="V1151" s="1" t="s">
        <v>301</v>
      </c>
    </row>
    <row r="1152" spans="1:22">
      <c r="A1152" t="s">
        <v>66</v>
      </c>
      <c r="B1152" t="s">
        <v>57</v>
      </c>
      <c r="C1152" t="s">
        <v>62</v>
      </c>
      <c r="D1152" s="1">
        <v>0</v>
      </c>
      <c r="E1152" s="1">
        <v>0</v>
      </c>
      <c r="F1152" s="1">
        <v>0</v>
      </c>
      <c r="G1152" s="1">
        <v>0</v>
      </c>
      <c r="H1152" s="1">
        <v>0</v>
      </c>
      <c r="I1152" s="1">
        <v>0</v>
      </c>
      <c r="J1152" s="1">
        <v>0</v>
      </c>
      <c r="K1152" s="1">
        <v>0</v>
      </c>
      <c r="L1152" s="1">
        <v>0</v>
      </c>
      <c r="M1152" s="1">
        <v>0</v>
      </c>
      <c r="N1152" s="1">
        <v>0</v>
      </c>
      <c r="O1152" s="1">
        <v>0</v>
      </c>
      <c r="P1152" s="1">
        <v>0</v>
      </c>
      <c r="Q1152" s="1">
        <v>0</v>
      </c>
      <c r="R1152" s="1">
        <v>0</v>
      </c>
      <c r="S1152" s="1">
        <v>0</v>
      </c>
      <c r="T1152" s="1">
        <v>0</v>
      </c>
      <c r="U1152" s="1">
        <v>0</v>
      </c>
      <c r="V1152" s="1" t="s">
        <v>301</v>
      </c>
    </row>
    <row r="1153" spans="1:22">
      <c r="A1153" t="s">
        <v>66</v>
      </c>
      <c r="B1153" t="s">
        <v>57</v>
      </c>
      <c r="C1153" t="s">
        <v>63</v>
      </c>
      <c r="D1153" s="1">
        <v>0</v>
      </c>
      <c r="E1153" s="1">
        <v>0</v>
      </c>
      <c r="F1153" s="1">
        <v>0</v>
      </c>
      <c r="G1153" s="1">
        <v>0</v>
      </c>
      <c r="H1153" s="1">
        <v>0</v>
      </c>
      <c r="I1153" s="1">
        <v>0</v>
      </c>
      <c r="J1153" s="1">
        <v>0</v>
      </c>
      <c r="K1153" s="1">
        <v>0</v>
      </c>
      <c r="L1153" s="1">
        <v>0</v>
      </c>
      <c r="M1153" s="1">
        <v>0</v>
      </c>
      <c r="N1153" s="1">
        <v>0</v>
      </c>
      <c r="O1153" s="1">
        <v>0</v>
      </c>
      <c r="P1153" s="1">
        <v>0</v>
      </c>
      <c r="Q1153" s="1">
        <v>0</v>
      </c>
      <c r="R1153" s="1">
        <v>0</v>
      </c>
      <c r="S1153" s="1">
        <v>0</v>
      </c>
      <c r="T1153" s="1">
        <v>0</v>
      </c>
      <c r="U1153" s="1">
        <v>0</v>
      </c>
      <c r="V1153" s="1" t="s">
        <v>301</v>
      </c>
    </row>
    <row r="1154" spans="1:22">
      <c r="A1154" t="s">
        <v>66</v>
      </c>
      <c r="B1154" t="s">
        <v>57</v>
      </c>
      <c r="C1154" t="s">
        <v>64</v>
      </c>
      <c r="D1154" s="1">
        <v>0</v>
      </c>
      <c r="E1154" s="1">
        <v>0</v>
      </c>
      <c r="F1154" s="1">
        <v>0</v>
      </c>
      <c r="G1154" s="1">
        <v>0</v>
      </c>
      <c r="H1154" s="1">
        <v>0</v>
      </c>
      <c r="I1154" s="1">
        <v>0</v>
      </c>
      <c r="J1154" s="1">
        <v>0</v>
      </c>
      <c r="K1154" s="1">
        <v>0</v>
      </c>
      <c r="L1154" s="1">
        <v>0</v>
      </c>
      <c r="M1154" s="1">
        <v>0</v>
      </c>
      <c r="N1154" s="1">
        <v>0</v>
      </c>
      <c r="O1154" s="1">
        <v>0</v>
      </c>
      <c r="P1154" s="1">
        <v>0</v>
      </c>
      <c r="Q1154" s="1">
        <v>0</v>
      </c>
      <c r="R1154" s="1">
        <v>0</v>
      </c>
      <c r="S1154" s="1">
        <v>0</v>
      </c>
      <c r="T1154" s="1">
        <v>0</v>
      </c>
      <c r="U1154" s="1">
        <v>0</v>
      </c>
      <c r="V1154" s="1" t="s">
        <v>301</v>
      </c>
    </row>
    <row r="1155" spans="1:22">
      <c r="A1155" t="s">
        <v>66</v>
      </c>
      <c r="B1155" t="s">
        <v>57</v>
      </c>
      <c r="C1155" t="s">
        <v>65</v>
      </c>
      <c r="D1155" s="1">
        <v>0</v>
      </c>
      <c r="E1155" s="1">
        <v>0</v>
      </c>
      <c r="F1155" s="1">
        <v>0</v>
      </c>
      <c r="G1155" s="1">
        <v>0</v>
      </c>
      <c r="H1155" s="1">
        <v>0</v>
      </c>
      <c r="I1155" s="1">
        <v>0</v>
      </c>
      <c r="J1155" s="1">
        <v>0</v>
      </c>
      <c r="K1155" s="1">
        <v>0</v>
      </c>
      <c r="L1155" s="1">
        <v>0</v>
      </c>
      <c r="M1155" s="1">
        <v>0</v>
      </c>
      <c r="N1155" s="1">
        <v>0</v>
      </c>
      <c r="O1155" s="1">
        <v>0</v>
      </c>
      <c r="P1155" s="1">
        <v>0</v>
      </c>
      <c r="Q1155" s="1">
        <v>0</v>
      </c>
      <c r="R1155" s="1">
        <v>0</v>
      </c>
      <c r="S1155" s="1">
        <v>0</v>
      </c>
      <c r="T1155" s="1">
        <v>0</v>
      </c>
      <c r="U1155" s="1">
        <v>0</v>
      </c>
      <c r="V1155" s="1" t="s">
        <v>301</v>
      </c>
    </row>
    <row r="1156" spans="1:22">
      <c r="A1156" t="s">
        <v>189</v>
      </c>
      <c r="B1156" t="s">
        <v>57</v>
      </c>
      <c r="C1156" t="s">
        <v>58</v>
      </c>
      <c r="D1156" s="1">
        <v>0</v>
      </c>
      <c r="E1156" s="1">
        <v>0</v>
      </c>
      <c r="F1156" s="1">
        <v>0</v>
      </c>
      <c r="G1156" s="1">
        <v>0</v>
      </c>
      <c r="H1156" s="1">
        <v>0</v>
      </c>
      <c r="I1156" s="1">
        <v>0</v>
      </c>
      <c r="J1156" s="1">
        <v>0</v>
      </c>
      <c r="K1156" s="1">
        <v>0</v>
      </c>
      <c r="L1156" s="1">
        <v>0</v>
      </c>
      <c r="M1156" s="1">
        <v>0</v>
      </c>
      <c r="N1156" s="1">
        <v>0</v>
      </c>
      <c r="O1156" s="1">
        <v>0</v>
      </c>
      <c r="P1156" s="1">
        <v>0</v>
      </c>
      <c r="Q1156" s="1">
        <v>0</v>
      </c>
      <c r="R1156" s="1">
        <v>0</v>
      </c>
      <c r="S1156" s="1">
        <v>0</v>
      </c>
      <c r="T1156" s="1">
        <v>0</v>
      </c>
      <c r="U1156" s="1">
        <v>5</v>
      </c>
      <c r="V1156" s="1" t="s">
        <v>301</v>
      </c>
    </row>
    <row r="1157" spans="1:22">
      <c r="A1157" t="s">
        <v>189</v>
      </c>
      <c r="B1157" t="s">
        <v>57</v>
      </c>
      <c r="C1157" t="s">
        <v>59</v>
      </c>
      <c r="D1157" s="1">
        <v>0</v>
      </c>
      <c r="E1157" s="1">
        <v>0</v>
      </c>
      <c r="F1157" s="1">
        <v>0</v>
      </c>
      <c r="G1157" s="1">
        <v>0</v>
      </c>
      <c r="H1157" s="1">
        <v>0</v>
      </c>
      <c r="I1157" s="1">
        <v>0</v>
      </c>
      <c r="J1157" s="1">
        <v>0</v>
      </c>
      <c r="K1157" s="1">
        <v>0</v>
      </c>
      <c r="L1157" s="1">
        <v>0</v>
      </c>
      <c r="M1157" s="1">
        <v>0</v>
      </c>
      <c r="N1157" s="1">
        <v>0</v>
      </c>
      <c r="O1157" s="1">
        <v>0</v>
      </c>
      <c r="P1157" s="1">
        <v>0</v>
      </c>
      <c r="Q1157" s="1">
        <v>0</v>
      </c>
      <c r="R1157" s="1">
        <v>0</v>
      </c>
      <c r="S1157" s="1">
        <v>0</v>
      </c>
      <c r="T1157" s="1">
        <v>0</v>
      </c>
      <c r="U1157" s="1">
        <v>0</v>
      </c>
      <c r="V1157" s="1" t="s">
        <v>301</v>
      </c>
    </row>
    <row r="1158" spans="1:22">
      <c r="A1158" t="s">
        <v>189</v>
      </c>
      <c r="B1158" t="s">
        <v>57</v>
      </c>
      <c r="C1158" t="s">
        <v>60</v>
      </c>
      <c r="D1158" s="1">
        <v>0</v>
      </c>
      <c r="E1158" s="1">
        <v>0</v>
      </c>
      <c r="F1158" s="1">
        <v>0</v>
      </c>
      <c r="G1158" s="1">
        <v>0</v>
      </c>
      <c r="H1158" s="1">
        <v>0</v>
      </c>
      <c r="I1158" s="1">
        <v>0</v>
      </c>
      <c r="J1158" s="1">
        <v>0</v>
      </c>
      <c r="K1158" s="1">
        <v>0</v>
      </c>
      <c r="L1158" s="1">
        <v>0</v>
      </c>
      <c r="M1158" s="1">
        <v>0</v>
      </c>
      <c r="N1158" s="1">
        <v>0</v>
      </c>
      <c r="O1158" s="1">
        <v>0</v>
      </c>
      <c r="P1158" s="1">
        <v>0</v>
      </c>
      <c r="Q1158" s="1">
        <v>0</v>
      </c>
      <c r="R1158" s="1">
        <v>0</v>
      </c>
      <c r="S1158" s="1">
        <v>0</v>
      </c>
      <c r="T1158" s="1">
        <v>0</v>
      </c>
      <c r="U1158" s="1">
        <v>0</v>
      </c>
      <c r="V1158" s="1" t="s">
        <v>301</v>
      </c>
    </row>
    <row r="1159" spans="1:22">
      <c r="A1159" t="s">
        <v>189</v>
      </c>
      <c r="B1159" t="s">
        <v>57</v>
      </c>
      <c r="C1159" t="s">
        <v>61</v>
      </c>
      <c r="D1159" s="1">
        <v>0</v>
      </c>
      <c r="E1159" s="1">
        <v>0</v>
      </c>
      <c r="F1159" s="1">
        <v>0</v>
      </c>
      <c r="G1159" s="1">
        <v>0</v>
      </c>
      <c r="H1159" s="1">
        <v>0</v>
      </c>
      <c r="I1159" s="1">
        <v>0</v>
      </c>
      <c r="J1159" s="1">
        <v>0</v>
      </c>
      <c r="K1159" s="1">
        <v>0</v>
      </c>
      <c r="L1159" s="1">
        <v>0</v>
      </c>
      <c r="M1159" s="1">
        <v>0</v>
      </c>
      <c r="N1159" s="1">
        <v>0</v>
      </c>
      <c r="O1159" s="1">
        <v>0</v>
      </c>
      <c r="P1159" s="1">
        <v>0</v>
      </c>
      <c r="Q1159" s="1">
        <v>0</v>
      </c>
      <c r="R1159" s="1">
        <v>0</v>
      </c>
      <c r="S1159" s="1">
        <v>0</v>
      </c>
      <c r="T1159" s="1">
        <v>0</v>
      </c>
      <c r="U1159" s="1">
        <v>0</v>
      </c>
      <c r="V1159" s="1" t="s">
        <v>301</v>
      </c>
    </row>
    <row r="1160" spans="1:22">
      <c r="A1160" t="s">
        <v>189</v>
      </c>
      <c r="B1160" t="s">
        <v>57</v>
      </c>
      <c r="C1160" t="s">
        <v>62</v>
      </c>
      <c r="D1160" s="1">
        <v>0</v>
      </c>
      <c r="E1160" s="1">
        <v>0</v>
      </c>
      <c r="F1160" s="1">
        <v>0</v>
      </c>
      <c r="G1160" s="1">
        <v>0</v>
      </c>
      <c r="H1160" s="1">
        <v>0</v>
      </c>
      <c r="I1160" s="1">
        <v>0</v>
      </c>
      <c r="J1160" s="1">
        <v>0</v>
      </c>
      <c r="K1160" s="1">
        <v>0</v>
      </c>
      <c r="L1160" s="1">
        <v>0</v>
      </c>
      <c r="M1160" s="1">
        <v>0</v>
      </c>
      <c r="N1160" s="1">
        <v>0</v>
      </c>
      <c r="O1160" s="1">
        <v>0</v>
      </c>
      <c r="P1160" s="1">
        <v>0</v>
      </c>
      <c r="Q1160" s="1">
        <v>0</v>
      </c>
      <c r="R1160" s="1">
        <v>0</v>
      </c>
      <c r="S1160" s="1">
        <v>0</v>
      </c>
      <c r="T1160" s="1">
        <v>0</v>
      </c>
      <c r="U1160" s="1">
        <v>0</v>
      </c>
      <c r="V1160" s="1" t="s">
        <v>301</v>
      </c>
    </row>
    <row r="1161" spans="1:22">
      <c r="A1161" t="s">
        <v>189</v>
      </c>
      <c r="B1161" t="s">
        <v>57</v>
      </c>
      <c r="C1161" t="s">
        <v>63</v>
      </c>
      <c r="D1161" s="1">
        <v>0</v>
      </c>
      <c r="E1161" s="1">
        <v>0</v>
      </c>
      <c r="F1161" s="1">
        <v>0</v>
      </c>
      <c r="G1161" s="1">
        <v>0</v>
      </c>
      <c r="H1161" s="1">
        <v>0</v>
      </c>
      <c r="I1161" s="1">
        <v>0</v>
      </c>
      <c r="J1161" s="1">
        <v>0</v>
      </c>
      <c r="K1161" s="1">
        <v>0</v>
      </c>
      <c r="L1161" s="1">
        <v>0</v>
      </c>
      <c r="M1161" s="1">
        <v>0</v>
      </c>
      <c r="N1161" s="1">
        <v>0</v>
      </c>
      <c r="O1161" s="1">
        <v>0</v>
      </c>
      <c r="P1161" s="1">
        <v>0</v>
      </c>
      <c r="Q1161" s="1">
        <v>0</v>
      </c>
      <c r="R1161" s="1">
        <v>0</v>
      </c>
      <c r="S1161" s="1">
        <v>0</v>
      </c>
      <c r="T1161" s="1">
        <v>0</v>
      </c>
      <c r="U1161" s="1">
        <v>0</v>
      </c>
      <c r="V1161" s="1" t="s">
        <v>301</v>
      </c>
    </row>
    <row r="1162" spans="1:22">
      <c r="A1162" t="s">
        <v>189</v>
      </c>
      <c r="B1162" t="s">
        <v>57</v>
      </c>
      <c r="C1162" t="s">
        <v>64</v>
      </c>
      <c r="D1162" s="1">
        <v>0</v>
      </c>
      <c r="E1162" s="1">
        <v>0</v>
      </c>
      <c r="F1162" s="1">
        <v>0</v>
      </c>
      <c r="G1162" s="1">
        <v>0</v>
      </c>
      <c r="H1162" s="1">
        <v>0</v>
      </c>
      <c r="I1162" s="1">
        <v>0</v>
      </c>
      <c r="J1162" s="1">
        <v>0</v>
      </c>
      <c r="K1162" s="1">
        <v>0</v>
      </c>
      <c r="L1162" s="1">
        <v>0</v>
      </c>
      <c r="M1162" s="1">
        <v>0</v>
      </c>
      <c r="N1162" s="1">
        <v>0</v>
      </c>
      <c r="O1162" s="1">
        <v>0</v>
      </c>
      <c r="P1162" s="1">
        <v>0</v>
      </c>
      <c r="Q1162" s="1">
        <v>0</v>
      </c>
      <c r="R1162" s="1">
        <v>0</v>
      </c>
      <c r="S1162" s="1">
        <v>0</v>
      </c>
      <c r="T1162" s="1">
        <v>0</v>
      </c>
      <c r="U1162" s="1">
        <v>0</v>
      </c>
      <c r="V1162" s="1" t="s">
        <v>301</v>
      </c>
    </row>
    <row r="1163" spans="1:22">
      <c r="A1163" t="s">
        <v>189</v>
      </c>
      <c r="B1163" t="s">
        <v>57</v>
      </c>
      <c r="C1163" t="s">
        <v>65</v>
      </c>
      <c r="D1163" s="1">
        <v>0</v>
      </c>
      <c r="E1163" s="1">
        <v>0</v>
      </c>
      <c r="F1163" s="1">
        <v>0</v>
      </c>
      <c r="G1163" s="1">
        <v>0</v>
      </c>
      <c r="H1163" s="1">
        <v>0</v>
      </c>
      <c r="I1163" s="1">
        <v>0</v>
      </c>
      <c r="J1163" s="1">
        <v>0</v>
      </c>
      <c r="K1163" s="1">
        <v>0</v>
      </c>
      <c r="L1163" s="1">
        <v>0</v>
      </c>
      <c r="M1163" s="1">
        <v>0</v>
      </c>
      <c r="N1163" s="1">
        <v>0</v>
      </c>
      <c r="O1163" s="1">
        <v>0</v>
      </c>
      <c r="P1163" s="1">
        <v>0</v>
      </c>
      <c r="Q1163" s="1">
        <v>0</v>
      </c>
      <c r="R1163" s="1">
        <v>0</v>
      </c>
      <c r="S1163" s="1">
        <v>0</v>
      </c>
      <c r="T1163" s="1">
        <v>0</v>
      </c>
      <c r="U1163" s="1">
        <v>0</v>
      </c>
      <c r="V1163" s="1" t="s">
        <v>301</v>
      </c>
    </row>
    <row r="1164" spans="1:22">
      <c r="A1164" t="s">
        <v>190</v>
      </c>
      <c r="B1164" t="s">
        <v>57</v>
      </c>
      <c r="C1164" t="s">
        <v>58</v>
      </c>
      <c r="D1164" s="1">
        <v>0</v>
      </c>
      <c r="E1164" s="1">
        <v>0</v>
      </c>
      <c r="F1164" s="1">
        <v>0</v>
      </c>
      <c r="G1164" s="1">
        <v>0</v>
      </c>
      <c r="H1164" s="1">
        <v>0</v>
      </c>
      <c r="I1164" s="1">
        <v>0</v>
      </c>
      <c r="J1164" s="1">
        <v>0</v>
      </c>
      <c r="K1164" s="1">
        <v>0</v>
      </c>
      <c r="L1164" s="1">
        <v>0</v>
      </c>
      <c r="M1164" s="1">
        <v>0</v>
      </c>
      <c r="N1164" s="1">
        <v>0</v>
      </c>
      <c r="O1164" s="1">
        <v>0</v>
      </c>
      <c r="P1164" s="1">
        <v>0</v>
      </c>
      <c r="Q1164" s="1">
        <v>0</v>
      </c>
      <c r="R1164" s="1">
        <v>0</v>
      </c>
      <c r="S1164" s="1">
        <v>0</v>
      </c>
      <c r="T1164" s="1">
        <v>0</v>
      </c>
      <c r="U1164" s="1">
        <v>4</v>
      </c>
      <c r="V1164" s="1" t="s">
        <v>301</v>
      </c>
    </row>
    <row r="1165" spans="1:22">
      <c r="A1165" t="s">
        <v>190</v>
      </c>
      <c r="B1165" t="s">
        <v>57</v>
      </c>
      <c r="C1165" t="s">
        <v>59</v>
      </c>
      <c r="D1165" s="1">
        <v>0</v>
      </c>
      <c r="E1165" s="1">
        <v>0</v>
      </c>
      <c r="F1165" s="1">
        <v>0</v>
      </c>
      <c r="G1165" s="1">
        <v>0</v>
      </c>
      <c r="H1165" s="1">
        <v>0</v>
      </c>
      <c r="I1165" s="1">
        <v>0</v>
      </c>
      <c r="J1165" s="1">
        <v>0</v>
      </c>
      <c r="K1165" s="1">
        <v>0</v>
      </c>
      <c r="L1165" s="1">
        <v>0</v>
      </c>
      <c r="M1165" s="1">
        <v>0</v>
      </c>
      <c r="N1165" s="1">
        <v>0</v>
      </c>
      <c r="O1165" s="1">
        <v>0</v>
      </c>
      <c r="P1165" s="1">
        <v>0</v>
      </c>
      <c r="Q1165" s="1">
        <v>0</v>
      </c>
      <c r="R1165" s="1">
        <v>0</v>
      </c>
      <c r="S1165" s="1">
        <v>0</v>
      </c>
      <c r="T1165" s="1">
        <v>0</v>
      </c>
      <c r="U1165" s="1">
        <v>0</v>
      </c>
      <c r="V1165" s="1" t="s">
        <v>301</v>
      </c>
    </row>
    <row r="1166" spans="1:22">
      <c r="A1166" t="s">
        <v>190</v>
      </c>
      <c r="B1166" t="s">
        <v>57</v>
      </c>
      <c r="C1166" t="s">
        <v>60</v>
      </c>
      <c r="D1166" s="1">
        <v>0</v>
      </c>
      <c r="E1166" s="1">
        <v>0</v>
      </c>
      <c r="F1166" s="1">
        <v>0</v>
      </c>
      <c r="G1166" s="1">
        <v>0</v>
      </c>
      <c r="H1166" s="1">
        <v>0</v>
      </c>
      <c r="I1166" s="1">
        <v>0</v>
      </c>
      <c r="J1166" s="1">
        <v>0</v>
      </c>
      <c r="K1166" s="1">
        <v>0</v>
      </c>
      <c r="L1166" s="1">
        <v>0</v>
      </c>
      <c r="M1166" s="1">
        <v>0</v>
      </c>
      <c r="N1166" s="1">
        <v>0</v>
      </c>
      <c r="O1166" s="1">
        <v>0</v>
      </c>
      <c r="P1166" s="1">
        <v>0</v>
      </c>
      <c r="Q1166" s="1">
        <v>0</v>
      </c>
      <c r="R1166" s="1">
        <v>0</v>
      </c>
      <c r="S1166" s="1">
        <v>0</v>
      </c>
      <c r="T1166" s="1">
        <v>0</v>
      </c>
      <c r="U1166" s="1">
        <v>0</v>
      </c>
      <c r="V1166" s="1" t="s">
        <v>301</v>
      </c>
    </row>
    <row r="1167" spans="1:22">
      <c r="A1167" t="s">
        <v>190</v>
      </c>
      <c r="B1167" t="s">
        <v>57</v>
      </c>
      <c r="C1167" t="s">
        <v>61</v>
      </c>
      <c r="D1167" s="1">
        <v>0</v>
      </c>
      <c r="E1167" s="1">
        <v>0</v>
      </c>
      <c r="F1167" s="1">
        <v>0</v>
      </c>
      <c r="G1167" s="1">
        <v>0</v>
      </c>
      <c r="H1167" s="1">
        <v>0</v>
      </c>
      <c r="I1167" s="1">
        <v>0</v>
      </c>
      <c r="J1167" s="1">
        <v>0</v>
      </c>
      <c r="K1167" s="1">
        <v>0</v>
      </c>
      <c r="L1167" s="1">
        <v>0</v>
      </c>
      <c r="M1167" s="1">
        <v>0</v>
      </c>
      <c r="N1167" s="1">
        <v>0</v>
      </c>
      <c r="O1167" s="1">
        <v>0</v>
      </c>
      <c r="P1167" s="1">
        <v>0</v>
      </c>
      <c r="Q1167" s="1">
        <v>0</v>
      </c>
      <c r="R1167" s="1">
        <v>0</v>
      </c>
      <c r="S1167" s="1">
        <v>0</v>
      </c>
      <c r="T1167" s="1">
        <v>0</v>
      </c>
      <c r="U1167" s="1">
        <v>0</v>
      </c>
      <c r="V1167" s="1" t="s">
        <v>301</v>
      </c>
    </row>
    <row r="1168" spans="1:22">
      <c r="A1168" t="s">
        <v>190</v>
      </c>
      <c r="B1168" t="s">
        <v>57</v>
      </c>
      <c r="C1168" t="s">
        <v>62</v>
      </c>
      <c r="D1168" s="1">
        <v>0</v>
      </c>
      <c r="E1168" s="1">
        <v>0</v>
      </c>
      <c r="F1168" s="1">
        <v>0</v>
      </c>
      <c r="G1168" s="1">
        <v>0</v>
      </c>
      <c r="H1168" s="1">
        <v>0</v>
      </c>
      <c r="I1168" s="1">
        <v>0</v>
      </c>
      <c r="J1168" s="1">
        <v>0</v>
      </c>
      <c r="K1168" s="1">
        <v>0</v>
      </c>
      <c r="L1168" s="1">
        <v>0</v>
      </c>
      <c r="M1168" s="1">
        <v>0</v>
      </c>
      <c r="N1168" s="1">
        <v>0</v>
      </c>
      <c r="O1168" s="1">
        <v>0</v>
      </c>
      <c r="P1168" s="1">
        <v>0</v>
      </c>
      <c r="Q1168" s="1">
        <v>0</v>
      </c>
      <c r="R1168" s="1">
        <v>0</v>
      </c>
      <c r="S1168" s="1">
        <v>0</v>
      </c>
      <c r="T1168" s="1">
        <v>0</v>
      </c>
      <c r="U1168" s="1">
        <v>0</v>
      </c>
      <c r="V1168" s="1" t="s">
        <v>301</v>
      </c>
    </row>
    <row r="1169" spans="1:22">
      <c r="A1169" t="s">
        <v>190</v>
      </c>
      <c r="B1169" t="s">
        <v>57</v>
      </c>
      <c r="C1169" t="s">
        <v>63</v>
      </c>
      <c r="D1169" s="1">
        <v>0</v>
      </c>
      <c r="E1169" s="1">
        <v>0</v>
      </c>
      <c r="F1169" s="1">
        <v>0</v>
      </c>
      <c r="G1169" s="1">
        <v>0</v>
      </c>
      <c r="H1169" s="1">
        <v>0</v>
      </c>
      <c r="I1169" s="1">
        <v>0</v>
      </c>
      <c r="J1169" s="1">
        <v>0</v>
      </c>
      <c r="K1169" s="1">
        <v>0</v>
      </c>
      <c r="L1169" s="1">
        <v>0</v>
      </c>
      <c r="M1169" s="1">
        <v>0</v>
      </c>
      <c r="N1169" s="1">
        <v>0</v>
      </c>
      <c r="O1169" s="1">
        <v>0</v>
      </c>
      <c r="P1169" s="1">
        <v>0</v>
      </c>
      <c r="Q1169" s="1">
        <v>0</v>
      </c>
      <c r="R1169" s="1">
        <v>0</v>
      </c>
      <c r="S1169" s="1">
        <v>0</v>
      </c>
      <c r="T1169" s="1">
        <v>0</v>
      </c>
      <c r="U1169" s="1">
        <v>0</v>
      </c>
      <c r="V1169" s="1" t="s">
        <v>301</v>
      </c>
    </row>
    <row r="1170" spans="1:22">
      <c r="A1170" t="s">
        <v>190</v>
      </c>
      <c r="B1170" t="s">
        <v>57</v>
      </c>
      <c r="C1170" t="s">
        <v>64</v>
      </c>
      <c r="D1170" s="1">
        <v>0</v>
      </c>
      <c r="E1170" s="1">
        <v>0</v>
      </c>
      <c r="F1170" s="1">
        <v>0</v>
      </c>
      <c r="G1170" s="1">
        <v>0</v>
      </c>
      <c r="H1170" s="1">
        <v>0</v>
      </c>
      <c r="I1170" s="1">
        <v>0</v>
      </c>
      <c r="J1170" s="1">
        <v>0</v>
      </c>
      <c r="K1170" s="1">
        <v>0</v>
      </c>
      <c r="L1170" s="1">
        <v>0</v>
      </c>
      <c r="M1170" s="1">
        <v>0</v>
      </c>
      <c r="N1170" s="1">
        <v>0</v>
      </c>
      <c r="O1170" s="1">
        <v>0</v>
      </c>
      <c r="P1170" s="1">
        <v>0</v>
      </c>
      <c r="Q1170" s="1">
        <v>0</v>
      </c>
      <c r="R1170" s="1">
        <v>0</v>
      </c>
      <c r="S1170" s="1">
        <v>0</v>
      </c>
      <c r="T1170" s="1">
        <v>0</v>
      </c>
      <c r="U1170" s="1">
        <v>0</v>
      </c>
      <c r="V1170" s="1" t="s">
        <v>301</v>
      </c>
    </row>
    <row r="1171" spans="1:22">
      <c r="A1171" t="s">
        <v>190</v>
      </c>
      <c r="B1171" t="s">
        <v>57</v>
      </c>
      <c r="C1171" t="s">
        <v>65</v>
      </c>
      <c r="D1171" s="1">
        <v>0</v>
      </c>
      <c r="E1171" s="1">
        <v>0</v>
      </c>
      <c r="F1171" s="1">
        <v>0</v>
      </c>
      <c r="G1171" s="1">
        <v>0</v>
      </c>
      <c r="H1171" s="1">
        <v>0</v>
      </c>
      <c r="I1171" s="1">
        <v>0</v>
      </c>
      <c r="J1171" s="1">
        <v>0</v>
      </c>
      <c r="K1171" s="1">
        <v>0</v>
      </c>
      <c r="L1171" s="1">
        <v>0</v>
      </c>
      <c r="M1171" s="1">
        <v>0</v>
      </c>
      <c r="N1171" s="1">
        <v>0</v>
      </c>
      <c r="O1171" s="1">
        <v>0</v>
      </c>
      <c r="P1171" s="1">
        <v>0</v>
      </c>
      <c r="Q1171" s="1">
        <v>0</v>
      </c>
      <c r="R1171" s="1">
        <v>0</v>
      </c>
      <c r="S1171" s="1">
        <v>0</v>
      </c>
      <c r="T1171" s="1">
        <v>0</v>
      </c>
      <c r="U1171" s="1">
        <v>0</v>
      </c>
      <c r="V1171" s="1" t="s">
        <v>301</v>
      </c>
    </row>
    <row r="1172" spans="1:22">
      <c r="A1172" t="s">
        <v>191</v>
      </c>
      <c r="B1172" t="s">
        <v>57</v>
      </c>
      <c r="C1172" t="s">
        <v>58</v>
      </c>
      <c r="D1172" s="1">
        <v>0</v>
      </c>
      <c r="E1172" s="1">
        <v>0</v>
      </c>
      <c r="F1172" s="1">
        <v>0</v>
      </c>
      <c r="G1172" s="1">
        <v>0</v>
      </c>
      <c r="H1172" s="1">
        <v>0</v>
      </c>
      <c r="I1172" s="1">
        <v>0</v>
      </c>
      <c r="J1172" s="1">
        <v>0</v>
      </c>
      <c r="K1172" s="1">
        <v>0</v>
      </c>
      <c r="L1172" s="1">
        <v>0</v>
      </c>
      <c r="M1172" s="1">
        <v>0</v>
      </c>
      <c r="N1172" s="1">
        <v>0</v>
      </c>
      <c r="O1172" s="1">
        <v>0</v>
      </c>
      <c r="P1172" s="1">
        <v>0</v>
      </c>
      <c r="Q1172" s="1">
        <v>0</v>
      </c>
      <c r="R1172" s="1">
        <v>0</v>
      </c>
      <c r="S1172" s="1">
        <v>0</v>
      </c>
      <c r="T1172" s="1">
        <v>0</v>
      </c>
      <c r="U1172" s="1">
        <v>5</v>
      </c>
      <c r="V1172" s="1" t="s">
        <v>301</v>
      </c>
    </row>
    <row r="1173" spans="1:22">
      <c r="A1173" t="s">
        <v>191</v>
      </c>
      <c r="B1173" t="s">
        <v>57</v>
      </c>
      <c r="C1173" t="s">
        <v>59</v>
      </c>
      <c r="D1173" s="1">
        <v>0</v>
      </c>
      <c r="E1173" s="1">
        <v>0</v>
      </c>
      <c r="F1173" s="1">
        <v>0</v>
      </c>
      <c r="G1173" s="1">
        <v>0</v>
      </c>
      <c r="H1173" s="1">
        <v>0</v>
      </c>
      <c r="I1173" s="1">
        <v>0</v>
      </c>
      <c r="J1173" s="1">
        <v>0</v>
      </c>
      <c r="K1173" s="1">
        <v>0</v>
      </c>
      <c r="L1173" s="1">
        <v>0</v>
      </c>
      <c r="M1173" s="1">
        <v>0</v>
      </c>
      <c r="N1173" s="1">
        <v>0</v>
      </c>
      <c r="O1173" s="1">
        <v>0</v>
      </c>
      <c r="P1173" s="1">
        <v>0</v>
      </c>
      <c r="Q1173" s="1">
        <v>0</v>
      </c>
      <c r="R1173" s="1">
        <v>0</v>
      </c>
      <c r="S1173" s="1">
        <v>0</v>
      </c>
      <c r="T1173" s="1">
        <v>0</v>
      </c>
      <c r="U1173" s="1">
        <v>0</v>
      </c>
      <c r="V1173" s="1" t="s">
        <v>301</v>
      </c>
    </row>
    <row r="1174" spans="1:22">
      <c r="A1174" t="s">
        <v>191</v>
      </c>
      <c r="B1174" t="s">
        <v>57</v>
      </c>
      <c r="C1174" t="s">
        <v>60</v>
      </c>
      <c r="D1174" s="1">
        <v>0</v>
      </c>
      <c r="E1174" s="1">
        <v>0</v>
      </c>
      <c r="F1174" s="1">
        <v>0</v>
      </c>
      <c r="G1174" s="1">
        <v>0</v>
      </c>
      <c r="H1174" s="1">
        <v>0</v>
      </c>
      <c r="I1174" s="1">
        <v>0</v>
      </c>
      <c r="J1174" s="1">
        <v>0</v>
      </c>
      <c r="K1174" s="1">
        <v>0</v>
      </c>
      <c r="L1174" s="1">
        <v>0</v>
      </c>
      <c r="M1174" s="1">
        <v>0</v>
      </c>
      <c r="N1174" s="1">
        <v>0</v>
      </c>
      <c r="O1174" s="1">
        <v>0</v>
      </c>
      <c r="P1174" s="1">
        <v>0</v>
      </c>
      <c r="Q1174" s="1">
        <v>0</v>
      </c>
      <c r="R1174" s="1">
        <v>0</v>
      </c>
      <c r="S1174" s="1">
        <v>0</v>
      </c>
      <c r="T1174" s="1">
        <v>0</v>
      </c>
      <c r="U1174" s="1">
        <v>0</v>
      </c>
      <c r="V1174" s="1" t="s">
        <v>301</v>
      </c>
    </row>
    <row r="1175" spans="1:22">
      <c r="A1175" t="s">
        <v>191</v>
      </c>
      <c r="B1175" t="s">
        <v>57</v>
      </c>
      <c r="C1175" t="s">
        <v>61</v>
      </c>
      <c r="D1175" s="1">
        <v>0</v>
      </c>
      <c r="E1175" s="1">
        <v>0</v>
      </c>
      <c r="F1175" s="1">
        <v>0</v>
      </c>
      <c r="G1175" s="1">
        <v>0</v>
      </c>
      <c r="H1175" s="1">
        <v>0</v>
      </c>
      <c r="I1175" s="1">
        <v>0</v>
      </c>
      <c r="J1175" s="1">
        <v>0</v>
      </c>
      <c r="K1175" s="1">
        <v>0</v>
      </c>
      <c r="L1175" s="1">
        <v>0</v>
      </c>
      <c r="M1175" s="1">
        <v>0</v>
      </c>
      <c r="N1175" s="1">
        <v>0</v>
      </c>
      <c r="O1175" s="1">
        <v>0</v>
      </c>
      <c r="P1175" s="1">
        <v>0</v>
      </c>
      <c r="Q1175" s="1">
        <v>0</v>
      </c>
      <c r="R1175" s="1">
        <v>0</v>
      </c>
      <c r="S1175" s="1">
        <v>0</v>
      </c>
      <c r="T1175" s="1">
        <v>0</v>
      </c>
      <c r="U1175" s="1">
        <v>0</v>
      </c>
      <c r="V1175" s="1" t="s">
        <v>301</v>
      </c>
    </row>
    <row r="1176" spans="1:22">
      <c r="A1176" t="s">
        <v>191</v>
      </c>
      <c r="B1176" t="s">
        <v>57</v>
      </c>
      <c r="C1176" t="s">
        <v>62</v>
      </c>
      <c r="D1176" s="1">
        <v>0</v>
      </c>
      <c r="E1176" s="1">
        <v>0</v>
      </c>
      <c r="F1176" s="1">
        <v>0</v>
      </c>
      <c r="G1176" s="1">
        <v>0</v>
      </c>
      <c r="H1176" s="1">
        <v>0</v>
      </c>
      <c r="I1176" s="1">
        <v>0</v>
      </c>
      <c r="J1176" s="1">
        <v>0</v>
      </c>
      <c r="K1176" s="1">
        <v>0</v>
      </c>
      <c r="L1176" s="1">
        <v>0</v>
      </c>
      <c r="M1176" s="1">
        <v>0</v>
      </c>
      <c r="N1176" s="1">
        <v>0</v>
      </c>
      <c r="O1176" s="1">
        <v>0</v>
      </c>
      <c r="P1176" s="1">
        <v>0</v>
      </c>
      <c r="Q1176" s="1">
        <v>0</v>
      </c>
      <c r="R1176" s="1">
        <v>0</v>
      </c>
      <c r="S1176" s="1">
        <v>0</v>
      </c>
      <c r="T1176" s="1">
        <v>0</v>
      </c>
      <c r="U1176" s="1">
        <v>0</v>
      </c>
      <c r="V1176" s="1" t="s">
        <v>301</v>
      </c>
    </row>
    <row r="1177" spans="1:22">
      <c r="A1177" t="s">
        <v>191</v>
      </c>
      <c r="B1177" t="s">
        <v>57</v>
      </c>
      <c r="C1177" t="s">
        <v>63</v>
      </c>
      <c r="D1177" s="1">
        <v>0</v>
      </c>
      <c r="E1177" s="1">
        <v>0</v>
      </c>
      <c r="F1177" s="1">
        <v>0</v>
      </c>
      <c r="G1177" s="1">
        <v>0</v>
      </c>
      <c r="H1177" s="1">
        <v>0</v>
      </c>
      <c r="I1177" s="1">
        <v>0</v>
      </c>
      <c r="J1177" s="1">
        <v>0</v>
      </c>
      <c r="K1177" s="1">
        <v>0</v>
      </c>
      <c r="L1177" s="1">
        <v>0</v>
      </c>
      <c r="M1177" s="1">
        <v>0</v>
      </c>
      <c r="N1177" s="1">
        <v>0</v>
      </c>
      <c r="O1177" s="1">
        <v>0</v>
      </c>
      <c r="P1177" s="1">
        <v>0</v>
      </c>
      <c r="Q1177" s="1">
        <v>0</v>
      </c>
      <c r="R1177" s="1">
        <v>0</v>
      </c>
      <c r="S1177" s="1">
        <v>0</v>
      </c>
      <c r="T1177" s="1">
        <v>0</v>
      </c>
      <c r="U1177" s="1">
        <v>0</v>
      </c>
      <c r="V1177" s="1" t="s">
        <v>301</v>
      </c>
    </row>
    <row r="1178" spans="1:22">
      <c r="A1178" t="s">
        <v>191</v>
      </c>
      <c r="B1178" t="s">
        <v>57</v>
      </c>
      <c r="C1178" t="s">
        <v>64</v>
      </c>
      <c r="D1178" s="1">
        <v>0</v>
      </c>
      <c r="E1178" s="1">
        <v>0</v>
      </c>
      <c r="F1178" s="1">
        <v>0</v>
      </c>
      <c r="G1178" s="1">
        <v>0</v>
      </c>
      <c r="H1178" s="1">
        <v>0</v>
      </c>
      <c r="I1178" s="1">
        <v>0</v>
      </c>
      <c r="J1178" s="1">
        <v>0</v>
      </c>
      <c r="K1178" s="1">
        <v>0</v>
      </c>
      <c r="L1178" s="1">
        <v>0</v>
      </c>
      <c r="M1178" s="1">
        <v>0</v>
      </c>
      <c r="N1178" s="1">
        <v>0</v>
      </c>
      <c r="O1178" s="1">
        <v>0</v>
      </c>
      <c r="P1178" s="1">
        <v>0</v>
      </c>
      <c r="Q1178" s="1">
        <v>0</v>
      </c>
      <c r="R1178" s="1">
        <v>0</v>
      </c>
      <c r="S1178" s="1">
        <v>0</v>
      </c>
      <c r="T1178" s="1">
        <v>0</v>
      </c>
      <c r="U1178" s="1">
        <v>0</v>
      </c>
      <c r="V1178" s="1" t="s">
        <v>301</v>
      </c>
    </row>
    <row r="1179" spans="1:22">
      <c r="A1179" t="s">
        <v>191</v>
      </c>
      <c r="B1179" t="s">
        <v>57</v>
      </c>
      <c r="C1179" t="s">
        <v>65</v>
      </c>
      <c r="D1179" s="1">
        <v>0</v>
      </c>
      <c r="E1179" s="1">
        <v>0</v>
      </c>
      <c r="F1179" s="1">
        <v>0</v>
      </c>
      <c r="G1179" s="1">
        <v>0</v>
      </c>
      <c r="H1179" s="1">
        <v>0</v>
      </c>
      <c r="I1179" s="1">
        <v>0</v>
      </c>
      <c r="J1179" s="1">
        <v>0</v>
      </c>
      <c r="K1179" s="1">
        <v>0</v>
      </c>
      <c r="L1179" s="1">
        <v>0</v>
      </c>
      <c r="M1179" s="1">
        <v>0</v>
      </c>
      <c r="N1179" s="1">
        <v>0</v>
      </c>
      <c r="O1179" s="1">
        <v>0</v>
      </c>
      <c r="P1179" s="1">
        <v>0</v>
      </c>
      <c r="Q1179" s="1">
        <v>0</v>
      </c>
      <c r="R1179" s="1">
        <v>0</v>
      </c>
      <c r="S1179" s="1">
        <v>0</v>
      </c>
      <c r="T1179" s="1">
        <v>0</v>
      </c>
      <c r="U1179" s="1">
        <v>0</v>
      </c>
      <c r="V1179" s="1" t="s">
        <v>301</v>
      </c>
    </row>
    <row r="1180" spans="1:22">
      <c r="A1180" t="s">
        <v>192</v>
      </c>
      <c r="B1180" t="s">
        <v>57</v>
      </c>
      <c r="C1180" t="s">
        <v>58</v>
      </c>
      <c r="D1180" s="1">
        <v>0</v>
      </c>
      <c r="E1180" s="1">
        <v>0</v>
      </c>
      <c r="F1180" s="1">
        <v>0</v>
      </c>
      <c r="G1180" s="1">
        <v>0</v>
      </c>
      <c r="H1180" s="1">
        <v>0</v>
      </c>
      <c r="I1180" s="1">
        <v>0</v>
      </c>
      <c r="J1180" s="1">
        <v>0</v>
      </c>
      <c r="K1180" s="1">
        <v>0</v>
      </c>
      <c r="L1180" s="1">
        <v>0</v>
      </c>
      <c r="M1180" s="1">
        <v>0</v>
      </c>
      <c r="N1180" s="1">
        <v>0</v>
      </c>
      <c r="O1180" s="1">
        <v>0</v>
      </c>
      <c r="P1180" s="1">
        <v>0</v>
      </c>
      <c r="Q1180" s="1">
        <v>0</v>
      </c>
      <c r="R1180" s="1">
        <v>0</v>
      </c>
      <c r="S1180" s="1">
        <v>0</v>
      </c>
      <c r="T1180" s="1">
        <v>0</v>
      </c>
      <c r="U1180" s="1">
        <v>4</v>
      </c>
      <c r="V1180" s="1" t="s">
        <v>301</v>
      </c>
    </row>
    <row r="1181" spans="1:22">
      <c r="A1181" t="s">
        <v>192</v>
      </c>
      <c r="B1181" t="s">
        <v>57</v>
      </c>
      <c r="C1181" t="s">
        <v>59</v>
      </c>
      <c r="D1181" s="1">
        <v>0</v>
      </c>
      <c r="E1181" s="1">
        <v>0</v>
      </c>
      <c r="F1181" s="1">
        <v>0</v>
      </c>
      <c r="G1181" s="1">
        <v>0</v>
      </c>
      <c r="H1181" s="1">
        <v>0</v>
      </c>
      <c r="I1181" s="1">
        <v>0</v>
      </c>
      <c r="J1181" s="1">
        <v>0</v>
      </c>
      <c r="K1181" s="1">
        <v>0</v>
      </c>
      <c r="L1181" s="1">
        <v>0</v>
      </c>
      <c r="M1181" s="1">
        <v>0</v>
      </c>
      <c r="N1181" s="1">
        <v>0</v>
      </c>
      <c r="O1181" s="1">
        <v>0</v>
      </c>
      <c r="P1181" s="1">
        <v>0</v>
      </c>
      <c r="Q1181" s="1">
        <v>0</v>
      </c>
      <c r="R1181" s="1">
        <v>0</v>
      </c>
      <c r="S1181" s="1">
        <v>0</v>
      </c>
      <c r="T1181" s="1">
        <v>0</v>
      </c>
      <c r="U1181" s="1">
        <v>0</v>
      </c>
      <c r="V1181" s="1" t="s">
        <v>301</v>
      </c>
    </row>
    <row r="1182" spans="1:22">
      <c r="A1182" t="s">
        <v>192</v>
      </c>
      <c r="B1182" t="s">
        <v>57</v>
      </c>
      <c r="C1182" t="s">
        <v>60</v>
      </c>
      <c r="D1182" s="1">
        <v>0</v>
      </c>
      <c r="E1182" s="1">
        <v>0</v>
      </c>
      <c r="F1182" s="1">
        <v>0</v>
      </c>
      <c r="G1182" s="1">
        <v>0</v>
      </c>
      <c r="H1182" s="1">
        <v>0</v>
      </c>
      <c r="I1182" s="1">
        <v>0</v>
      </c>
      <c r="J1182" s="1">
        <v>0</v>
      </c>
      <c r="K1182" s="1">
        <v>0</v>
      </c>
      <c r="L1182" s="1">
        <v>0</v>
      </c>
      <c r="M1182" s="1">
        <v>0</v>
      </c>
      <c r="N1182" s="1">
        <v>0</v>
      </c>
      <c r="O1182" s="1">
        <v>0</v>
      </c>
      <c r="P1182" s="1">
        <v>0</v>
      </c>
      <c r="Q1182" s="1">
        <v>0</v>
      </c>
      <c r="R1182" s="1">
        <v>0</v>
      </c>
      <c r="S1182" s="1">
        <v>0</v>
      </c>
      <c r="T1182" s="1">
        <v>0</v>
      </c>
      <c r="U1182" s="1">
        <v>0</v>
      </c>
      <c r="V1182" s="1" t="s">
        <v>301</v>
      </c>
    </row>
    <row r="1183" spans="1:22">
      <c r="A1183" t="s">
        <v>192</v>
      </c>
      <c r="B1183" t="s">
        <v>57</v>
      </c>
      <c r="C1183" t="s">
        <v>61</v>
      </c>
      <c r="D1183" s="1">
        <v>0</v>
      </c>
      <c r="E1183" s="1">
        <v>0</v>
      </c>
      <c r="F1183" s="1">
        <v>0</v>
      </c>
      <c r="G1183" s="1">
        <v>0</v>
      </c>
      <c r="H1183" s="1">
        <v>0</v>
      </c>
      <c r="I1183" s="1">
        <v>0</v>
      </c>
      <c r="J1183" s="1">
        <v>0</v>
      </c>
      <c r="K1183" s="1">
        <v>0</v>
      </c>
      <c r="L1183" s="1">
        <v>0</v>
      </c>
      <c r="M1183" s="1">
        <v>0</v>
      </c>
      <c r="N1183" s="1">
        <v>0</v>
      </c>
      <c r="O1183" s="1">
        <v>0</v>
      </c>
      <c r="P1183" s="1">
        <v>0</v>
      </c>
      <c r="Q1183" s="1">
        <v>0</v>
      </c>
      <c r="R1183" s="1">
        <v>0</v>
      </c>
      <c r="S1183" s="1">
        <v>0</v>
      </c>
      <c r="T1183" s="1">
        <v>0</v>
      </c>
      <c r="U1183" s="1">
        <v>0</v>
      </c>
      <c r="V1183" s="1" t="s">
        <v>301</v>
      </c>
    </row>
    <row r="1184" spans="1:22">
      <c r="A1184" t="s">
        <v>192</v>
      </c>
      <c r="B1184" t="s">
        <v>57</v>
      </c>
      <c r="C1184" t="s">
        <v>62</v>
      </c>
      <c r="D1184" s="1">
        <v>0</v>
      </c>
      <c r="E1184" s="1">
        <v>0</v>
      </c>
      <c r="F1184" s="1">
        <v>0</v>
      </c>
      <c r="G1184" s="1">
        <v>0</v>
      </c>
      <c r="H1184" s="1">
        <v>0</v>
      </c>
      <c r="I1184" s="1">
        <v>0</v>
      </c>
      <c r="J1184" s="1">
        <v>0</v>
      </c>
      <c r="K1184" s="1">
        <v>0</v>
      </c>
      <c r="L1184" s="1">
        <v>0</v>
      </c>
      <c r="M1184" s="1">
        <v>0</v>
      </c>
      <c r="N1184" s="1">
        <v>0</v>
      </c>
      <c r="O1184" s="1">
        <v>0</v>
      </c>
      <c r="P1184" s="1">
        <v>0</v>
      </c>
      <c r="Q1184" s="1">
        <v>0</v>
      </c>
      <c r="R1184" s="1">
        <v>0</v>
      </c>
      <c r="S1184" s="1">
        <v>0</v>
      </c>
      <c r="T1184" s="1">
        <v>0</v>
      </c>
      <c r="U1184" s="1">
        <v>0</v>
      </c>
      <c r="V1184" s="1" t="s">
        <v>301</v>
      </c>
    </row>
    <row r="1185" spans="1:22">
      <c r="A1185" t="s">
        <v>192</v>
      </c>
      <c r="B1185" t="s">
        <v>57</v>
      </c>
      <c r="C1185" t="s">
        <v>63</v>
      </c>
      <c r="D1185" s="1">
        <v>0</v>
      </c>
      <c r="E1185" s="1">
        <v>0</v>
      </c>
      <c r="F1185" s="1">
        <v>0</v>
      </c>
      <c r="G1185" s="1">
        <v>0</v>
      </c>
      <c r="H1185" s="1">
        <v>0</v>
      </c>
      <c r="I1185" s="1">
        <v>0</v>
      </c>
      <c r="J1185" s="1">
        <v>0</v>
      </c>
      <c r="K1185" s="1">
        <v>0</v>
      </c>
      <c r="L1185" s="1">
        <v>0</v>
      </c>
      <c r="M1185" s="1">
        <v>0</v>
      </c>
      <c r="N1185" s="1">
        <v>0</v>
      </c>
      <c r="O1185" s="1">
        <v>0</v>
      </c>
      <c r="P1185" s="1">
        <v>0</v>
      </c>
      <c r="Q1185" s="1">
        <v>0</v>
      </c>
      <c r="R1185" s="1">
        <v>0</v>
      </c>
      <c r="S1185" s="1">
        <v>0</v>
      </c>
      <c r="T1185" s="1">
        <v>0</v>
      </c>
      <c r="U1185" s="1">
        <v>0</v>
      </c>
      <c r="V1185" s="1" t="s">
        <v>301</v>
      </c>
    </row>
    <row r="1186" spans="1:22">
      <c r="A1186" t="s">
        <v>192</v>
      </c>
      <c r="B1186" t="s">
        <v>57</v>
      </c>
      <c r="C1186" t="s">
        <v>64</v>
      </c>
      <c r="D1186" s="1">
        <v>0</v>
      </c>
      <c r="E1186" s="1">
        <v>0</v>
      </c>
      <c r="F1186" s="1">
        <v>0</v>
      </c>
      <c r="G1186" s="1">
        <v>0</v>
      </c>
      <c r="H1186" s="1">
        <v>0</v>
      </c>
      <c r="I1186" s="1">
        <v>0</v>
      </c>
      <c r="J1186" s="1">
        <v>0</v>
      </c>
      <c r="K1186" s="1">
        <v>0</v>
      </c>
      <c r="L1186" s="1">
        <v>0</v>
      </c>
      <c r="M1186" s="1">
        <v>0</v>
      </c>
      <c r="N1186" s="1">
        <v>0</v>
      </c>
      <c r="O1186" s="1">
        <v>0</v>
      </c>
      <c r="P1186" s="1">
        <v>0</v>
      </c>
      <c r="Q1186" s="1">
        <v>0</v>
      </c>
      <c r="R1186" s="1">
        <v>0</v>
      </c>
      <c r="S1186" s="1">
        <v>0</v>
      </c>
      <c r="T1186" s="1">
        <v>0</v>
      </c>
      <c r="U1186" s="1">
        <v>0</v>
      </c>
      <c r="V1186" s="1" t="s">
        <v>301</v>
      </c>
    </row>
    <row r="1187" spans="1:22">
      <c r="A1187" t="s">
        <v>192</v>
      </c>
      <c r="B1187" t="s">
        <v>57</v>
      </c>
      <c r="C1187" t="s">
        <v>65</v>
      </c>
      <c r="D1187" s="1">
        <v>0</v>
      </c>
      <c r="E1187" s="1">
        <v>0</v>
      </c>
      <c r="F1187" s="1">
        <v>0</v>
      </c>
      <c r="G1187" s="1">
        <v>0</v>
      </c>
      <c r="H1187" s="1">
        <v>0</v>
      </c>
      <c r="I1187" s="1">
        <v>0</v>
      </c>
      <c r="J1187" s="1">
        <v>0</v>
      </c>
      <c r="K1187" s="1">
        <v>0</v>
      </c>
      <c r="L1187" s="1">
        <v>0</v>
      </c>
      <c r="M1187" s="1">
        <v>0</v>
      </c>
      <c r="N1187" s="1">
        <v>0</v>
      </c>
      <c r="O1187" s="1">
        <v>0</v>
      </c>
      <c r="P1187" s="1">
        <v>0</v>
      </c>
      <c r="Q1187" s="1">
        <v>0</v>
      </c>
      <c r="R1187" s="1">
        <v>0</v>
      </c>
      <c r="S1187" s="1">
        <v>0</v>
      </c>
      <c r="T1187" s="1">
        <v>0</v>
      </c>
      <c r="U1187" s="1">
        <v>0</v>
      </c>
      <c r="V1187" s="1" t="s">
        <v>301</v>
      </c>
    </row>
    <row r="1188" spans="1:22">
      <c r="A1188" t="s">
        <v>193</v>
      </c>
      <c r="B1188" t="s">
        <v>57</v>
      </c>
      <c r="C1188" t="s">
        <v>58</v>
      </c>
      <c r="D1188" s="1">
        <v>0</v>
      </c>
      <c r="E1188" s="1">
        <v>0</v>
      </c>
      <c r="F1188" s="1">
        <v>0</v>
      </c>
      <c r="G1188" s="1">
        <v>0</v>
      </c>
      <c r="H1188" s="1">
        <v>0</v>
      </c>
      <c r="I1188" s="1">
        <v>0</v>
      </c>
      <c r="J1188" s="1">
        <v>0</v>
      </c>
      <c r="K1188" s="1">
        <v>0</v>
      </c>
      <c r="L1188" s="1">
        <v>0</v>
      </c>
      <c r="M1188" s="1">
        <v>0</v>
      </c>
      <c r="N1188" s="1">
        <v>0</v>
      </c>
      <c r="O1188" s="1">
        <v>0</v>
      </c>
      <c r="P1188" s="1">
        <v>0</v>
      </c>
      <c r="Q1188" s="1">
        <v>0</v>
      </c>
      <c r="R1188" s="1">
        <v>0</v>
      </c>
      <c r="S1188" s="1">
        <v>0</v>
      </c>
      <c r="T1188" s="1">
        <v>0</v>
      </c>
      <c r="U1188" s="1">
        <v>5</v>
      </c>
      <c r="V1188" s="1" t="s">
        <v>301</v>
      </c>
    </row>
    <row r="1189" spans="1:22">
      <c r="A1189" t="s">
        <v>193</v>
      </c>
      <c r="B1189" t="s">
        <v>57</v>
      </c>
      <c r="C1189" t="s">
        <v>59</v>
      </c>
      <c r="D1189" s="1">
        <v>0</v>
      </c>
      <c r="E1189" s="1">
        <v>0</v>
      </c>
      <c r="F1189" s="1">
        <v>0</v>
      </c>
      <c r="G1189" s="1">
        <v>0</v>
      </c>
      <c r="H1189" s="1">
        <v>0</v>
      </c>
      <c r="I1189" s="1">
        <v>0</v>
      </c>
      <c r="J1189" s="1">
        <v>0</v>
      </c>
      <c r="K1189" s="1">
        <v>0</v>
      </c>
      <c r="L1189" s="1">
        <v>0</v>
      </c>
      <c r="M1189" s="1">
        <v>0</v>
      </c>
      <c r="N1189" s="1">
        <v>0</v>
      </c>
      <c r="O1189" s="1">
        <v>0</v>
      </c>
      <c r="P1189" s="1">
        <v>0</v>
      </c>
      <c r="Q1189" s="1">
        <v>0</v>
      </c>
      <c r="R1189" s="1">
        <v>0</v>
      </c>
      <c r="S1189" s="1">
        <v>0</v>
      </c>
      <c r="T1189" s="1">
        <v>0</v>
      </c>
      <c r="U1189" s="1">
        <v>0</v>
      </c>
      <c r="V1189" s="1" t="s">
        <v>301</v>
      </c>
    </row>
    <row r="1190" spans="1:22">
      <c r="A1190" t="s">
        <v>193</v>
      </c>
      <c r="B1190" t="s">
        <v>57</v>
      </c>
      <c r="C1190" t="s">
        <v>60</v>
      </c>
      <c r="D1190" s="1">
        <v>0</v>
      </c>
      <c r="E1190" s="1">
        <v>0</v>
      </c>
      <c r="F1190" s="1">
        <v>0</v>
      </c>
      <c r="G1190" s="1">
        <v>0</v>
      </c>
      <c r="H1190" s="1">
        <v>0</v>
      </c>
      <c r="I1190" s="1">
        <v>0</v>
      </c>
      <c r="J1190" s="1">
        <v>0</v>
      </c>
      <c r="K1190" s="1">
        <v>0</v>
      </c>
      <c r="L1190" s="1">
        <v>0</v>
      </c>
      <c r="M1190" s="1">
        <v>0</v>
      </c>
      <c r="N1190" s="1">
        <v>0</v>
      </c>
      <c r="O1190" s="1">
        <v>0</v>
      </c>
      <c r="P1190" s="1">
        <v>0</v>
      </c>
      <c r="Q1190" s="1">
        <v>0</v>
      </c>
      <c r="R1190" s="1">
        <v>0</v>
      </c>
      <c r="S1190" s="1">
        <v>0</v>
      </c>
      <c r="T1190" s="1">
        <v>0</v>
      </c>
      <c r="U1190" s="1">
        <v>0</v>
      </c>
      <c r="V1190" s="1" t="s">
        <v>301</v>
      </c>
    </row>
    <row r="1191" spans="1:22">
      <c r="A1191" t="s">
        <v>193</v>
      </c>
      <c r="B1191" t="s">
        <v>57</v>
      </c>
      <c r="C1191" t="s">
        <v>61</v>
      </c>
      <c r="D1191" s="1">
        <v>0</v>
      </c>
      <c r="E1191" s="1">
        <v>0</v>
      </c>
      <c r="F1191" s="1">
        <v>0</v>
      </c>
      <c r="G1191" s="1">
        <v>0</v>
      </c>
      <c r="H1191" s="1">
        <v>0</v>
      </c>
      <c r="I1191" s="1">
        <v>0</v>
      </c>
      <c r="J1191" s="1">
        <v>0</v>
      </c>
      <c r="K1191" s="1">
        <v>0</v>
      </c>
      <c r="L1191" s="1">
        <v>0</v>
      </c>
      <c r="M1191" s="1">
        <v>0</v>
      </c>
      <c r="N1191" s="1">
        <v>0</v>
      </c>
      <c r="O1191" s="1">
        <v>0</v>
      </c>
      <c r="P1191" s="1">
        <v>0</v>
      </c>
      <c r="Q1191" s="1">
        <v>0</v>
      </c>
      <c r="R1191" s="1">
        <v>0</v>
      </c>
      <c r="S1191" s="1">
        <v>0</v>
      </c>
      <c r="T1191" s="1">
        <v>0</v>
      </c>
      <c r="U1191" s="1">
        <v>0</v>
      </c>
      <c r="V1191" s="1" t="s">
        <v>301</v>
      </c>
    </row>
    <row r="1192" spans="1:22">
      <c r="A1192" t="s">
        <v>193</v>
      </c>
      <c r="B1192" t="s">
        <v>57</v>
      </c>
      <c r="C1192" t="s">
        <v>62</v>
      </c>
      <c r="D1192" s="1">
        <v>0</v>
      </c>
      <c r="E1192" s="1">
        <v>0</v>
      </c>
      <c r="F1192" s="1">
        <v>0</v>
      </c>
      <c r="G1192" s="1">
        <v>0</v>
      </c>
      <c r="H1192" s="1">
        <v>0</v>
      </c>
      <c r="I1192" s="1">
        <v>0</v>
      </c>
      <c r="J1192" s="1">
        <v>0</v>
      </c>
      <c r="K1192" s="1">
        <v>0</v>
      </c>
      <c r="L1192" s="1">
        <v>0</v>
      </c>
      <c r="M1192" s="1">
        <v>0</v>
      </c>
      <c r="N1192" s="1">
        <v>0</v>
      </c>
      <c r="O1192" s="1">
        <v>0</v>
      </c>
      <c r="P1192" s="1">
        <v>0</v>
      </c>
      <c r="Q1192" s="1">
        <v>0</v>
      </c>
      <c r="R1192" s="1">
        <v>0</v>
      </c>
      <c r="S1192" s="1">
        <v>0</v>
      </c>
      <c r="T1192" s="1">
        <v>0</v>
      </c>
      <c r="U1192" s="1">
        <v>0</v>
      </c>
      <c r="V1192" s="1" t="s">
        <v>301</v>
      </c>
    </row>
    <row r="1193" spans="1:22">
      <c r="A1193" t="s">
        <v>193</v>
      </c>
      <c r="B1193" t="s">
        <v>57</v>
      </c>
      <c r="C1193" t="s">
        <v>63</v>
      </c>
      <c r="D1193" s="1">
        <v>0</v>
      </c>
      <c r="E1193" s="1">
        <v>0</v>
      </c>
      <c r="F1193" s="1">
        <v>0</v>
      </c>
      <c r="G1193" s="1">
        <v>0</v>
      </c>
      <c r="H1193" s="1">
        <v>0</v>
      </c>
      <c r="I1193" s="1">
        <v>0</v>
      </c>
      <c r="J1193" s="1">
        <v>0</v>
      </c>
      <c r="K1193" s="1">
        <v>0</v>
      </c>
      <c r="L1193" s="1">
        <v>0</v>
      </c>
      <c r="M1193" s="1">
        <v>0</v>
      </c>
      <c r="N1193" s="1">
        <v>0</v>
      </c>
      <c r="O1193" s="1">
        <v>0</v>
      </c>
      <c r="P1193" s="1">
        <v>0</v>
      </c>
      <c r="Q1193" s="1">
        <v>0</v>
      </c>
      <c r="R1193" s="1">
        <v>0</v>
      </c>
      <c r="S1193" s="1">
        <v>0</v>
      </c>
      <c r="T1193" s="1">
        <v>0</v>
      </c>
      <c r="U1193" s="1">
        <v>0</v>
      </c>
      <c r="V1193" s="1" t="s">
        <v>301</v>
      </c>
    </row>
    <row r="1194" spans="1:22">
      <c r="A1194" t="s">
        <v>193</v>
      </c>
      <c r="B1194" t="s">
        <v>57</v>
      </c>
      <c r="C1194" t="s">
        <v>64</v>
      </c>
      <c r="D1194" s="1">
        <v>0</v>
      </c>
      <c r="E1194" s="1">
        <v>0</v>
      </c>
      <c r="F1194" s="1">
        <v>0</v>
      </c>
      <c r="G1194" s="1">
        <v>0</v>
      </c>
      <c r="H1194" s="1">
        <v>0</v>
      </c>
      <c r="I1194" s="1">
        <v>0</v>
      </c>
      <c r="J1194" s="1">
        <v>0</v>
      </c>
      <c r="K1194" s="1">
        <v>0</v>
      </c>
      <c r="L1194" s="1">
        <v>0</v>
      </c>
      <c r="M1194" s="1">
        <v>0</v>
      </c>
      <c r="N1194" s="1">
        <v>0</v>
      </c>
      <c r="O1194" s="1">
        <v>0</v>
      </c>
      <c r="P1194" s="1">
        <v>0</v>
      </c>
      <c r="Q1194" s="1">
        <v>0</v>
      </c>
      <c r="R1194" s="1">
        <v>0</v>
      </c>
      <c r="S1194" s="1">
        <v>0</v>
      </c>
      <c r="T1194" s="1">
        <v>0</v>
      </c>
      <c r="U1194" s="1">
        <v>0</v>
      </c>
      <c r="V1194" s="1" t="s">
        <v>301</v>
      </c>
    </row>
    <row r="1195" spans="1:22">
      <c r="A1195" t="s">
        <v>193</v>
      </c>
      <c r="B1195" t="s">
        <v>57</v>
      </c>
      <c r="C1195" t="s">
        <v>65</v>
      </c>
      <c r="D1195" s="1">
        <v>0</v>
      </c>
      <c r="E1195" s="1">
        <v>0</v>
      </c>
      <c r="F1195" s="1">
        <v>0</v>
      </c>
      <c r="G1195" s="1">
        <v>0</v>
      </c>
      <c r="H1195" s="1">
        <v>0</v>
      </c>
      <c r="I1195" s="1">
        <v>0</v>
      </c>
      <c r="J1195" s="1">
        <v>0</v>
      </c>
      <c r="K1195" s="1">
        <v>0</v>
      </c>
      <c r="L1195" s="1">
        <v>0</v>
      </c>
      <c r="M1195" s="1">
        <v>0</v>
      </c>
      <c r="N1195" s="1">
        <v>0</v>
      </c>
      <c r="O1195" s="1">
        <v>0</v>
      </c>
      <c r="P1195" s="1">
        <v>0</v>
      </c>
      <c r="Q1195" s="1">
        <v>0</v>
      </c>
      <c r="R1195" s="1">
        <v>0</v>
      </c>
      <c r="S1195" s="1">
        <v>0</v>
      </c>
      <c r="T1195" s="1">
        <v>0</v>
      </c>
      <c r="U1195" s="1">
        <v>0</v>
      </c>
      <c r="V1195" s="1" t="s">
        <v>301</v>
      </c>
    </row>
    <row r="1196" spans="1:22">
      <c r="A1196" t="s">
        <v>194</v>
      </c>
      <c r="B1196" t="s">
        <v>57</v>
      </c>
      <c r="C1196" t="s">
        <v>58</v>
      </c>
      <c r="D1196" s="1">
        <v>0</v>
      </c>
      <c r="E1196" s="1">
        <v>0</v>
      </c>
      <c r="F1196" s="1">
        <v>0</v>
      </c>
      <c r="G1196" s="1">
        <v>0</v>
      </c>
      <c r="H1196" s="1">
        <v>0</v>
      </c>
      <c r="I1196" s="1">
        <v>0</v>
      </c>
      <c r="J1196" s="1">
        <v>0</v>
      </c>
      <c r="K1196" s="1">
        <v>0</v>
      </c>
      <c r="L1196" s="1">
        <v>0</v>
      </c>
      <c r="M1196" s="1">
        <v>0</v>
      </c>
      <c r="N1196" s="1">
        <v>0</v>
      </c>
      <c r="O1196" s="1">
        <v>0</v>
      </c>
      <c r="P1196" s="1">
        <v>0</v>
      </c>
      <c r="Q1196" s="1">
        <v>0</v>
      </c>
      <c r="R1196" s="1">
        <v>0</v>
      </c>
      <c r="S1196" s="1">
        <v>0</v>
      </c>
      <c r="T1196" s="1">
        <v>0</v>
      </c>
      <c r="U1196" s="1">
        <v>4</v>
      </c>
      <c r="V1196" s="1" t="s">
        <v>301</v>
      </c>
    </row>
    <row r="1197" spans="1:22">
      <c r="A1197" t="s">
        <v>194</v>
      </c>
      <c r="B1197" t="s">
        <v>57</v>
      </c>
      <c r="C1197" t="s">
        <v>59</v>
      </c>
      <c r="D1197" s="1">
        <v>0</v>
      </c>
      <c r="E1197" s="1">
        <v>0</v>
      </c>
      <c r="F1197" s="1">
        <v>0</v>
      </c>
      <c r="G1197" s="1">
        <v>0</v>
      </c>
      <c r="H1197" s="1">
        <v>0</v>
      </c>
      <c r="I1197" s="1">
        <v>0</v>
      </c>
      <c r="J1197" s="1">
        <v>0</v>
      </c>
      <c r="K1197" s="1">
        <v>0</v>
      </c>
      <c r="L1197" s="1">
        <v>0</v>
      </c>
      <c r="M1197" s="1">
        <v>0</v>
      </c>
      <c r="N1197" s="1">
        <v>0</v>
      </c>
      <c r="O1197" s="1">
        <v>0</v>
      </c>
      <c r="P1197" s="1">
        <v>0</v>
      </c>
      <c r="Q1197" s="1">
        <v>0</v>
      </c>
      <c r="R1197" s="1">
        <v>0</v>
      </c>
      <c r="S1197" s="1">
        <v>0</v>
      </c>
      <c r="T1197" s="1">
        <v>0</v>
      </c>
      <c r="U1197" s="1">
        <v>0</v>
      </c>
      <c r="V1197" s="1" t="s">
        <v>301</v>
      </c>
    </row>
    <row r="1198" spans="1:22">
      <c r="A1198" t="s">
        <v>194</v>
      </c>
      <c r="B1198" t="s">
        <v>57</v>
      </c>
      <c r="C1198" t="s">
        <v>60</v>
      </c>
      <c r="D1198" s="1">
        <v>0</v>
      </c>
      <c r="E1198" s="1">
        <v>0</v>
      </c>
      <c r="F1198" s="1">
        <v>0</v>
      </c>
      <c r="G1198" s="1">
        <v>0</v>
      </c>
      <c r="H1198" s="1">
        <v>0</v>
      </c>
      <c r="I1198" s="1">
        <v>0</v>
      </c>
      <c r="J1198" s="1">
        <v>0</v>
      </c>
      <c r="K1198" s="1">
        <v>0</v>
      </c>
      <c r="L1198" s="1">
        <v>0</v>
      </c>
      <c r="M1198" s="1">
        <v>0</v>
      </c>
      <c r="N1198" s="1">
        <v>0</v>
      </c>
      <c r="O1198" s="1">
        <v>0</v>
      </c>
      <c r="P1198" s="1">
        <v>0</v>
      </c>
      <c r="Q1198" s="1">
        <v>0</v>
      </c>
      <c r="R1198" s="1">
        <v>0</v>
      </c>
      <c r="S1198" s="1">
        <v>0</v>
      </c>
      <c r="T1198" s="1">
        <v>0</v>
      </c>
      <c r="U1198" s="1">
        <v>0</v>
      </c>
      <c r="V1198" s="1" t="s">
        <v>301</v>
      </c>
    </row>
    <row r="1199" spans="1:22">
      <c r="A1199" t="s">
        <v>194</v>
      </c>
      <c r="B1199" t="s">
        <v>57</v>
      </c>
      <c r="C1199" t="s">
        <v>61</v>
      </c>
      <c r="D1199" s="1">
        <v>0</v>
      </c>
      <c r="E1199" s="1">
        <v>0</v>
      </c>
      <c r="F1199" s="1">
        <v>0</v>
      </c>
      <c r="G1199" s="1">
        <v>0</v>
      </c>
      <c r="H1199" s="1">
        <v>0</v>
      </c>
      <c r="I1199" s="1">
        <v>0</v>
      </c>
      <c r="J1199" s="1">
        <v>0</v>
      </c>
      <c r="K1199" s="1">
        <v>0</v>
      </c>
      <c r="L1199" s="1">
        <v>0</v>
      </c>
      <c r="M1199" s="1">
        <v>0</v>
      </c>
      <c r="N1199" s="1">
        <v>0</v>
      </c>
      <c r="O1199" s="1">
        <v>0</v>
      </c>
      <c r="P1199" s="1">
        <v>0</v>
      </c>
      <c r="Q1199" s="1">
        <v>0</v>
      </c>
      <c r="R1199" s="1">
        <v>0</v>
      </c>
      <c r="S1199" s="1">
        <v>0</v>
      </c>
      <c r="T1199" s="1">
        <v>0</v>
      </c>
      <c r="U1199" s="1">
        <v>0</v>
      </c>
      <c r="V1199" s="1" t="s">
        <v>301</v>
      </c>
    </row>
    <row r="1200" spans="1:22">
      <c r="A1200" t="s">
        <v>194</v>
      </c>
      <c r="B1200" t="s">
        <v>57</v>
      </c>
      <c r="C1200" t="s">
        <v>62</v>
      </c>
      <c r="D1200" s="1">
        <v>0</v>
      </c>
      <c r="E1200" s="1">
        <v>0</v>
      </c>
      <c r="F1200" s="1">
        <v>0</v>
      </c>
      <c r="G1200" s="1">
        <v>0</v>
      </c>
      <c r="H1200" s="1">
        <v>0</v>
      </c>
      <c r="I1200" s="1">
        <v>0</v>
      </c>
      <c r="J1200" s="1">
        <v>0</v>
      </c>
      <c r="K1200" s="1">
        <v>0</v>
      </c>
      <c r="L1200" s="1">
        <v>0</v>
      </c>
      <c r="M1200" s="1">
        <v>0</v>
      </c>
      <c r="N1200" s="1">
        <v>0</v>
      </c>
      <c r="O1200" s="1">
        <v>0</v>
      </c>
      <c r="P1200" s="1">
        <v>0</v>
      </c>
      <c r="Q1200" s="1">
        <v>0</v>
      </c>
      <c r="R1200" s="1">
        <v>0</v>
      </c>
      <c r="S1200" s="1">
        <v>0</v>
      </c>
      <c r="T1200" s="1">
        <v>0</v>
      </c>
      <c r="U1200" s="1">
        <v>0</v>
      </c>
      <c r="V1200" s="1" t="s">
        <v>301</v>
      </c>
    </row>
    <row r="1201" spans="1:22">
      <c r="A1201" t="s">
        <v>194</v>
      </c>
      <c r="B1201" t="s">
        <v>57</v>
      </c>
      <c r="C1201" t="s">
        <v>63</v>
      </c>
      <c r="D1201" s="1">
        <v>0</v>
      </c>
      <c r="E1201" s="1">
        <v>0</v>
      </c>
      <c r="F1201" s="1">
        <v>0</v>
      </c>
      <c r="G1201" s="1">
        <v>0</v>
      </c>
      <c r="H1201" s="1">
        <v>0</v>
      </c>
      <c r="I1201" s="1">
        <v>0</v>
      </c>
      <c r="J1201" s="1">
        <v>0</v>
      </c>
      <c r="K1201" s="1">
        <v>0</v>
      </c>
      <c r="L1201" s="1">
        <v>0</v>
      </c>
      <c r="M1201" s="1">
        <v>0</v>
      </c>
      <c r="N1201" s="1">
        <v>0</v>
      </c>
      <c r="O1201" s="1">
        <v>0</v>
      </c>
      <c r="P1201" s="1">
        <v>0</v>
      </c>
      <c r="Q1201" s="1">
        <v>0</v>
      </c>
      <c r="R1201" s="1">
        <v>0</v>
      </c>
      <c r="S1201" s="1">
        <v>0</v>
      </c>
      <c r="T1201" s="1">
        <v>0</v>
      </c>
      <c r="U1201" s="1">
        <v>0</v>
      </c>
      <c r="V1201" s="1" t="s">
        <v>301</v>
      </c>
    </row>
    <row r="1202" spans="1:22">
      <c r="A1202" t="s">
        <v>194</v>
      </c>
      <c r="B1202" t="s">
        <v>57</v>
      </c>
      <c r="C1202" t="s">
        <v>64</v>
      </c>
      <c r="D1202" s="1">
        <v>0</v>
      </c>
      <c r="E1202" s="1">
        <v>0</v>
      </c>
      <c r="F1202" s="1">
        <v>0</v>
      </c>
      <c r="G1202" s="1">
        <v>0</v>
      </c>
      <c r="H1202" s="1">
        <v>0</v>
      </c>
      <c r="I1202" s="1">
        <v>0</v>
      </c>
      <c r="J1202" s="1">
        <v>0</v>
      </c>
      <c r="K1202" s="1">
        <v>0</v>
      </c>
      <c r="L1202" s="1">
        <v>0</v>
      </c>
      <c r="M1202" s="1">
        <v>0</v>
      </c>
      <c r="N1202" s="1">
        <v>0</v>
      </c>
      <c r="O1202" s="1">
        <v>0</v>
      </c>
      <c r="P1202" s="1">
        <v>0</v>
      </c>
      <c r="Q1202" s="1">
        <v>0</v>
      </c>
      <c r="R1202" s="1">
        <v>0</v>
      </c>
      <c r="S1202" s="1">
        <v>0</v>
      </c>
      <c r="T1202" s="1">
        <v>0</v>
      </c>
      <c r="U1202" s="1">
        <v>0</v>
      </c>
      <c r="V1202" s="1" t="s">
        <v>301</v>
      </c>
    </row>
    <row r="1203" spans="1:22">
      <c r="A1203" t="s">
        <v>194</v>
      </c>
      <c r="B1203" t="s">
        <v>57</v>
      </c>
      <c r="C1203" t="s">
        <v>65</v>
      </c>
      <c r="D1203" s="1">
        <v>0</v>
      </c>
      <c r="E1203" s="1">
        <v>0</v>
      </c>
      <c r="F1203" s="1">
        <v>0</v>
      </c>
      <c r="G1203" s="1">
        <v>0</v>
      </c>
      <c r="H1203" s="1">
        <v>0</v>
      </c>
      <c r="I1203" s="1">
        <v>0</v>
      </c>
      <c r="J1203" s="1">
        <v>0</v>
      </c>
      <c r="K1203" s="1">
        <v>0</v>
      </c>
      <c r="L1203" s="1">
        <v>0</v>
      </c>
      <c r="M1203" s="1">
        <v>0</v>
      </c>
      <c r="N1203" s="1">
        <v>0</v>
      </c>
      <c r="O1203" s="1">
        <v>0</v>
      </c>
      <c r="P1203" s="1">
        <v>0</v>
      </c>
      <c r="Q1203" s="1">
        <v>0</v>
      </c>
      <c r="R1203" s="1">
        <v>0</v>
      </c>
      <c r="S1203" s="1">
        <v>0</v>
      </c>
      <c r="T1203" s="1">
        <v>0</v>
      </c>
      <c r="U1203" s="1">
        <v>0</v>
      </c>
      <c r="V1203" s="1" t="s">
        <v>301</v>
      </c>
    </row>
    <row r="1204" spans="1:22">
      <c r="A1204" t="s">
        <v>195</v>
      </c>
      <c r="B1204" t="s">
        <v>57</v>
      </c>
      <c r="C1204" t="s">
        <v>58</v>
      </c>
      <c r="D1204" s="1">
        <v>0</v>
      </c>
      <c r="E1204" s="1">
        <v>0</v>
      </c>
      <c r="F1204" s="1">
        <v>0</v>
      </c>
      <c r="G1204" s="1">
        <v>0</v>
      </c>
      <c r="H1204" s="1">
        <v>0</v>
      </c>
      <c r="I1204" s="1">
        <v>0</v>
      </c>
      <c r="J1204" s="1">
        <v>0</v>
      </c>
      <c r="K1204" s="1">
        <v>0</v>
      </c>
      <c r="L1204" s="1">
        <v>0</v>
      </c>
      <c r="M1204" s="1">
        <v>0</v>
      </c>
      <c r="N1204" s="1">
        <v>0</v>
      </c>
      <c r="O1204" s="1">
        <v>0</v>
      </c>
      <c r="P1204" s="1">
        <v>0</v>
      </c>
      <c r="Q1204" s="1">
        <v>0</v>
      </c>
      <c r="R1204" s="1">
        <v>0</v>
      </c>
      <c r="S1204" s="1">
        <v>0</v>
      </c>
      <c r="T1204" s="1">
        <v>0</v>
      </c>
      <c r="U1204" s="1">
        <v>5</v>
      </c>
      <c r="V1204" s="1" t="s">
        <v>301</v>
      </c>
    </row>
    <row r="1205" spans="1:22">
      <c r="A1205" t="s">
        <v>195</v>
      </c>
      <c r="B1205" t="s">
        <v>57</v>
      </c>
      <c r="C1205" t="s">
        <v>59</v>
      </c>
      <c r="D1205" s="1">
        <v>0</v>
      </c>
      <c r="E1205" s="1">
        <v>0</v>
      </c>
      <c r="F1205" s="1">
        <v>0</v>
      </c>
      <c r="G1205" s="1">
        <v>0</v>
      </c>
      <c r="H1205" s="1">
        <v>0</v>
      </c>
      <c r="I1205" s="1">
        <v>0</v>
      </c>
      <c r="J1205" s="1">
        <v>0</v>
      </c>
      <c r="K1205" s="1">
        <v>0</v>
      </c>
      <c r="L1205" s="1">
        <v>0</v>
      </c>
      <c r="M1205" s="1">
        <v>0</v>
      </c>
      <c r="N1205" s="1">
        <v>0</v>
      </c>
      <c r="O1205" s="1">
        <v>0</v>
      </c>
      <c r="P1205" s="1">
        <v>0</v>
      </c>
      <c r="Q1205" s="1">
        <v>0</v>
      </c>
      <c r="R1205" s="1">
        <v>0</v>
      </c>
      <c r="S1205" s="1">
        <v>0</v>
      </c>
      <c r="T1205" s="1">
        <v>0</v>
      </c>
      <c r="U1205" s="1">
        <v>0</v>
      </c>
      <c r="V1205" s="1" t="s">
        <v>301</v>
      </c>
    </row>
    <row r="1206" spans="1:22">
      <c r="A1206" t="s">
        <v>195</v>
      </c>
      <c r="B1206" t="s">
        <v>57</v>
      </c>
      <c r="C1206" t="s">
        <v>60</v>
      </c>
      <c r="D1206" s="1">
        <v>0</v>
      </c>
      <c r="E1206" s="1">
        <v>0</v>
      </c>
      <c r="F1206" s="1">
        <v>0</v>
      </c>
      <c r="G1206" s="1">
        <v>0</v>
      </c>
      <c r="H1206" s="1">
        <v>0</v>
      </c>
      <c r="I1206" s="1">
        <v>0</v>
      </c>
      <c r="J1206" s="1">
        <v>0</v>
      </c>
      <c r="K1206" s="1">
        <v>0</v>
      </c>
      <c r="L1206" s="1">
        <v>0</v>
      </c>
      <c r="M1206" s="1">
        <v>0</v>
      </c>
      <c r="N1206" s="1">
        <v>0</v>
      </c>
      <c r="O1206" s="1">
        <v>0</v>
      </c>
      <c r="P1206" s="1">
        <v>0</v>
      </c>
      <c r="Q1206" s="1">
        <v>0</v>
      </c>
      <c r="R1206" s="1">
        <v>0</v>
      </c>
      <c r="S1206" s="1">
        <v>0</v>
      </c>
      <c r="T1206" s="1">
        <v>0</v>
      </c>
      <c r="U1206" s="1">
        <v>0</v>
      </c>
      <c r="V1206" s="1" t="s">
        <v>301</v>
      </c>
    </row>
    <row r="1207" spans="1:22">
      <c r="A1207" t="s">
        <v>195</v>
      </c>
      <c r="B1207" t="s">
        <v>57</v>
      </c>
      <c r="C1207" t="s">
        <v>61</v>
      </c>
      <c r="D1207" s="1">
        <v>0</v>
      </c>
      <c r="E1207" s="1">
        <v>0</v>
      </c>
      <c r="F1207" s="1">
        <v>0</v>
      </c>
      <c r="G1207" s="1">
        <v>0</v>
      </c>
      <c r="H1207" s="1">
        <v>0</v>
      </c>
      <c r="I1207" s="1">
        <v>0</v>
      </c>
      <c r="J1207" s="1">
        <v>0</v>
      </c>
      <c r="K1207" s="1">
        <v>0</v>
      </c>
      <c r="L1207" s="1">
        <v>0</v>
      </c>
      <c r="M1207" s="1">
        <v>0</v>
      </c>
      <c r="N1207" s="1">
        <v>0</v>
      </c>
      <c r="O1207" s="1">
        <v>0</v>
      </c>
      <c r="P1207" s="1">
        <v>0</v>
      </c>
      <c r="Q1207" s="1">
        <v>0</v>
      </c>
      <c r="R1207" s="1">
        <v>0</v>
      </c>
      <c r="S1207" s="1">
        <v>0</v>
      </c>
      <c r="T1207" s="1">
        <v>0</v>
      </c>
      <c r="U1207" s="1">
        <v>0</v>
      </c>
      <c r="V1207" s="1" t="s">
        <v>301</v>
      </c>
    </row>
    <row r="1208" spans="1:22">
      <c r="A1208" t="s">
        <v>195</v>
      </c>
      <c r="B1208" t="s">
        <v>57</v>
      </c>
      <c r="C1208" t="s">
        <v>62</v>
      </c>
      <c r="D1208" s="1">
        <v>0</v>
      </c>
      <c r="E1208" s="1">
        <v>0</v>
      </c>
      <c r="F1208" s="1">
        <v>0</v>
      </c>
      <c r="G1208" s="1">
        <v>0</v>
      </c>
      <c r="H1208" s="1">
        <v>0</v>
      </c>
      <c r="I1208" s="1">
        <v>0</v>
      </c>
      <c r="J1208" s="1">
        <v>0</v>
      </c>
      <c r="K1208" s="1">
        <v>0</v>
      </c>
      <c r="L1208" s="1">
        <v>0</v>
      </c>
      <c r="M1208" s="1">
        <v>0</v>
      </c>
      <c r="N1208" s="1">
        <v>0</v>
      </c>
      <c r="O1208" s="1">
        <v>0</v>
      </c>
      <c r="P1208" s="1">
        <v>0</v>
      </c>
      <c r="Q1208" s="1">
        <v>0</v>
      </c>
      <c r="R1208" s="1">
        <v>0</v>
      </c>
      <c r="S1208" s="1">
        <v>0</v>
      </c>
      <c r="T1208" s="1">
        <v>0</v>
      </c>
      <c r="U1208" s="1">
        <v>0</v>
      </c>
      <c r="V1208" s="1" t="s">
        <v>301</v>
      </c>
    </row>
    <row r="1209" spans="1:22">
      <c r="A1209" t="s">
        <v>195</v>
      </c>
      <c r="B1209" t="s">
        <v>57</v>
      </c>
      <c r="C1209" t="s">
        <v>63</v>
      </c>
      <c r="D1209" s="1">
        <v>0</v>
      </c>
      <c r="E1209" s="1">
        <v>0</v>
      </c>
      <c r="F1209" s="1">
        <v>0</v>
      </c>
      <c r="G1209" s="1">
        <v>0</v>
      </c>
      <c r="H1209" s="1">
        <v>0</v>
      </c>
      <c r="I1209" s="1">
        <v>0</v>
      </c>
      <c r="J1209" s="1">
        <v>0</v>
      </c>
      <c r="K1209" s="1">
        <v>0</v>
      </c>
      <c r="L1209" s="1">
        <v>0</v>
      </c>
      <c r="M1209" s="1">
        <v>0</v>
      </c>
      <c r="N1209" s="1">
        <v>0</v>
      </c>
      <c r="O1209" s="1">
        <v>0</v>
      </c>
      <c r="P1209" s="1">
        <v>0</v>
      </c>
      <c r="Q1209" s="1">
        <v>0</v>
      </c>
      <c r="R1209" s="1">
        <v>0</v>
      </c>
      <c r="S1209" s="1">
        <v>0</v>
      </c>
      <c r="T1209" s="1">
        <v>0</v>
      </c>
      <c r="U1209" s="1">
        <v>0</v>
      </c>
      <c r="V1209" s="1" t="s">
        <v>301</v>
      </c>
    </row>
    <row r="1210" spans="1:22">
      <c r="A1210" t="s">
        <v>195</v>
      </c>
      <c r="B1210" t="s">
        <v>57</v>
      </c>
      <c r="C1210" t="s">
        <v>64</v>
      </c>
      <c r="D1210" s="1">
        <v>0</v>
      </c>
      <c r="E1210" s="1">
        <v>0</v>
      </c>
      <c r="F1210" s="1">
        <v>0</v>
      </c>
      <c r="G1210" s="1">
        <v>0</v>
      </c>
      <c r="H1210" s="1">
        <v>0</v>
      </c>
      <c r="I1210" s="1">
        <v>0</v>
      </c>
      <c r="J1210" s="1">
        <v>0</v>
      </c>
      <c r="K1210" s="1">
        <v>0</v>
      </c>
      <c r="L1210" s="1">
        <v>0</v>
      </c>
      <c r="M1210" s="1">
        <v>0</v>
      </c>
      <c r="N1210" s="1">
        <v>0</v>
      </c>
      <c r="O1210" s="1">
        <v>0</v>
      </c>
      <c r="P1210" s="1">
        <v>0</v>
      </c>
      <c r="Q1210" s="1">
        <v>0</v>
      </c>
      <c r="R1210" s="1">
        <v>0</v>
      </c>
      <c r="S1210" s="1">
        <v>0</v>
      </c>
      <c r="T1210" s="1">
        <v>0</v>
      </c>
      <c r="U1210" s="1">
        <v>0</v>
      </c>
      <c r="V1210" s="1" t="s">
        <v>301</v>
      </c>
    </row>
    <row r="1211" spans="1:22">
      <c r="A1211" t="s">
        <v>195</v>
      </c>
      <c r="B1211" t="s">
        <v>57</v>
      </c>
      <c r="C1211" t="s">
        <v>65</v>
      </c>
      <c r="D1211" s="1">
        <v>0</v>
      </c>
      <c r="E1211" s="1">
        <v>0</v>
      </c>
      <c r="F1211" s="1">
        <v>0</v>
      </c>
      <c r="G1211" s="1">
        <v>0</v>
      </c>
      <c r="H1211" s="1">
        <v>0</v>
      </c>
      <c r="I1211" s="1">
        <v>0</v>
      </c>
      <c r="J1211" s="1">
        <v>0</v>
      </c>
      <c r="K1211" s="1">
        <v>0</v>
      </c>
      <c r="L1211" s="1">
        <v>0</v>
      </c>
      <c r="M1211" s="1">
        <v>0</v>
      </c>
      <c r="N1211" s="1">
        <v>0</v>
      </c>
      <c r="O1211" s="1">
        <v>0</v>
      </c>
      <c r="P1211" s="1">
        <v>0</v>
      </c>
      <c r="Q1211" s="1">
        <v>0</v>
      </c>
      <c r="R1211" s="1">
        <v>0</v>
      </c>
      <c r="S1211" s="1">
        <v>0</v>
      </c>
      <c r="T1211" s="1">
        <v>0</v>
      </c>
      <c r="U1211" s="1">
        <v>0</v>
      </c>
      <c r="V1211" s="1" t="s">
        <v>301</v>
      </c>
    </row>
    <row r="1212" spans="1:22">
      <c r="A1212" t="s">
        <v>196</v>
      </c>
      <c r="B1212" t="s">
        <v>57</v>
      </c>
      <c r="C1212" t="s">
        <v>58</v>
      </c>
      <c r="D1212" s="1">
        <v>0</v>
      </c>
      <c r="E1212" s="1">
        <v>0</v>
      </c>
      <c r="F1212" s="1">
        <v>0</v>
      </c>
      <c r="G1212" s="1">
        <v>0</v>
      </c>
      <c r="H1212" s="1">
        <v>0</v>
      </c>
      <c r="I1212" s="1">
        <v>0</v>
      </c>
      <c r="J1212" s="1">
        <v>0</v>
      </c>
      <c r="K1212" s="1">
        <v>0</v>
      </c>
      <c r="L1212" s="1">
        <v>0</v>
      </c>
      <c r="M1212" s="1">
        <v>0</v>
      </c>
      <c r="N1212" s="1">
        <v>0</v>
      </c>
      <c r="O1212" s="1">
        <v>0</v>
      </c>
      <c r="P1212" s="1">
        <v>0</v>
      </c>
      <c r="Q1212" s="1">
        <v>0</v>
      </c>
      <c r="R1212" s="1">
        <v>0</v>
      </c>
      <c r="S1212" s="1">
        <v>0</v>
      </c>
      <c r="T1212" s="1">
        <v>0</v>
      </c>
      <c r="U1212" s="1">
        <v>4</v>
      </c>
      <c r="V1212" s="1" t="s">
        <v>301</v>
      </c>
    </row>
    <row r="1213" spans="1:22">
      <c r="A1213" t="s">
        <v>196</v>
      </c>
      <c r="B1213" t="s">
        <v>57</v>
      </c>
      <c r="C1213" t="s">
        <v>59</v>
      </c>
      <c r="D1213" s="1">
        <v>0</v>
      </c>
      <c r="E1213" s="1">
        <v>0</v>
      </c>
      <c r="F1213" s="1">
        <v>0</v>
      </c>
      <c r="G1213" s="1">
        <v>0</v>
      </c>
      <c r="H1213" s="1">
        <v>0</v>
      </c>
      <c r="I1213" s="1">
        <v>0</v>
      </c>
      <c r="J1213" s="1">
        <v>0</v>
      </c>
      <c r="K1213" s="1">
        <v>0</v>
      </c>
      <c r="L1213" s="1">
        <v>0</v>
      </c>
      <c r="M1213" s="1">
        <v>0</v>
      </c>
      <c r="N1213" s="1">
        <v>0</v>
      </c>
      <c r="O1213" s="1">
        <v>0</v>
      </c>
      <c r="P1213" s="1">
        <v>0</v>
      </c>
      <c r="Q1213" s="1">
        <v>0</v>
      </c>
      <c r="R1213" s="1">
        <v>0</v>
      </c>
      <c r="S1213" s="1">
        <v>0</v>
      </c>
      <c r="T1213" s="1">
        <v>0</v>
      </c>
      <c r="U1213" s="1">
        <v>0</v>
      </c>
      <c r="V1213" s="1" t="s">
        <v>301</v>
      </c>
    </row>
    <row r="1214" spans="1:22">
      <c r="A1214" t="s">
        <v>196</v>
      </c>
      <c r="B1214" t="s">
        <v>57</v>
      </c>
      <c r="C1214" t="s">
        <v>60</v>
      </c>
      <c r="D1214" s="1">
        <v>0</v>
      </c>
      <c r="E1214" s="1">
        <v>0</v>
      </c>
      <c r="F1214" s="1">
        <v>0</v>
      </c>
      <c r="G1214" s="1">
        <v>0</v>
      </c>
      <c r="H1214" s="1">
        <v>0</v>
      </c>
      <c r="I1214" s="1">
        <v>0</v>
      </c>
      <c r="J1214" s="1">
        <v>0</v>
      </c>
      <c r="K1214" s="1">
        <v>0</v>
      </c>
      <c r="L1214" s="1">
        <v>0</v>
      </c>
      <c r="M1214" s="1">
        <v>0</v>
      </c>
      <c r="N1214" s="1">
        <v>0</v>
      </c>
      <c r="O1214" s="1">
        <v>0</v>
      </c>
      <c r="P1214" s="1">
        <v>0</v>
      </c>
      <c r="Q1214" s="1">
        <v>0</v>
      </c>
      <c r="R1214" s="1">
        <v>0</v>
      </c>
      <c r="S1214" s="1">
        <v>0</v>
      </c>
      <c r="T1214" s="1">
        <v>0</v>
      </c>
      <c r="U1214" s="1">
        <v>0</v>
      </c>
      <c r="V1214" s="1" t="s">
        <v>301</v>
      </c>
    </row>
    <row r="1215" spans="1:22">
      <c r="A1215" t="s">
        <v>196</v>
      </c>
      <c r="B1215" t="s">
        <v>57</v>
      </c>
      <c r="C1215" t="s">
        <v>61</v>
      </c>
      <c r="D1215" s="1">
        <v>0</v>
      </c>
      <c r="E1215" s="1">
        <v>0</v>
      </c>
      <c r="F1215" s="1">
        <v>0</v>
      </c>
      <c r="G1215" s="1">
        <v>0</v>
      </c>
      <c r="H1215" s="1">
        <v>0</v>
      </c>
      <c r="I1215" s="1">
        <v>0</v>
      </c>
      <c r="J1215" s="1">
        <v>0</v>
      </c>
      <c r="K1215" s="1">
        <v>0</v>
      </c>
      <c r="L1215" s="1">
        <v>0</v>
      </c>
      <c r="M1215" s="1">
        <v>0</v>
      </c>
      <c r="N1215" s="1">
        <v>0</v>
      </c>
      <c r="O1215" s="1">
        <v>0</v>
      </c>
      <c r="P1215" s="1">
        <v>0</v>
      </c>
      <c r="Q1215" s="1">
        <v>0</v>
      </c>
      <c r="R1215" s="1">
        <v>0</v>
      </c>
      <c r="S1215" s="1">
        <v>0</v>
      </c>
      <c r="T1215" s="1">
        <v>0</v>
      </c>
      <c r="U1215" s="1">
        <v>0</v>
      </c>
      <c r="V1215" s="1" t="s">
        <v>301</v>
      </c>
    </row>
    <row r="1216" spans="1:22">
      <c r="A1216" t="s">
        <v>196</v>
      </c>
      <c r="B1216" t="s">
        <v>57</v>
      </c>
      <c r="C1216" t="s">
        <v>62</v>
      </c>
      <c r="D1216" s="1">
        <v>0</v>
      </c>
      <c r="E1216" s="1">
        <v>0</v>
      </c>
      <c r="F1216" s="1">
        <v>0</v>
      </c>
      <c r="G1216" s="1">
        <v>0</v>
      </c>
      <c r="H1216" s="1">
        <v>0</v>
      </c>
      <c r="I1216" s="1">
        <v>0</v>
      </c>
      <c r="J1216" s="1">
        <v>0</v>
      </c>
      <c r="K1216" s="1">
        <v>0</v>
      </c>
      <c r="L1216" s="1">
        <v>0</v>
      </c>
      <c r="M1216" s="1">
        <v>0</v>
      </c>
      <c r="N1216" s="1">
        <v>0</v>
      </c>
      <c r="O1216" s="1">
        <v>0</v>
      </c>
      <c r="P1216" s="1">
        <v>0</v>
      </c>
      <c r="Q1216" s="1">
        <v>0</v>
      </c>
      <c r="R1216" s="1">
        <v>0</v>
      </c>
      <c r="S1216" s="1">
        <v>0</v>
      </c>
      <c r="T1216" s="1">
        <v>0</v>
      </c>
      <c r="U1216" s="1">
        <v>0</v>
      </c>
      <c r="V1216" s="1" t="s">
        <v>301</v>
      </c>
    </row>
    <row r="1217" spans="1:22">
      <c r="A1217" t="s">
        <v>196</v>
      </c>
      <c r="B1217" t="s">
        <v>57</v>
      </c>
      <c r="C1217" t="s">
        <v>63</v>
      </c>
      <c r="D1217" s="1">
        <v>0</v>
      </c>
      <c r="E1217" s="1">
        <v>0</v>
      </c>
      <c r="F1217" s="1">
        <v>0</v>
      </c>
      <c r="G1217" s="1">
        <v>0</v>
      </c>
      <c r="H1217" s="1">
        <v>0</v>
      </c>
      <c r="I1217" s="1">
        <v>0</v>
      </c>
      <c r="J1217" s="1">
        <v>0</v>
      </c>
      <c r="K1217" s="1">
        <v>0</v>
      </c>
      <c r="L1217" s="1">
        <v>0</v>
      </c>
      <c r="M1217" s="1">
        <v>0</v>
      </c>
      <c r="N1217" s="1">
        <v>0</v>
      </c>
      <c r="O1217" s="1">
        <v>0</v>
      </c>
      <c r="P1217" s="1">
        <v>0</v>
      </c>
      <c r="Q1217" s="1">
        <v>0</v>
      </c>
      <c r="R1217" s="1">
        <v>0</v>
      </c>
      <c r="S1217" s="1">
        <v>0</v>
      </c>
      <c r="T1217" s="1">
        <v>0</v>
      </c>
      <c r="U1217" s="1">
        <v>0</v>
      </c>
      <c r="V1217" s="1" t="s">
        <v>301</v>
      </c>
    </row>
    <row r="1218" spans="1:22">
      <c r="A1218" t="s">
        <v>196</v>
      </c>
      <c r="B1218" t="s">
        <v>57</v>
      </c>
      <c r="C1218" t="s">
        <v>64</v>
      </c>
      <c r="D1218" s="1">
        <v>0</v>
      </c>
      <c r="E1218" s="1">
        <v>0</v>
      </c>
      <c r="F1218" s="1">
        <v>0</v>
      </c>
      <c r="G1218" s="1">
        <v>0</v>
      </c>
      <c r="H1218" s="1">
        <v>0</v>
      </c>
      <c r="I1218" s="1">
        <v>0</v>
      </c>
      <c r="J1218" s="1">
        <v>0</v>
      </c>
      <c r="K1218" s="1">
        <v>0</v>
      </c>
      <c r="L1218" s="1">
        <v>0</v>
      </c>
      <c r="M1218" s="1">
        <v>0</v>
      </c>
      <c r="N1218" s="1">
        <v>0</v>
      </c>
      <c r="O1218" s="1">
        <v>0</v>
      </c>
      <c r="P1218" s="1">
        <v>0</v>
      </c>
      <c r="Q1218" s="1">
        <v>0</v>
      </c>
      <c r="R1218" s="1">
        <v>0</v>
      </c>
      <c r="S1218" s="1">
        <v>0</v>
      </c>
      <c r="T1218" s="1">
        <v>0</v>
      </c>
      <c r="U1218" s="1">
        <v>0</v>
      </c>
      <c r="V1218" s="1" t="s">
        <v>301</v>
      </c>
    </row>
    <row r="1219" spans="1:22">
      <c r="A1219" t="s">
        <v>196</v>
      </c>
      <c r="B1219" t="s">
        <v>57</v>
      </c>
      <c r="C1219" t="s">
        <v>65</v>
      </c>
      <c r="D1219" s="1">
        <v>0</v>
      </c>
      <c r="E1219" s="1">
        <v>0</v>
      </c>
      <c r="F1219" s="1">
        <v>0</v>
      </c>
      <c r="G1219" s="1">
        <v>0</v>
      </c>
      <c r="H1219" s="1">
        <v>0</v>
      </c>
      <c r="I1219" s="1">
        <v>0</v>
      </c>
      <c r="J1219" s="1">
        <v>0</v>
      </c>
      <c r="K1219" s="1">
        <v>0</v>
      </c>
      <c r="L1219" s="1">
        <v>0</v>
      </c>
      <c r="M1219" s="1">
        <v>0</v>
      </c>
      <c r="N1219" s="1">
        <v>0</v>
      </c>
      <c r="O1219" s="1">
        <v>0</v>
      </c>
      <c r="P1219" s="1">
        <v>0</v>
      </c>
      <c r="Q1219" s="1">
        <v>0</v>
      </c>
      <c r="R1219" s="1">
        <v>0</v>
      </c>
      <c r="S1219" s="1">
        <v>0</v>
      </c>
      <c r="T1219" s="1">
        <v>0</v>
      </c>
      <c r="U1219" s="1">
        <v>0</v>
      </c>
      <c r="V1219" s="1" t="s">
        <v>301</v>
      </c>
    </row>
    <row r="1220" spans="1:22">
      <c r="A1220" t="s">
        <v>55</v>
      </c>
      <c r="B1220" t="s">
        <v>57</v>
      </c>
      <c r="C1220" t="s">
        <v>58</v>
      </c>
      <c r="D1220" s="1">
        <v>0</v>
      </c>
      <c r="E1220" s="1">
        <v>0</v>
      </c>
      <c r="F1220" s="1">
        <v>0</v>
      </c>
      <c r="G1220" s="1">
        <v>0</v>
      </c>
      <c r="H1220" s="1">
        <v>0</v>
      </c>
      <c r="I1220" s="1">
        <v>0</v>
      </c>
      <c r="J1220" s="1">
        <v>0</v>
      </c>
      <c r="K1220" s="1">
        <v>0</v>
      </c>
      <c r="L1220" s="1">
        <v>0</v>
      </c>
      <c r="M1220" s="1">
        <v>0</v>
      </c>
      <c r="N1220" s="1">
        <v>0</v>
      </c>
      <c r="O1220" s="1">
        <v>0</v>
      </c>
      <c r="P1220" s="1">
        <v>0</v>
      </c>
      <c r="Q1220" s="1">
        <v>0</v>
      </c>
      <c r="R1220" s="1">
        <v>0</v>
      </c>
      <c r="S1220" s="1">
        <v>0</v>
      </c>
      <c r="T1220" s="1">
        <v>0</v>
      </c>
      <c r="U1220" s="1">
        <v>51</v>
      </c>
      <c r="V1220" s="1" t="s">
        <v>301</v>
      </c>
    </row>
    <row r="1221" spans="1:22">
      <c r="A1221" t="s">
        <v>55</v>
      </c>
      <c r="B1221" t="s">
        <v>57</v>
      </c>
      <c r="C1221" t="s">
        <v>59</v>
      </c>
      <c r="D1221" s="1">
        <v>0</v>
      </c>
      <c r="E1221" s="1">
        <v>0</v>
      </c>
      <c r="F1221" s="1">
        <v>0</v>
      </c>
      <c r="G1221" s="1">
        <v>0</v>
      </c>
      <c r="H1221" s="1">
        <v>0</v>
      </c>
      <c r="I1221" s="1">
        <v>0</v>
      </c>
      <c r="J1221" s="1">
        <v>0</v>
      </c>
      <c r="K1221" s="1">
        <v>0</v>
      </c>
      <c r="L1221" s="1">
        <v>0</v>
      </c>
      <c r="M1221" s="1">
        <v>0</v>
      </c>
      <c r="N1221" s="1">
        <v>0</v>
      </c>
      <c r="O1221" s="1">
        <v>0</v>
      </c>
      <c r="P1221" s="1">
        <v>0</v>
      </c>
      <c r="Q1221" s="1">
        <v>0</v>
      </c>
      <c r="R1221" s="1">
        <v>0</v>
      </c>
      <c r="S1221" s="1">
        <v>0</v>
      </c>
      <c r="T1221" s="1">
        <v>0</v>
      </c>
      <c r="U1221" s="1">
        <v>0</v>
      </c>
      <c r="V1221" s="1" t="s">
        <v>301</v>
      </c>
    </row>
    <row r="1222" spans="1:22">
      <c r="A1222" t="s">
        <v>55</v>
      </c>
      <c r="B1222" t="s">
        <v>57</v>
      </c>
      <c r="C1222" t="s">
        <v>60</v>
      </c>
      <c r="D1222" s="1">
        <v>0</v>
      </c>
      <c r="E1222" s="1">
        <v>0</v>
      </c>
      <c r="F1222" s="1">
        <v>0</v>
      </c>
      <c r="G1222" s="1">
        <v>0</v>
      </c>
      <c r="H1222" s="1">
        <v>0</v>
      </c>
      <c r="I1222" s="1">
        <v>0</v>
      </c>
      <c r="J1222" s="1">
        <v>0</v>
      </c>
      <c r="K1222" s="1">
        <v>0</v>
      </c>
      <c r="L1222" s="1">
        <v>0</v>
      </c>
      <c r="M1222" s="1">
        <v>0</v>
      </c>
      <c r="N1222" s="1">
        <v>0</v>
      </c>
      <c r="O1222" s="1">
        <v>0</v>
      </c>
      <c r="P1222" s="1">
        <v>0</v>
      </c>
      <c r="Q1222" s="1">
        <v>0</v>
      </c>
      <c r="R1222" s="1">
        <v>0</v>
      </c>
      <c r="S1222" s="1">
        <v>0</v>
      </c>
      <c r="T1222" s="1">
        <v>0</v>
      </c>
      <c r="U1222" s="1">
        <v>0</v>
      </c>
      <c r="V1222" s="1" t="s">
        <v>301</v>
      </c>
    </row>
    <row r="1223" spans="1:22">
      <c r="A1223" t="s">
        <v>55</v>
      </c>
      <c r="B1223" t="s">
        <v>57</v>
      </c>
      <c r="C1223" t="s">
        <v>61</v>
      </c>
      <c r="D1223" s="1">
        <v>0</v>
      </c>
      <c r="E1223" s="1">
        <v>0</v>
      </c>
      <c r="F1223" s="1">
        <v>0</v>
      </c>
      <c r="G1223" s="1">
        <v>0</v>
      </c>
      <c r="H1223" s="1">
        <v>0</v>
      </c>
      <c r="I1223" s="1">
        <v>0</v>
      </c>
      <c r="J1223" s="1">
        <v>0</v>
      </c>
      <c r="K1223" s="1">
        <v>0</v>
      </c>
      <c r="L1223" s="1">
        <v>0</v>
      </c>
      <c r="M1223" s="1">
        <v>0</v>
      </c>
      <c r="N1223" s="1">
        <v>0</v>
      </c>
      <c r="O1223" s="1">
        <v>0</v>
      </c>
      <c r="P1223" s="1">
        <v>0</v>
      </c>
      <c r="Q1223" s="1">
        <v>0</v>
      </c>
      <c r="R1223" s="1">
        <v>0</v>
      </c>
      <c r="S1223" s="1">
        <v>0</v>
      </c>
      <c r="T1223" s="1">
        <v>0</v>
      </c>
      <c r="U1223" s="1">
        <v>0</v>
      </c>
      <c r="V1223" s="1" t="s">
        <v>301</v>
      </c>
    </row>
    <row r="1224" spans="1:22">
      <c r="A1224" t="s">
        <v>55</v>
      </c>
      <c r="B1224" t="s">
        <v>57</v>
      </c>
      <c r="C1224" t="s">
        <v>62</v>
      </c>
      <c r="D1224" s="1">
        <v>0</v>
      </c>
      <c r="E1224" s="1">
        <v>0</v>
      </c>
      <c r="F1224" s="1">
        <v>0</v>
      </c>
      <c r="G1224" s="1">
        <v>0</v>
      </c>
      <c r="H1224" s="1">
        <v>0</v>
      </c>
      <c r="I1224" s="1">
        <v>0</v>
      </c>
      <c r="J1224" s="1">
        <v>0</v>
      </c>
      <c r="K1224" s="1">
        <v>0</v>
      </c>
      <c r="L1224" s="1">
        <v>0</v>
      </c>
      <c r="M1224" s="1">
        <v>0</v>
      </c>
      <c r="N1224" s="1">
        <v>0</v>
      </c>
      <c r="O1224" s="1">
        <v>0</v>
      </c>
      <c r="P1224" s="1">
        <v>0</v>
      </c>
      <c r="Q1224" s="1">
        <v>0</v>
      </c>
      <c r="R1224" s="1">
        <v>0</v>
      </c>
      <c r="S1224" s="1">
        <v>0</v>
      </c>
      <c r="T1224" s="1">
        <v>0</v>
      </c>
      <c r="U1224" s="1">
        <v>0</v>
      </c>
      <c r="V1224" s="1" t="s">
        <v>301</v>
      </c>
    </row>
    <row r="1225" spans="1:22">
      <c r="A1225" t="s">
        <v>55</v>
      </c>
      <c r="B1225" t="s">
        <v>57</v>
      </c>
      <c r="C1225" t="s">
        <v>63</v>
      </c>
      <c r="D1225" s="1">
        <v>0</v>
      </c>
      <c r="E1225" s="1">
        <v>0</v>
      </c>
      <c r="F1225" s="1">
        <v>0</v>
      </c>
      <c r="G1225" s="1">
        <v>0</v>
      </c>
      <c r="H1225" s="1">
        <v>0</v>
      </c>
      <c r="I1225" s="1">
        <v>0</v>
      </c>
      <c r="J1225" s="1">
        <v>0</v>
      </c>
      <c r="K1225" s="1">
        <v>0</v>
      </c>
      <c r="L1225" s="1">
        <v>0</v>
      </c>
      <c r="M1225" s="1">
        <v>0</v>
      </c>
      <c r="N1225" s="1">
        <v>0</v>
      </c>
      <c r="O1225" s="1">
        <v>0</v>
      </c>
      <c r="P1225" s="1">
        <v>0</v>
      </c>
      <c r="Q1225" s="1">
        <v>0</v>
      </c>
      <c r="R1225" s="1">
        <v>0</v>
      </c>
      <c r="S1225" s="1">
        <v>0</v>
      </c>
      <c r="T1225" s="1">
        <v>0</v>
      </c>
      <c r="U1225" s="1">
        <v>0</v>
      </c>
      <c r="V1225" s="1" t="s">
        <v>301</v>
      </c>
    </row>
    <row r="1226" spans="1:22">
      <c r="A1226" t="s">
        <v>55</v>
      </c>
      <c r="B1226" t="s">
        <v>57</v>
      </c>
      <c r="C1226" t="s">
        <v>64</v>
      </c>
      <c r="D1226" s="1">
        <v>0</v>
      </c>
      <c r="E1226" s="1">
        <v>0</v>
      </c>
      <c r="F1226" s="1">
        <v>0</v>
      </c>
      <c r="G1226" s="1">
        <v>0</v>
      </c>
      <c r="H1226" s="1">
        <v>0</v>
      </c>
      <c r="I1226" s="1">
        <v>0</v>
      </c>
      <c r="J1226" s="1">
        <v>0</v>
      </c>
      <c r="K1226" s="1">
        <v>0</v>
      </c>
      <c r="L1226" s="1">
        <v>0</v>
      </c>
      <c r="M1226" s="1">
        <v>0</v>
      </c>
      <c r="N1226" s="1">
        <v>0</v>
      </c>
      <c r="O1226" s="1">
        <v>0</v>
      </c>
      <c r="P1226" s="1">
        <v>0</v>
      </c>
      <c r="Q1226" s="1">
        <v>0</v>
      </c>
      <c r="R1226" s="1">
        <v>0</v>
      </c>
      <c r="S1226" s="1">
        <v>0</v>
      </c>
      <c r="T1226" s="1">
        <v>0</v>
      </c>
      <c r="U1226" s="1">
        <v>0</v>
      </c>
      <c r="V1226" s="1" t="s">
        <v>301</v>
      </c>
    </row>
    <row r="1227" spans="1:22">
      <c r="A1227" t="s">
        <v>55</v>
      </c>
      <c r="B1227" t="s">
        <v>57</v>
      </c>
      <c r="C1227" t="s">
        <v>65</v>
      </c>
      <c r="D1227" s="1">
        <v>0</v>
      </c>
      <c r="E1227" s="1">
        <v>0</v>
      </c>
      <c r="F1227" s="1">
        <v>0</v>
      </c>
      <c r="G1227" s="1">
        <v>0</v>
      </c>
      <c r="H1227" s="1">
        <v>0</v>
      </c>
      <c r="I1227" s="1">
        <v>0</v>
      </c>
      <c r="J1227" s="1">
        <v>0</v>
      </c>
      <c r="K1227" s="1">
        <v>0</v>
      </c>
      <c r="L1227" s="1">
        <v>0</v>
      </c>
      <c r="M1227" s="1">
        <v>0</v>
      </c>
      <c r="N1227" s="1">
        <v>0</v>
      </c>
      <c r="O1227" s="1">
        <v>0</v>
      </c>
      <c r="P1227" s="1">
        <v>0</v>
      </c>
      <c r="Q1227" s="1">
        <v>0</v>
      </c>
      <c r="R1227" s="1">
        <v>0</v>
      </c>
      <c r="S1227" s="1">
        <v>0</v>
      </c>
      <c r="T1227" s="1">
        <v>0</v>
      </c>
      <c r="U1227" s="1">
        <v>0</v>
      </c>
      <c r="V1227" s="1" t="s">
        <v>301</v>
      </c>
    </row>
    <row r="1229" spans="1:22">
      <c r="A1229">
        <f>setup!C27</f>
        <v>3834</v>
      </c>
    </row>
    <row r="1230" spans="1:22">
      <c r="A1230" t="str">
        <f>_xlfn.CONCAT(setup!D27," - ",setup!E27)</f>
        <v>OSEP – Other Health Impairment - Digital - OSEP_OHI_D</v>
      </c>
      <c r="D1230" s="1"/>
      <c r="E1230" s="1"/>
      <c r="F1230" s="1"/>
      <c r="G1230" s="1"/>
      <c r="H1230" s="1"/>
      <c r="I1230" s="1"/>
      <c r="J1230" s="1"/>
      <c r="K1230" s="1"/>
      <c r="L1230" s="1"/>
      <c r="M1230" s="1"/>
      <c r="N1230" s="1"/>
      <c r="O1230" s="1"/>
      <c r="P1230" s="1"/>
      <c r="Q1230" s="1"/>
      <c r="R1230" s="1"/>
      <c r="S1230" s="1"/>
      <c r="T1230" s="1"/>
      <c r="U1230" s="1"/>
    </row>
    <row r="1231" spans="1:22">
      <c r="A1231" t="s">
        <v>35</v>
      </c>
      <c r="B1231" t="s">
        <v>36</v>
      </c>
      <c r="C1231" t="s">
        <v>37</v>
      </c>
      <c r="D1231" s="1" t="s">
        <v>38</v>
      </c>
      <c r="E1231" s="1" t="s">
        <v>39</v>
      </c>
      <c r="F1231" s="1" t="s">
        <v>40</v>
      </c>
      <c r="G1231" s="1" t="s">
        <v>41</v>
      </c>
      <c r="H1231" s="1" t="s">
        <v>42</v>
      </c>
      <c r="I1231" s="1" t="s">
        <v>43</v>
      </c>
      <c r="J1231" s="1" t="s">
        <v>44</v>
      </c>
      <c r="K1231" s="1" t="s">
        <v>45</v>
      </c>
      <c r="L1231" s="1" t="s">
        <v>46</v>
      </c>
      <c r="M1231" s="1" t="s">
        <v>47</v>
      </c>
      <c r="N1231" s="1" t="s">
        <v>48</v>
      </c>
      <c r="O1231" s="1" t="s">
        <v>49</v>
      </c>
      <c r="P1231" s="1" t="s">
        <v>50</v>
      </c>
      <c r="Q1231" s="1" t="s">
        <v>51</v>
      </c>
      <c r="R1231" s="1" t="s">
        <v>52</v>
      </c>
      <c r="S1231" s="1" t="s">
        <v>53</v>
      </c>
      <c r="T1231" t="s">
        <v>54</v>
      </c>
      <c r="U1231" s="1" t="s">
        <v>55</v>
      </c>
      <c r="V1231" t="s">
        <v>56</v>
      </c>
    </row>
    <row r="1232" spans="1:22">
      <c r="A1232" t="s">
        <v>187</v>
      </c>
      <c r="B1232" t="s">
        <v>57</v>
      </c>
      <c r="C1232" t="s">
        <v>58</v>
      </c>
      <c r="D1232" s="1">
        <v>0</v>
      </c>
      <c r="E1232" s="1">
        <v>0</v>
      </c>
      <c r="F1232" s="1">
        <v>0</v>
      </c>
      <c r="G1232" s="1">
        <v>0</v>
      </c>
      <c r="H1232" s="1">
        <v>0</v>
      </c>
      <c r="I1232" s="1">
        <v>0</v>
      </c>
      <c r="J1232" s="1">
        <v>0</v>
      </c>
      <c r="K1232" s="1">
        <v>0</v>
      </c>
      <c r="L1232" s="1">
        <v>0</v>
      </c>
      <c r="M1232" s="1">
        <v>0</v>
      </c>
      <c r="N1232" s="1">
        <v>0</v>
      </c>
      <c r="O1232" s="1">
        <v>0</v>
      </c>
      <c r="P1232" s="1">
        <v>0</v>
      </c>
      <c r="Q1232" s="1">
        <v>0</v>
      </c>
      <c r="R1232" s="1">
        <v>0</v>
      </c>
      <c r="S1232" s="1">
        <v>0</v>
      </c>
      <c r="T1232" s="1">
        <v>0</v>
      </c>
      <c r="U1232" s="1">
        <v>1</v>
      </c>
      <c r="V1232" s="1" t="s">
        <v>301</v>
      </c>
    </row>
    <row r="1233" spans="1:22">
      <c r="A1233" t="s">
        <v>187</v>
      </c>
      <c r="B1233" t="s">
        <v>57</v>
      </c>
      <c r="C1233" t="s">
        <v>59</v>
      </c>
      <c r="D1233" s="1">
        <v>0</v>
      </c>
      <c r="E1233" s="1">
        <v>0</v>
      </c>
      <c r="F1233" s="1">
        <v>0</v>
      </c>
      <c r="G1233" s="1">
        <v>0</v>
      </c>
      <c r="H1233" s="1">
        <v>0</v>
      </c>
      <c r="I1233" s="1">
        <v>0</v>
      </c>
      <c r="J1233" s="1">
        <v>0</v>
      </c>
      <c r="K1233" s="1">
        <v>0</v>
      </c>
      <c r="L1233" s="1">
        <v>0</v>
      </c>
      <c r="M1233" s="1">
        <v>0</v>
      </c>
      <c r="N1233" s="1">
        <v>0</v>
      </c>
      <c r="O1233" s="1">
        <v>0</v>
      </c>
      <c r="P1233" s="1">
        <v>0</v>
      </c>
      <c r="Q1233" s="1">
        <v>0</v>
      </c>
      <c r="R1233" s="1">
        <v>0</v>
      </c>
      <c r="S1233" s="1">
        <v>0</v>
      </c>
      <c r="T1233" s="1">
        <v>0</v>
      </c>
      <c r="U1233" s="1">
        <v>0</v>
      </c>
      <c r="V1233" s="1" t="s">
        <v>301</v>
      </c>
    </row>
    <row r="1234" spans="1:22">
      <c r="A1234" t="s">
        <v>187</v>
      </c>
      <c r="B1234" t="s">
        <v>57</v>
      </c>
      <c r="C1234" t="s">
        <v>60</v>
      </c>
      <c r="D1234" s="1">
        <v>0</v>
      </c>
      <c r="E1234" s="1">
        <v>0</v>
      </c>
      <c r="F1234" s="1">
        <v>0</v>
      </c>
      <c r="G1234" s="1">
        <v>0</v>
      </c>
      <c r="H1234" s="1">
        <v>0</v>
      </c>
      <c r="I1234" s="1">
        <v>0</v>
      </c>
      <c r="J1234" s="1">
        <v>0</v>
      </c>
      <c r="K1234" s="1">
        <v>0</v>
      </c>
      <c r="L1234" s="1">
        <v>0</v>
      </c>
      <c r="M1234" s="1">
        <v>0</v>
      </c>
      <c r="N1234" s="1">
        <v>0</v>
      </c>
      <c r="O1234" s="1">
        <v>0</v>
      </c>
      <c r="P1234" s="1">
        <v>0</v>
      </c>
      <c r="Q1234" s="1">
        <v>0</v>
      </c>
      <c r="R1234" s="1">
        <v>0</v>
      </c>
      <c r="S1234" s="1">
        <v>0</v>
      </c>
      <c r="T1234" s="1">
        <v>0</v>
      </c>
      <c r="U1234" s="1">
        <v>0</v>
      </c>
      <c r="V1234" s="1" t="s">
        <v>301</v>
      </c>
    </row>
    <row r="1235" spans="1:22">
      <c r="A1235" t="s">
        <v>187</v>
      </c>
      <c r="B1235" t="s">
        <v>57</v>
      </c>
      <c r="C1235" t="s">
        <v>61</v>
      </c>
      <c r="D1235" s="1">
        <v>0</v>
      </c>
      <c r="E1235" s="1">
        <v>0</v>
      </c>
      <c r="F1235" s="1">
        <v>0</v>
      </c>
      <c r="G1235" s="1">
        <v>0</v>
      </c>
      <c r="H1235" s="1">
        <v>0</v>
      </c>
      <c r="I1235" s="1">
        <v>0</v>
      </c>
      <c r="J1235" s="1">
        <v>0</v>
      </c>
      <c r="K1235" s="1">
        <v>0</v>
      </c>
      <c r="L1235" s="1">
        <v>0</v>
      </c>
      <c r="M1235" s="1">
        <v>0</v>
      </c>
      <c r="N1235" s="1">
        <v>0</v>
      </c>
      <c r="O1235" s="1">
        <v>0</v>
      </c>
      <c r="P1235" s="1">
        <v>0</v>
      </c>
      <c r="Q1235" s="1">
        <v>0</v>
      </c>
      <c r="R1235" s="1">
        <v>0</v>
      </c>
      <c r="S1235" s="1">
        <v>0</v>
      </c>
      <c r="T1235" s="1">
        <v>0</v>
      </c>
      <c r="U1235" s="1">
        <v>0</v>
      </c>
      <c r="V1235" s="1" t="s">
        <v>301</v>
      </c>
    </row>
    <row r="1236" spans="1:22">
      <c r="A1236" t="s">
        <v>187</v>
      </c>
      <c r="B1236" t="s">
        <v>57</v>
      </c>
      <c r="C1236" t="s">
        <v>62</v>
      </c>
      <c r="D1236" s="1">
        <v>0</v>
      </c>
      <c r="E1236" s="1">
        <v>0</v>
      </c>
      <c r="F1236" s="1">
        <v>0</v>
      </c>
      <c r="G1236" s="1">
        <v>0</v>
      </c>
      <c r="H1236" s="1">
        <v>0</v>
      </c>
      <c r="I1236" s="1">
        <v>0</v>
      </c>
      <c r="J1236" s="1">
        <v>0</v>
      </c>
      <c r="K1236" s="1">
        <v>0</v>
      </c>
      <c r="L1236" s="1">
        <v>0</v>
      </c>
      <c r="M1236" s="1">
        <v>0</v>
      </c>
      <c r="N1236" s="1">
        <v>0</v>
      </c>
      <c r="O1236" s="1">
        <v>0</v>
      </c>
      <c r="P1236" s="1">
        <v>0</v>
      </c>
      <c r="Q1236" s="1">
        <v>0</v>
      </c>
      <c r="R1236" s="1">
        <v>0</v>
      </c>
      <c r="S1236" s="1">
        <v>0</v>
      </c>
      <c r="T1236" s="1">
        <v>0</v>
      </c>
      <c r="U1236" s="1">
        <v>0</v>
      </c>
      <c r="V1236" s="1" t="s">
        <v>301</v>
      </c>
    </row>
    <row r="1237" spans="1:22">
      <c r="A1237" t="s">
        <v>187</v>
      </c>
      <c r="B1237" t="s">
        <v>57</v>
      </c>
      <c r="C1237" t="s">
        <v>63</v>
      </c>
      <c r="D1237" s="1">
        <v>0</v>
      </c>
      <c r="E1237" s="1">
        <v>0</v>
      </c>
      <c r="F1237" s="1">
        <v>0</v>
      </c>
      <c r="G1237" s="1">
        <v>0</v>
      </c>
      <c r="H1237" s="1">
        <v>0</v>
      </c>
      <c r="I1237" s="1">
        <v>0</v>
      </c>
      <c r="J1237" s="1">
        <v>0</v>
      </c>
      <c r="K1237" s="1">
        <v>0</v>
      </c>
      <c r="L1237" s="1">
        <v>0</v>
      </c>
      <c r="M1237" s="1">
        <v>0</v>
      </c>
      <c r="N1237" s="1">
        <v>0</v>
      </c>
      <c r="O1237" s="1">
        <v>0</v>
      </c>
      <c r="P1237" s="1">
        <v>0</v>
      </c>
      <c r="Q1237" s="1">
        <v>0</v>
      </c>
      <c r="R1237" s="1">
        <v>0</v>
      </c>
      <c r="S1237" s="1">
        <v>0</v>
      </c>
      <c r="T1237" s="1">
        <v>0</v>
      </c>
      <c r="U1237" s="1">
        <v>0</v>
      </c>
      <c r="V1237" s="1" t="s">
        <v>301</v>
      </c>
    </row>
    <row r="1238" spans="1:22">
      <c r="A1238" t="s">
        <v>187</v>
      </c>
      <c r="B1238" t="s">
        <v>57</v>
      </c>
      <c r="C1238" t="s">
        <v>64</v>
      </c>
      <c r="D1238" s="1">
        <v>0</v>
      </c>
      <c r="E1238" s="1">
        <v>0</v>
      </c>
      <c r="F1238" s="1">
        <v>0</v>
      </c>
      <c r="G1238" s="1">
        <v>0</v>
      </c>
      <c r="H1238" s="1">
        <v>0</v>
      </c>
      <c r="I1238" s="1">
        <v>0</v>
      </c>
      <c r="J1238" s="1">
        <v>0</v>
      </c>
      <c r="K1238" s="1">
        <v>0</v>
      </c>
      <c r="L1238" s="1">
        <v>0</v>
      </c>
      <c r="M1238" s="1">
        <v>0</v>
      </c>
      <c r="N1238" s="1">
        <v>0</v>
      </c>
      <c r="O1238" s="1">
        <v>0</v>
      </c>
      <c r="P1238" s="1">
        <v>0</v>
      </c>
      <c r="Q1238" s="1">
        <v>0</v>
      </c>
      <c r="R1238" s="1">
        <v>0</v>
      </c>
      <c r="S1238" s="1">
        <v>0</v>
      </c>
      <c r="T1238" s="1">
        <v>0</v>
      </c>
      <c r="U1238" s="1">
        <v>0</v>
      </c>
      <c r="V1238" s="1" t="s">
        <v>301</v>
      </c>
    </row>
    <row r="1239" spans="1:22">
      <c r="A1239" t="s">
        <v>187</v>
      </c>
      <c r="B1239" t="s">
        <v>57</v>
      </c>
      <c r="C1239" t="s">
        <v>65</v>
      </c>
      <c r="D1239" s="1">
        <v>0</v>
      </c>
      <c r="E1239" s="1">
        <v>0</v>
      </c>
      <c r="F1239" s="1">
        <v>0</v>
      </c>
      <c r="G1239" s="1">
        <v>0</v>
      </c>
      <c r="H1239" s="1">
        <v>0</v>
      </c>
      <c r="I1239" s="1">
        <v>0</v>
      </c>
      <c r="J1239" s="1">
        <v>0</v>
      </c>
      <c r="K1239" s="1">
        <v>0</v>
      </c>
      <c r="L1239" s="1">
        <v>0</v>
      </c>
      <c r="M1239" s="1">
        <v>0</v>
      </c>
      <c r="N1239" s="1">
        <v>0</v>
      </c>
      <c r="O1239" s="1">
        <v>0</v>
      </c>
      <c r="P1239" s="1">
        <v>0</v>
      </c>
      <c r="Q1239" s="1">
        <v>0</v>
      </c>
      <c r="R1239" s="1">
        <v>0</v>
      </c>
      <c r="S1239" s="1">
        <v>0</v>
      </c>
      <c r="T1239" s="1">
        <v>0</v>
      </c>
      <c r="U1239" s="1">
        <v>0</v>
      </c>
      <c r="V1239" s="1" t="s">
        <v>301</v>
      </c>
    </row>
    <row r="1240" spans="1:22">
      <c r="A1240" t="s">
        <v>188</v>
      </c>
      <c r="B1240" t="s">
        <v>57</v>
      </c>
      <c r="C1240" t="s">
        <v>58</v>
      </c>
      <c r="D1240" s="1">
        <v>0</v>
      </c>
      <c r="E1240" s="1">
        <v>0</v>
      </c>
      <c r="F1240" s="1">
        <v>0</v>
      </c>
      <c r="G1240" s="1">
        <v>0</v>
      </c>
      <c r="H1240" s="1">
        <v>0</v>
      </c>
      <c r="I1240" s="1">
        <v>0</v>
      </c>
      <c r="J1240" s="1">
        <v>0</v>
      </c>
      <c r="K1240" s="1">
        <v>0</v>
      </c>
      <c r="L1240" s="1">
        <v>0</v>
      </c>
      <c r="M1240" s="1">
        <v>0</v>
      </c>
      <c r="N1240" s="1">
        <v>0</v>
      </c>
      <c r="O1240" s="1">
        <v>0</v>
      </c>
      <c r="P1240" s="1">
        <v>0</v>
      </c>
      <c r="Q1240" s="1">
        <v>0</v>
      </c>
      <c r="R1240" s="1">
        <v>0</v>
      </c>
      <c r="S1240" s="1">
        <v>0</v>
      </c>
      <c r="T1240" s="1">
        <v>0</v>
      </c>
      <c r="U1240" s="1">
        <v>2</v>
      </c>
      <c r="V1240" s="1" t="s">
        <v>301</v>
      </c>
    </row>
    <row r="1241" spans="1:22">
      <c r="A1241" t="s">
        <v>188</v>
      </c>
      <c r="B1241" t="s">
        <v>57</v>
      </c>
      <c r="C1241" t="s">
        <v>59</v>
      </c>
      <c r="D1241" s="1">
        <v>0</v>
      </c>
      <c r="E1241" s="1">
        <v>0</v>
      </c>
      <c r="F1241" s="1">
        <v>0</v>
      </c>
      <c r="G1241" s="1">
        <v>0</v>
      </c>
      <c r="H1241" s="1">
        <v>0</v>
      </c>
      <c r="I1241" s="1">
        <v>0</v>
      </c>
      <c r="J1241" s="1">
        <v>0</v>
      </c>
      <c r="K1241" s="1">
        <v>0</v>
      </c>
      <c r="L1241" s="1">
        <v>0</v>
      </c>
      <c r="M1241" s="1">
        <v>0</v>
      </c>
      <c r="N1241" s="1">
        <v>0</v>
      </c>
      <c r="O1241" s="1">
        <v>0</v>
      </c>
      <c r="P1241" s="1">
        <v>0</v>
      </c>
      <c r="Q1241" s="1">
        <v>0</v>
      </c>
      <c r="R1241" s="1">
        <v>0</v>
      </c>
      <c r="S1241" s="1">
        <v>0</v>
      </c>
      <c r="T1241" s="1">
        <v>0</v>
      </c>
      <c r="U1241" s="1">
        <v>0</v>
      </c>
      <c r="V1241" s="1" t="s">
        <v>301</v>
      </c>
    </row>
    <row r="1242" spans="1:22">
      <c r="A1242" t="s">
        <v>188</v>
      </c>
      <c r="B1242" t="s">
        <v>57</v>
      </c>
      <c r="C1242" t="s">
        <v>60</v>
      </c>
      <c r="D1242" s="1">
        <v>0</v>
      </c>
      <c r="E1242" s="1">
        <v>0</v>
      </c>
      <c r="F1242" s="1">
        <v>0</v>
      </c>
      <c r="G1242" s="1">
        <v>0</v>
      </c>
      <c r="H1242" s="1">
        <v>0</v>
      </c>
      <c r="I1242" s="1">
        <v>0</v>
      </c>
      <c r="J1242" s="1">
        <v>0</v>
      </c>
      <c r="K1242" s="1">
        <v>0</v>
      </c>
      <c r="L1242" s="1">
        <v>0</v>
      </c>
      <c r="M1242" s="1">
        <v>0</v>
      </c>
      <c r="N1242" s="1">
        <v>0</v>
      </c>
      <c r="O1242" s="1">
        <v>0</v>
      </c>
      <c r="P1242" s="1">
        <v>0</v>
      </c>
      <c r="Q1242" s="1">
        <v>0</v>
      </c>
      <c r="R1242" s="1">
        <v>0</v>
      </c>
      <c r="S1242" s="1">
        <v>0</v>
      </c>
      <c r="T1242" s="1">
        <v>0</v>
      </c>
      <c r="U1242" s="1">
        <v>0</v>
      </c>
      <c r="V1242" s="1" t="s">
        <v>301</v>
      </c>
    </row>
    <row r="1243" spans="1:22">
      <c r="A1243" t="s">
        <v>188</v>
      </c>
      <c r="B1243" t="s">
        <v>57</v>
      </c>
      <c r="C1243" t="s">
        <v>61</v>
      </c>
      <c r="D1243" s="1">
        <v>0</v>
      </c>
      <c r="E1243" s="1">
        <v>0</v>
      </c>
      <c r="F1243" s="1">
        <v>0</v>
      </c>
      <c r="G1243" s="1">
        <v>0</v>
      </c>
      <c r="H1243" s="1">
        <v>0</v>
      </c>
      <c r="I1243" s="1">
        <v>0</v>
      </c>
      <c r="J1243" s="1">
        <v>0</v>
      </c>
      <c r="K1243" s="1">
        <v>0</v>
      </c>
      <c r="L1243" s="1">
        <v>0</v>
      </c>
      <c r="M1243" s="1">
        <v>0</v>
      </c>
      <c r="N1243" s="1">
        <v>0</v>
      </c>
      <c r="O1243" s="1">
        <v>0</v>
      </c>
      <c r="P1243" s="1">
        <v>0</v>
      </c>
      <c r="Q1243" s="1">
        <v>0</v>
      </c>
      <c r="R1243" s="1">
        <v>0</v>
      </c>
      <c r="S1243" s="1">
        <v>0</v>
      </c>
      <c r="T1243" s="1">
        <v>0</v>
      </c>
      <c r="U1243" s="1">
        <v>0</v>
      </c>
      <c r="V1243" s="1" t="s">
        <v>301</v>
      </c>
    </row>
    <row r="1244" spans="1:22">
      <c r="A1244" t="s">
        <v>188</v>
      </c>
      <c r="B1244" t="s">
        <v>57</v>
      </c>
      <c r="C1244" t="s">
        <v>62</v>
      </c>
      <c r="D1244" s="1">
        <v>0</v>
      </c>
      <c r="E1244" s="1">
        <v>0</v>
      </c>
      <c r="F1244" s="1">
        <v>0</v>
      </c>
      <c r="G1244" s="1">
        <v>0</v>
      </c>
      <c r="H1244" s="1">
        <v>0</v>
      </c>
      <c r="I1244" s="1">
        <v>0</v>
      </c>
      <c r="J1244" s="1">
        <v>0</v>
      </c>
      <c r="K1244" s="1">
        <v>0</v>
      </c>
      <c r="L1244" s="1">
        <v>0</v>
      </c>
      <c r="M1244" s="1">
        <v>0</v>
      </c>
      <c r="N1244" s="1">
        <v>0</v>
      </c>
      <c r="O1244" s="1">
        <v>0</v>
      </c>
      <c r="P1244" s="1">
        <v>0</v>
      </c>
      <c r="Q1244" s="1">
        <v>0</v>
      </c>
      <c r="R1244" s="1">
        <v>0</v>
      </c>
      <c r="S1244" s="1">
        <v>0</v>
      </c>
      <c r="T1244" s="1">
        <v>0</v>
      </c>
      <c r="U1244" s="1">
        <v>0</v>
      </c>
      <c r="V1244" s="1" t="s">
        <v>301</v>
      </c>
    </row>
    <row r="1245" spans="1:22">
      <c r="A1245" t="s">
        <v>188</v>
      </c>
      <c r="B1245" t="s">
        <v>57</v>
      </c>
      <c r="C1245" t="s">
        <v>63</v>
      </c>
      <c r="D1245" s="1">
        <v>0</v>
      </c>
      <c r="E1245" s="1">
        <v>0</v>
      </c>
      <c r="F1245" s="1">
        <v>0</v>
      </c>
      <c r="G1245" s="1">
        <v>0</v>
      </c>
      <c r="H1245" s="1">
        <v>0</v>
      </c>
      <c r="I1245" s="1">
        <v>0</v>
      </c>
      <c r="J1245" s="1">
        <v>0</v>
      </c>
      <c r="K1245" s="1">
        <v>0</v>
      </c>
      <c r="L1245" s="1">
        <v>0</v>
      </c>
      <c r="M1245" s="1">
        <v>0</v>
      </c>
      <c r="N1245" s="1">
        <v>0</v>
      </c>
      <c r="O1245" s="1">
        <v>0</v>
      </c>
      <c r="P1245" s="1">
        <v>0</v>
      </c>
      <c r="Q1245" s="1">
        <v>0</v>
      </c>
      <c r="R1245" s="1">
        <v>0</v>
      </c>
      <c r="S1245" s="1">
        <v>0</v>
      </c>
      <c r="T1245" s="1">
        <v>0</v>
      </c>
      <c r="U1245" s="1">
        <v>0</v>
      </c>
      <c r="V1245" s="1" t="s">
        <v>301</v>
      </c>
    </row>
    <row r="1246" spans="1:22">
      <c r="A1246" t="s">
        <v>188</v>
      </c>
      <c r="B1246" t="s">
        <v>57</v>
      </c>
      <c r="C1246" t="s">
        <v>64</v>
      </c>
      <c r="D1246" s="1">
        <v>0</v>
      </c>
      <c r="E1246" s="1">
        <v>0</v>
      </c>
      <c r="F1246" s="1">
        <v>0</v>
      </c>
      <c r="G1246" s="1">
        <v>0</v>
      </c>
      <c r="H1246" s="1">
        <v>0</v>
      </c>
      <c r="I1246" s="1">
        <v>0</v>
      </c>
      <c r="J1246" s="1">
        <v>0</v>
      </c>
      <c r="K1246" s="1">
        <v>0</v>
      </c>
      <c r="L1246" s="1">
        <v>0</v>
      </c>
      <c r="M1246" s="1">
        <v>0</v>
      </c>
      <c r="N1246" s="1">
        <v>0</v>
      </c>
      <c r="O1246" s="1">
        <v>0</v>
      </c>
      <c r="P1246" s="1">
        <v>0</v>
      </c>
      <c r="Q1246" s="1">
        <v>0</v>
      </c>
      <c r="R1246" s="1">
        <v>0</v>
      </c>
      <c r="S1246" s="1">
        <v>0</v>
      </c>
      <c r="T1246" s="1">
        <v>0</v>
      </c>
      <c r="U1246" s="1">
        <v>0</v>
      </c>
      <c r="V1246" s="1" t="s">
        <v>301</v>
      </c>
    </row>
    <row r="1247" spans="1:22">
      <c r="A1247" t="s">
        <v>188</v>
      </c>
      <c r="B1247" t="s">
        <v>57</v>
      </c>
      <c r="C1247" t="s">
        <v>65</v>
      </c>
      <c r="D1247" s="1">
        <v>0</v>
      </c>
      <c r="E1247" s="1">
        <v>0</v>
      </c>
      <c r="F1247" s="1">
        <v>0</v>
      </c>
      <c r="G1247" s="1">
        <v>0</v>
      </c>
      <c r="H1247" s="1">
        <v>0</v>
      </c>
      <c r="I1247" s="1">
        <v>0</v>
      </c>
      <c r="J1247" s="1">
        <v>0</v>
      </c>
      <c r="K1247" s="1">
        <v>0</v>
      </c>
      <c r="L1247" s="1">
        <v>0</v>
      </c>
      <c r="M1247" s="1">
        <v>0</v>
      </c>
      <c r="N1247" s="1">
        <v>0</v>
      </c>
      <c r="O1247" s="1">
        <v>0</v>
      </c>
      <c r="P1247" s="1">
        <v>0</v>
      </c>
      <c r="Q1247" s="1">
        <v>0</v>
      </c>
      <c r="R1247" s="1">
        <v>0</v>
      </c>
      <c r="S1247" s="1">
        <v>0</v>
      </c>
      <c r="T1247" s="1">
        <v>0</v>
      </c>
      <c r="U1247" s="1">
        <v>0</v>
      </c>
      <c r="V1247" s="1" t="s">
        <v>301</v>
      </c>
    </row>
    <row r="1248" spans="1:22">
      <c r="A1248" t="s">
        <v>66</v>
      </c>
      <c r="B1248" t="s">
        <v>57</v>
      </c>
      <c r="C1248" t="s">
        <v>58</v>
      </c>
      <c r="D1248" s="1">
        <v>0</v>
      </c>
      <c r="E1248" s="1">
        <v>0</v>
      </c>
      <c r="F1248" s="1">
        <v>0</v>
      </c>
      <c r="G1248" s="1">
        <v>0</v>
      </c>
      <c r="H1248" s="1">
        <v>0</v>
      </c>
      <c r="I1248" s="1">
        <v>0</v>
      </c>
      <c r="J1248" s="1">
        <v>0</v>
      </c>
      <c r="K1248" s="1">
        <v>0</v>
      </c>
      <c r="L1248" s="1">
        <v>0</v>
      </c>
      <c r="M1248" s="1">
        <v>0</v>
      </c>
      <c r="N1248" s="1">
        <v>0</v>
      </c>
      <c r="O1248" s="1">
        <v>0</v>
      </c>
      <c r="P1248" s="1">
        <v>0</v>
      </c>
      <c r="Q1248" s="1">
        <v>0</v>
      </c>
      <c r="R1248" s="1">
        <v>0</v>
      </c>
      <c r="S1248" s="1">
        <v>0</v>
      </c>
      <c r="T1248" s="1">
        <v>0</v>
      </c>
      <c r="U1248" s="1">
        <v>1</v>
      </c>
      <c r="V1248" s="1" t="s">
        <v>301</v>
      </c>
    </row>
    <row r="1249" spans="1:22">
      <c r="A1249" t="s">
        <v>66</v>
      </c>
      <c r="B1249" t="s">
        <v>57</v>
      </c>
      <c r="C1249" t="s">
        <v>59</v>
      </c>
      <c r="D1249" s="1">
        <v>0</v>
      </c>
      <c r="E1249" s="1">
        <v>0</v>
      </c>
      <c r="F1249" s="1">
        <v>0</v>
      </c>
      <c r="G1249" s="1">
        <v>0</v>
      </c>
      <c r="H1249" s="1">
        <v>0</v>
      </c>
      <c r="I1249" s="1">
        <v>0</v>
      </c>
      <c r="J1249" s="1">
        <v>0</v>
      </c>
      <c r="K1249" s="1">
        <v>0</v>
      </c>
      <c r="L1249" s="1">
        <v>0</v>
      </c>
      <c r="M1249" s="1">
        <v>0</v>
      </c>
      <c r="N1249" s="1">
        <v>0</v>
      </c>
      <c r="O1249" s="1">
        <v>0</v>
      </c>
      <c r="P1249" s="1">
        <v>0</v>
      </c>
      <c r="Q1249" s="1">
        <v>0</v>
      </c>
      <c r="R1249" s="1">
        <v>0</v>
      </c>
      <c r="S1249" s="1">
        <v>0</v>
      </c>
      <c r="T1249" s="1">
        <v>0</v>
      </c>
      <c r="U1249" s="1">
        <v>0</v>
      </c>
      <c r="V1249" s="1" t="s">
        <v>301</v>
      </c>
    </row>
    <row r="1250" spans="1:22">
      <c r="A1250" t="s">
        <v>66</v>
      </c>
      <c r="B1250" t="s">
        <v>57</v>
      </c>
      <c r="C1250" t="s">
        <v>60</v>
      </c>
      <c r="D1250" s="1">
        <v>0</v>
      </c>
      <c r="E1250" s="1">
        <v>0</v>
      </c>
      <c r="F1250" s="1">
        <v>0</v>
      </c>
      <c r="G1250" s="1">
        <v>0</v>
      </c>
      <c r="H1250" s="1">
        <v>0</v>
      </c>
      <c r="I1250" s="1">
        <v>0</v>
      </c>
      <c r="J1250" s="1">
        <v>0</v>
      </c>
      <c r="K1250" s="1">
        <v>0</v>
      </c>
      <c r="L1250" s="1">
        <v>0</v>
      </c>
      <c r="M1250" s="1">
        <v>0</v>
      </c>
      <c r="N1250" s="1">
        <v>0</v>
      </c>
      <c r="O1250" s="1">
        <v>0</v>
      </c>
      <c r="P1250" s="1">
        <v>0</v>
      </c>
      <c r="Q1250" s="1">
        <v>0</v>
      </c>
      <c r="R1250" s="1">
        <v>0</v>
      </c>
      <c r="S1250" s="1">
        <v>0</v>
      </c>
      <c r="T1250" s="1">
        <v>0</v>
      </c>
      <c r="U1250" s="1">
        <v>0</v>
      </c>
      <c r="V1250" s="1" t="s">
        <v>301</v>
      </c>
    </row>
    <row r="1251" spans="1:22">
      <c r="A1251" t="s">
        <v>66</v>
      </c>
      <c r="B1251" t="s">
        <v>57</v>
      </c>
      <c r="C1251" t="s">
        <v>61</v>
      </c>
      <c r="D1251" s="1">
        <v>0</v>
      </c>
      <c r="E1251" s="1">
        <v>0</v>
      </c>
      <c r="F1251" s="1">
        <v>0</v>
      </c>
      <c r="G1251" s="1">
        <v>0</v>
      </c>
      <c r="H1251" s="1">
        <v>0</v>
      </c>
      <c r="I1251" s="1">
        <v>0</v>
      </c>
      <c r="J1251" s="1">
        <v>0</v>
      </c>
      <c r="K1251" s="1">
        <v>0</v>
      </c>
      <c r="L1251" s="1">
        <v>0</v>
      </c>
      <c r="M1251" s="1">
        <v>0</v>
      </c>
      <c r="N1251" s="1">
        <v>0</v>
      </c>
      <c r="O1251" s="1">
        <v>0</v>
      </c>
      <c r="P1251" s="1">
        <v>0</v>
      </c>
      <c r="Q1251" s="1">
        <v>0</v>
      </c>
      <c r="R1251" s="1">
        <v>0</v>
      </c>
      <c r="S1251" s="1">
        <v>0</v>
      </c>
      <c r="T1251" s="1">
        <v>0</v>
      </c>
      <c r="U1251" s="1">
        <v>0</v>
      </c>
      <c r="V1251" s="1" t="s">
        <v>301</v>
      </c>
    </row>
    <row r="1252" spans="1:22">
      <c r="A1252" t="s">
        <v>66</v>
      </c>
      <c r="B1252" t="s">
        <v>57</v>
      </c>
      <c r="C1252" t="s">
        <v>62</v>
      </c>
      <c r="D1252" s="1">
        <v>0</v>
      </c>
      <c r="E1252" s="1">
        <v>0</v>
      </c>
      <c r="F1252" s="1">
        <v>0</v>
      </c>
      <c r="G1252" s="1">
        <v>0</v>
      </c>
      <c r="H1252" s="1">
        <v>0</v>
      </c>
      <c r="I1252" s="1">
        <v>0</v>
      </c>
      <c r="J1252" s="1">
        <v>0</v>
      </c>
      <c r="K1252" s="1">
        <v>0</v>
      </c>
      <c r="L1252" s="1">
        <v>0</v>
      </c>
      <c r="M1252" s="1">
        <v>0</v>
      </c>
      <c r="N1252" s="1">
        <v>0</v>
      </c>
      <c r="O1252" s="1">
        <v>0</v>
      </c>
      <c r="P1252" s="1">
        <v>0</v>
      </c>
      <c r="Q1252" s="1">
        <v>0</v>
      </c>
      <c r="R1252" s="1">
        <v>0</v>
      </c>
      <c r="S1252" s="1">
        <v>0</v>
      </c>
      <c r="T1252" s="1">
        <v>0</v>
      </c>
      <c r="U1252" s="1">
        <v>0</v>
      </c>
      <c r="V1252" s="1" t="s">
        <v>301</v>
      </c>
    </row>
    <row r="1253" spans="1:22">
      <c r="A1253" t="s">
        <v>66</v>
      </c>
      <c r="B1253" t="s">
        <v>57</v>
      </c>
      <c r="C1253" t="s">
        <v>63</v>
      </c>
      <c r="D1253" s="1">
        <v>0</v>
      </c>
      <c r="E1253" s="1">
        <v>0</v>
      </c>
      <c r="F1253" s="1">
        <v>0</v>
      </c>
      <c r="G1253" s="1">
        <v>0</v>
      </c>
      <c r="H1253" s="1">
        <v>0</v>
      </c>
      <c r="I1253" s="1">
        <v>0</v>
      </c>
      <c r="J1253" s="1">
        <v>0</v>
      </c>
      <c r="K1253" s="1">
        <v>0</v>
      </c>
      <c r="L1253" s="1">
        <v>0</v>
      </c>
      <c r="M1253" s="1">
        <v>0</v>
      </c>
      <c r="N1253" s="1">
        <v>0</v>
      </c>
      <c r="O1253" s="1">
        <v>0</v>
      </c>
      <c r="P1253" s="1">
        <v>0</v>
      </c>
      <c r="Q1253" s="1">
        <v>0</v>
      </c>
      <c r="R1253" s="1">
        <v>0</v>
      </c>
      <c r="S1253" s="1">
        <v>0</v>
      </c>
      <c r="T1253" s="1">
        <v>0</v>
      </c>
      <c r="U1253" s="1">
        <v>0</v>
      </c>
      <c r="V1253" s="1" t="s">
        <v>301</v>
      </c>
    </row>
    <row r="1254" spans="1:22">
      <c r="A1254" t="s">
        <v>66</v>
      </c>
      <c r="B1254" t="s">
        <v>57</v>
      </c>
      <c r="C1254" t="s">
        <v>64</v>
      </c>
      <c r="D1254" s="1">
        <v>0</v>
      </c>
      <c r="E1254" s="1">
        <v>0</v>
      </c>
      <c r="F1254" s="1">
        <v>0</v>
      </c>
      <c r="G1254" s="1">
        <v>0</v>
      </c>
      <c r="H1254" s="1">
        <v>0</v>
      </c>
      <c r="I1254" s="1">
        <v>0</v>
      </c>
      <c r="J1254" s="1">
        <v>0</v>
      </c>
      <c r="K1254" s="1">
        <v>0</v>
      </c>
      <c r="L1254" s="1">
        <v>0</v>
      </c>
      <c r="M1254" s="1">
        <v>0</v>
      </c>
      <c r="N1254" s="1">
        <v>0</v>
      </c>
      <c r="O1254" s="1">
        <v>0</v>
      </c>
      <c r="P1254" s="1">
        <v>0</v>
      </c>
      <c r="Q1254" s="1">
        <v>0</v>
      </c>
      <c r="R1254" s="1">
        <v>0</v>
      </c>
      <c r="S1254" s="1">
        <v>0</v>
      </c>
      <c r="T1254" s="1">
        <v>0</v>
      </c>
      <c r="U1254" s="1">
        <v>0</v>
      </c>
      <c r="V1254" s="1" t="s">
        <v>301</v>
      </c>
    </row>
    <row r="1255" spans="1:22">
      <c r="A1255" t="s">
        <v>66</v>
      </c>
      <c r="B1255" t="s">
        <v>57</v>
      </c>
      <c r="C1255" t="s">
        <v>65</v>
      </c>
      <c r="D1255" s="1">
        <v>0</v>
      </c>
      <c r="E1255" s="1">
        <v>0</v>
      </c>
      <c r="F1255" s="1">
        <v>0</v>
      </c>
      <c r="G1255" s="1">
        <v>0</v>
      </c>
      <c r="H1255" s="1">
        <v>0</v>
      </c>
      <c r="I1255" s="1">
        <v>0</v>
      </c>
      <c r="J1255" s="1">
        <v>0</v>
      </c>
      <c r="K1255" s="1">
        <v>0</v>
      </c>
      <c r="L1255" s="1">
        <v>0</v>
      </c>
      <c r="M1255" s="1">
        <v>0</v>
      </c>
      <c r="N1255" s="1">
        <v>0</v>
      </c>
      <c r="O1255" s="1">
        <v>0</v>
      </c>
      <c r="P1255" s="1">
        <v>0</v>
      </c>
      <c r="Q1255" s="1">
        <v>0</v>
      </c>
      <c r="R1255" s="1">
        <v>0</v>
      </c>
      <c r="S1255" s="1">
        <v>0</v>
      </c>
      <c r="T1255" s="1">
        <v>0</v>
      </c>
      <c r="U1255" s="1">
        <v>0</v>
      </c>
      <c r="V1255" s="1" t="s">
        <v>301</v>
      </c>
    </row>
    <row r="1256" spans="1:22">
      <c r="A1256" t="s">
        <v>189</v>
      </c>
      <c r="B1256" t="s">
        <v>57</v>
      </c>
      <c r="C1256" t="s">
        <v>58</v>
      </c>
      <c r="D1256" s="1">
        <v>0</v>
      </c>
      <c r="E1256" s="1">
        <v>0</v>
      </c>
      <c r="F1256" s="1">
        <v>0</v>
      </c>
      <c r="G1256" s="1">
        <v>0</v>
      </c>
      <c r="H1256" s="1">
        <v>0</v>
      </c>
      <c r="I1256" s="1">
        <v>0</v>
      </c>
      <c r="J1256" s="1">
        <v>0</v>
      </c>
      <c r="K1256" s="1">
        <v>0</v>
      </c>
      <c r="L1256" s="1">
        <v>0</v>
      </c>
      <c r="M1256" s="1">
        <v>0</v>
      </c>
      <c r="N1256" s="1">
        <v>0</v>
      </c>
      <c r="O1256" s="1">
        <v>0</v>
      </c>
      <c r="P1256" s="1">
        <v>0</v>
      </c>
      <c r="Q1256" s="1">
        <v>0</v>
      </c>
      <c r="R1256" s="1">
        <v>0</v>
      </c>
      <c r="S1256" s="1">
        <v>0</v>
      </c>
      <c r="T1256" s="1">
        <v>0</v>
      </c>
      <c r="U1256" s="1">
        <v>2</v>
      </c>
      <c r="V1256" s="1" t="s">
        <v>301</v>
      </c>
    </row>
    <row r="1257" spans="1:22">
      <c r="A1257" t="s">
        <v>189</v>
      </c>
      <c r="B1257" t="s">
        <v>57</v>
      </c>
      <c r="C1257" t="s">
        <v>59</v>
      </c>
      <c r="D1257" s="1">
        <v>0</v>
      </c>
      <c r="E1257" s="1">
        <v>0</v>
      </c>
      <c r="F1257" s="1">
        <v>0</v>
      </c>
      <c r="G1257" s="1">
        <v>0</v>
      </c>
      <c r="H1257" s="1">
        <v>0</v>
      </c>
      <c r="I1257" s="1">
        <v>0</v>
      </c>
      <c r="J1257" s="1">
        <v>0</v>
      </c>
      <c r="K1257" s="1">
        <v>0</v>
      </c>
      <c r="L1257" s="1">
        <v>0</v>
      </c>
      <c r="M1257" s="1">
        <v>0</v>
      </c>
      <c r="N1257" s="1">
        <v>0</v>
      </c>
      <c r="O1257" s="1">
        <v>0</v>
      </c>
      <c r="P1257" s="1">
        <v>0</v>
      </c>
      <c r="Q1257" s="1">
        <v>0</v>
      </c>
      <c r="R1257" s="1">
        <v>0</v>
      </c>
      <c r="S1257" s="1">
        <v>0</v>
      </c>
      <c r="T1257" s="1">
        <v>0</v>
      </c>
      <c r="U1257" s="1">
        <v>0</v>
      </c>
      <c r="V1257" s="1" t="s">
        <v>301</v>
      </c>
    </row>
    <row r="1258" spans="1:22">
      <c r="A1258" t="s">
        <v>189</v>
      </c>
      <c r="B1258" t="s">
        <v>57</v>
      </c>
      <c r="C1258" t="s">
        <v>60</v>
      </c>
      <c r="D1258" s="1">
        <v>0</v>
      </c>
      <c r="E1258" s="1">
        <v>0</v>
      </c>
      <c r="F1258" s="1">
        <v>0</v>
      </c>
      <c r="G1258" s="1">
        <v>0</v>
      </c>
      <c r="H1258" s="1">
        <v>0</v>
      </c>
      <c r="I1258" s="1">
        <v>0</v>
      </c>
      <c r="J1258" s="1">
        <v>0</v>
      </c>
      <c r="K1258" s="1">
        <v>0</v>
      </c>
      <c r="L1258" s="1">
        <v>0</v>
      </c>
      <c r="M1258" s="1">
        <v>0</v>
      </c>
      <c r="N1258" s="1">
        <v>0</v>
      </c>
      <c r="O1258" s="1">
        <v>0</v>
      </c>
      <c r="P1258" s="1">
        <v>0</v>
      </c>
      <c r="Q1258" s="1">
        <v>0</v>
      </c>
      <c r="R1258" s="1">
        <v>0</v>
      </c>
      <c r="S1258" s="1">
        <v>0</v>
      </c>
      <c r="T1258" s="1">
        <v>0</v>
      </c>
      <c r="U1258" s="1">
        <v>0</v>
      </c>
      <c r="V1258" s="1" t="s">
        <v>301</v>
      </c>
    </row>
    <row r="1259" spans="1:22">
      <c r="A1259" t="s">
        <v>189</v>
      </c>
      <c r="B1259" t="s">
        <v>57</v>
      </c>
      <c r="C1259" t="s">
        <v>61</v>
      </c>
      <c r="D1259" s="1">
        <v>0</v>
      </c>
      <c r="E1259" s="1">
        <v>0</v>
      </c>
      <c r="F1259" s="1">
        <v>0</v>
      </c>
      <c r="G1259" s="1">
        <v>0</v>
      </c>
      <c r="H1259" s="1">
        <v>0</v>
      </c>
      <c r="I1259" s="1">
        <v>0</v>
      </c>
      <c r="J1259" s="1">
        <v>0</v>
      </c>
      <c r="K1259" s="1">
        <v>0</v>
      </c>
      <c r="L1259" s="1">
        <v>0</v>
      </c>
      <c r="M1259" s="1">
        <v>0</v>
      </c>
      <c r="N1259" s="1">
        <v>0</v>
      </c>
      <c r="O1259" s="1">
        <v>0</v>
      </c>
      <c r="P1259" s="1">
        <v>0</v>
      </c>
      <c r="Q1259" s="1">
        <v>0</v>
      </c>
      <c r="R1259" s="1">
        <v>0</v>
      </c>
      <c r="S1259" s="1">
        <v>0</v>
      </c>
      <c r="T1259" s="1">
        <v>0</v>
      </c>
      <c r="U1259" s="1">
        <v>0</v>
      </c>
      <c r="V1259" s="1" t="s">
        <v>301</v>
      </c>
    </row>
    <row r="1260" spans="1:22">
      <c r="A1260" t="s">
        <v>189</v>
      </c>
      <c r="B1260" t="s">
        <v>57</v>
      </c>
      <c r="C1260" t="s">
        <v>62</v>
      </c>
      <c r="D1260" s="1">
        <v>0</v>
      </c>
      <c r="E1260" s="1">
        <v>0</v>
      </c>
      <c r="F1260" s="1">
        <v>0</v>
      </c>
      <c r="G1260" s="1">
        <v>0</v>
      </c>
      <c r="H1260" s="1">
        <v>0</v>
      </c>
      <c r="I1260" s="1">
        <v>0</v>
      </c>
      <c r="J1260" s="1">
        <v>0</v>
      </c>
      <c r="K1260" s="1">
        <v>0</v>
      </c>
      <c r="L1260" s="1">
        <v>0</v>
      </c>
      <c r="M1260" s="1">
        <v>0</v>
      </c>
      <c r="N1260" s="1">
        <v>0</v>
      </c>
      <c r="O1260" s="1">
        <v>0</v>
      </c>
      <c r="P1260" s="1">
        <v>0</v>
      </c>
      <c r="Q1260" s="1">
        <v>0</v>
      </c>
      <c r="R1260" s="1">
        <v>0</v>
      </c>
      <c r="S1260" s="1">
        <v>0</v>
      </c>
      <c r="T1260" s="1">
        <v>0</v>
      </c>
      <c r="U1260" s="1">
        <v>0</v>
      </c>
      <c r="V1260" s="1" t="s">
        <v>301</v>
      </c>
    </row>
    <row r="1261" spans="1:22">
      <c r="A1261" t="s">
        <v>189</v>
      </c>
      <c r="B1261" t="s">
        <v>57</v>
      </c>
      <c r="C1261" t="s">
        <v>63</v>
      </c>
      <c r="D1261" s="1">
        <v>0</v>
      </c>
      <c r="E1261" s="1">
        <v>0</v>
      </c>
      <c r="F1261" s="1">
        <v>0</v>
      </c>
      <c r="G1261" s="1">
        <v>0</v>
      </c>
      <c r="H1261" s="1">
        <v>0</v>
      </c>
      <c r="I1261" s="1">
        <v>0</v>
      </c>
      <c r="J1261" s="1">
        <v>0</v>
      </c>
      <c r="K1261" s="1">
        <v>0</v>
      </c>
      <c r="L1261" s="1">
        <v>0</v>
      </c>
      <c r="M1261" s="1">
        <v>0</v>
      </c>
      <c r="N1261" s="1">
        <v>0</v>
      </c>
      <c r="O1261" s="1">
        <v>0</v>
      </c>
      <c r="P1261" s="1">
        <v>0</v>
      </c>
      <c r="Q1261" s="1">
        <v>0</v>
      </c>
      <c r="R1261" s="1">
        <v>0</v>
      </c>
      <c r="S1261" s="1">
        <v>0</v>
      </c>
      <c r="T1261" s="1">
        <v>0</v>
      </c>
      <c r="U1261" s="1">
        <v>0</v>
      </c>
      <c r="V1261" s="1" t="s">
        <v>301</v>
      </c>
    </row>
    <row r="1262" spans="1:22">
      <c r="A1262" t="s">
        <v>189</v>
      </c>
      <c r="B1262" t="s">
        <v>57</v>
      </c>
      <c r="C1262" t="s">
        <v>64</v>
      </c>
      <c r="D1262" s="1">
        <v>0</v>
      </c>
      <c r="E1262" s="1">
        <v>0</v>
      </c>
      <c r="F1262" s="1">
        <v>0</v>
      </c>
      <c r="G1262" s="1">
        <v>0</v>
      </c>
      <c r="H1262" s="1">
        <v>0</v>
      </c>
      <c r="I1262" s="1">
        <v>0</v>
      </c>
      <c r="J1262" s="1">
        <v>0</v>
      </c>
      <c r="K1262" s="1">
        <v>0</v>
      </c>
      <c r="L1262" s="1">
        <v>0</v>
      </c>
      <c r="M1262" s="1">
        <v>0</v>
      </c>
      <c r="N1262" s="1">
        <v>0</v>
      </c>
      <c r="O1262" s="1">
        <v>0</v>
      </c>
      <c r="P1262" s="1">
        <v>0</v>
      </c>
      <c r="Q1262" s="1">
        <v>0</v>
      </c>
      <c r="R1262" s="1">
        <v>0</v>
      </c>
      <c r="S1262" s="1">
        <v>0</v>
      </c>
      <c r="T1262" s="1">
        <v>0</v>
      </c>
      <c r="U1262" s="1">
        <v>0</v>
      </c>
      <c r="V1262" s="1" t="s">
        <v>301</v>
      </c>
    </row>
    <row r="1263" spans="1:22">
      <c r="A1263" t="s">
        <v>189</v>
      </c>
      <c r="B1263" t="s">
        <v>57</v>
      </c>
      <c r="C1263" t="s">
        <v>65</v>
      </c>
      <c r="D1263" s="1">
        <v>0</v>
      </c>
      <c r="E1263" s="1">
        <v>0</v>
      </c>
      <c r="F1263" s="1">
        <v>0</v>
      </c>
      <c r="G1263" s="1">
        <v>0</v>
      </c>
      <c r="H1263" s="1">
        <v>0</v>
      </c>
      <c r="I1263" s="1">
        <v>0</v>
      </c>
      <c r="J1263" s="1">
        <v>0</v>
      </c>
      <c r="K1263" s="1">
        <v>0</v>
      </c>
      <c r="L1263" s="1">
        <v>0</v>
      </c>
      <c r="M1263" s="1">
        <v>0</v>
      </c>
      <c r="N1263" s="1">
        <v>0</v>
      </c>
      <c r="O1263" s="1">
        <v>0</v>
      </c>
      <c r="P1263" s="1">
        <v>0</v>
      </c>
      <c r="Q1263" s="1">
        <v>0</v>
      </c>
      <c r="R1263" s="1">
        <v>0</v>
      </c>
      <c r="S1263" s="1">
        <v>0</v>
      </c>
      <c r="T1263" s="1">
        <v>0</v>
      </c>
      <c r="U1263" s="1">
        <v>0</v>
      </c>
      <c r="V1263" s="1" t="s">
        <v>301</v>
      </c>
    </row>
    <row r="1264" spans="1:22">
      <c r="A1264" t="s">
        <v>190</v>
      </c>
      <c r="B1264" t="s">
        <v>57</v>
      </c>
      <c r="C1264" t="s">
        <v>58</v>
      </c>
      <c r="D1264" s="1">
        <v>0</v>
      </c>
      <c r="E1264" s="1">
        <v>0</v>
      </c>
      <c r="F1264" s="1">
        <v>0</v>
      </c>
      <c r="G1264" s="1">
        <v>0</v>
      </c>
      <c r="H1264" s="1">
        <v>0</v>
      </c>
      <c r="I1264" s="1">
        <v>0</v>
      </c>
      <c r="J1264" s="1">
        <v>0</v>
      </c>
      <c r="K1264" s="1">
        <v>0</v>
      </c>
      <c r="L1264" s="1">
        <v>0</v>
      </c>
      <c r="M1264" s="1">
        <v>0</v>
      </c>
      <c r="N1264" s="1">
        <v>0</v>
      </c>
      <c r="O1264" s="1">
        <v>0</v>
      </c>
      <c r="P1264" s="1">
        <v>0</v>
      </c>
      <c r="Q1264" s="1">
        <v>0</v>
      </c>
      <c r="R1264" s="1">
        <v>0</v>
      </c>
      <c r="S1264" s="1">
        <v>0</v>
      </c>
      <c r="T1264" s="1">
        <v>0</v>
      </c>
      <c r="U1264" s="1">
        <v>1</v>
      </c>
      <c r="V1264" s="1" t="s">
        <v>301</v>
      </c>
    </row>
    <row r="1265" spans="1:22">
      <c r="A1265" t="s">
        <v>190</v>
      </c>
      <c r="B1265" t="s">
        <v>57</v>
      </c>
      <c r="C1265" t="s">
        <v>59</v>
      </c>
      <c r="D1265" s="1">
        <v>0</v>
      </c>
      <c r="E1265" s="1">
        <v>0</v>
      </c>
      <c r="F1265" s="1">
        <v>0</v>
      </c>
      <c r="G1265" s="1">
        <v>0</v>
      </c>
      <c r="H1265" s="1">
        <v>0</v>
      </c>
      <c r="I1265" s="1">
        <v>0</v>
      </c>
      <c r="J1265" s="1">
        <v>0</v>
      </c>
      <c r="K1265" s="1">
        <v>0</v>
      </c>
      <c r="L1265" s="1">
        <v>0</v>
      </c>
      <c r="M1265" s="1">
        <v>0</v>
      </c>
      <c r="N1265" s="1">
        <v>0</v>
      </c>
      <c r="O1265" s="1">
        <v>0</v>
      </c>
      <c r="P1265" s="1">
        <v>0</v>
      </c>
      <c r="Q1265" s="1">
        <v>0</v>
      </c>
      <c r="R1265" s="1">
        <v>0</v>
      </c>
      <c r="S1265" s="1">
        <v>0</v>
      </c>
      <c r="T1265" s="1">
        <v>0</v>
      </c>
      <c r="U1265" s="1">
        <v>0</v>
      </c>
      <c r="V1265" s="1" t="s">
        <v>301</v>
      </c>
    </row>
    <row r="1266" spans="1:22">
      <c r="A1266" t="s">
        <v>190</v>
      </c>
      <c r="B1266" t="s">
        <v>57</v>
      </c>
      <c r="C1266" t="s">
        <v>60</v>
      </c>
      <c r="D1266" s="1">
        <v>0</v>
      </c>
      <c r="E1266" s="1">
        <v>0</v>
      </c>
      <c r="F1266" s="1">
        <v>0</v>
      </c>
      <c r="G1266" s="1">
        <v>0</v>
      </c>
      <c r="H1266" s="1">
        <v>0</v>
      </c>
      <c r="I1266" s="1">
        <v>0</v>
      </c>
      <c r="J1266" s="1">
        <v>0</v>
      </c>
      <c r="K1266" s="1">
        <v>0</v>
      </c>
      <c r="L1266" s="1">
        <v>0</v>
      </c>
      <c r="M1266" s="1">
        <v>0</v>
      </c>
      <c r="N1266" s="1">
        <v>0</v>
      </c>
      <c r="O1266" s="1">
        <v>0</v>
      </c>
      <c r="P1266" s="1">
        <v>0</v>
      </c>
      <c r="Q1266" s="1">
        <v>0</v>
      </c>
      <c r="R1266" s="1">
        <v>0</v>
      </c>
      <c r="S1266" s="1">
        <v>0</v>
      </c>
      <c r="T1266" s="1">
        <v>0</v>
      </c>
      <c r="U1266" s="1">
        <v>0</v>
      </c>
      <c r="V1266" s="1" t="s">
        <v>301</v>
      </c>
    </row>
    <row r="1267" spans="1:22">
      <c r="A1267" t="s">
        <v>190</v>
      </c>
      <c r="B1267" t="s">
        <v>57</v>
      </c>
      <c r="C1267" t="s">
        <v>61</v>
      </c>
      <c r="D1267" s="1">
        <v>0</v>
      </c>
      <c r="E1267" s="1">
        <v>0</v>
      </c>
      <c r="F1267" s="1">
        <v>0</v>
      </c>
      <c r="G1267" s="1">
        <v>0</v>
      </c>
      <c r="H1267" s="1">
        <v>0</v>
      </c>
      <c r="I1267" s="1">
        <v>0</v>
      </c>
      <c r="J1267" s="1">
        <v>0</v>
      </c>
      <c r="K1267" s="1">
        <v>0</v>
      </c>
      <c r="L1267" s="1">
        <v>0</v>
      </c>
      <c r="M1267" s="1">
        <v>0</v>
      </c>
      <c r="N1267" s="1">
        <v>0</v>
      </c>
      <c r="O1267" s="1">
        <v>0</v>
      </c>
      <c r="P1267" s="1">
        <v>0</v>
      </c>
      <c r="Q1267" s="1">
        <v>0</v>
      </c>
      <c r="R1267" s="1">
        <v>0</v>
      </c>
      <c r="S1267" s="1">
        <v>0</v>
      </c>
      <c r="T1267" s="1">
        <v>0</v>
      </c>
      <c r="U1267" s="1">
        <v>0</v>
      </c>
      <c r="V1267" s="1" t="s">
        <v>301</v>
      </c>
    </row>
    <row r="1268" spans="1:22">
      <c r="A1268" t="s">
        <v>190</v>
      </c>
      <c r="B1268" t="s">
        <v>57</v>
      </c>
      <c r="C1268" t="s">
        <v>62</v>
      </c>
      <c r="D1268" s="1">
        <v>0</v>
      </c>
      <c r="E1268" s="1">
        <v>0</v>
      </c>
      <c r="F1268" s="1">
        <v>0</v>
      </c>
      <c r="G1268" s="1">
        <v>0</v>
      </c>
      <c r="H1268" s="1">
        <v>0</v>
      </c>
      <c r="I1268" s="1">
        <v>0</v>
      </c>
      <c r="J1268" s="1">
        <v>0</v>
      </c>
      <c r="K1268" s="1">
        <v>0</v>
      </c>
      <c r="L1268" s="1">
        <v>0</v>
      </c>
      <c r="M1268" s="1">
        <v>0</v>
      </c>
      <c r="N1268" s="1">
        <v>0</v>
      </c>
      <c r="O1268" s="1">
        <v>0</v>
      </c>
      <c r="P1268" s="1">
        <v>0</v>
      </c>
      <c r="Q1268" s="1">
        <v>0</v>
      </c>
      <c r="R1268" s="1">
        <v>0</v>
      </c>
      <c r="S1268" s="1">
        <v>0</v>
      </c>
      <c r="T1268" s="1">
        <v>0</v>
      </c>
      <c r="U1268" s="1">
        <v>0</v>
      </c>
      <c r="V1268" s="1" t="s">
        <v>301</v>
      </c>
    </row>
    <row r="1269" spans="1:22">
      <c r="A1269" t="s">
        <v>190</v>
      </c>
      <c r="B1269" t="s">
        <v>57</v>
      </c>
      <c r="C1269" t="s">
        <v>63</v>
      </c>
      <c r="D1269" s="1">
        <v>0</v>
      </c>
      <c r="E1269" s="1">
        <v>0</v>
      </c>
      <c r="F1269" s="1">
        <v>0</v>
      </c>
      <c r="G1269" s="1">
        <v>0</v>
      </c>
      <c r="H1269" s="1">
        <v>0</v>
      </c>
      <c r="I1269" s="1">
        <v>0</v>
      </c>
      <c r="J1269" s="1">
        <v>0</v>
      </c>
      <c r="K1269" s="1">
        <v>0</v>
      </c>
      <c r="L1269" s="1">
        <v>0</v>
      </c>
      <c r="M1269" s="1">
        <v>0</v>
      </c>
      <c r="N1269" s="1">
        <v>0</v>
      </c>
      <c r="O1269" s="1">
        <v>0</v>
      </c>
      <c r="P1269" s="1">
        <v>0</v>
      </c>
      <c r="Q1269" s="1">
        <v>0</v>
      </c>
      <c r="R1269" s="1">
        <v>0</v>
      </c>
      <c r="S1269" s="1">
        <v>0</v>
      </c>
      <c r="T1269" s="1">
        <v>0</v>
      </c>
      <c r="U1269" s="1">
        <v>0</v>
      </c>
      <c r="V1269" s="1" t="s">
        <v>301</v>
      </c>
    </row>
    <row r="1270" spans="1:22">
      <c r="A1270" t="s">
        <v>190</v>
      </c>
      <c r="B1270" t="s">
        <v>57</v>
      </c>
      <c r="C1270" t="s">
        <v>64</v>
      </c>
      <c r="D1270" s="1">
        <v>0</v>
      </c>
      <c r="E1270" s="1">
        <v>0</v>
      </c>
      <c r="F1270" s="1">
        <v>0</v>
      </c>
      <c r="G1270" s="1">
        <v>0</v>
      </c>
      <c r="H1270" s="1">
        <v>0</v>
      </c>
      <c r="I1270" s="1">
        <v>0</v>
      </c>
      <c r="J1270" s="1">
        <v>0</v>
      </c>
      <c r="K1270" s="1">
        <v>0</v>
      </c>
      <c r="L1270" s="1">
        <v>0</v>
      </c>
      <c r="M1270" s="1">
        <v>0</v>
      </c>
      <c r="N1270" s="1">
        <v>0</v>
      </c>
      <c r="O1270" s="1">
        <v>0</v>
      </c>
      <c r="P1270" s="1">
        <v>0</v>
      </c>
      <c r="Q1270" s="1">
        <v>0</v>
      </c>
      <c r="R1270" s="1">
        <v>0</v>
      </c>
      <c r="S1270" s="1">
        <v>0</v>
      </c>
      <c r="T1270" s="1">
        <v>0</v>
      </c>
      <c r="U1270" s="1">
        <v>0</v>
      </c>
      <c r="V1270" s="1" t="s">
        <v>301</v>
      </c>
    </row>
    <row r="1271" spans="1:22">
      <c r="A1271" t="s">
        <v>190</v>
      </c>
      <c r="B1271" t="s">
        <v>57</v>
      </c>
      <c r="C1271" t="s">
        <v>65</v>
      </c>
      <c r="D1271" s="1">
        <v>0</v>
      </c>
      <c r="E1271" s="1">
        <v>0</v>
      </c>
      <c r="F1271" s="1">
        <v>0</v>
      </c>
      <c r="G1271" s="1">
        <v>0</v>
      </c>
      <c r="H1271" s="1">
        <v>0</v>
      </c>
      <c r="I1271" s="1">
        <v>0</v>
      </c>
      <c r="J1271" s="1">
        <v>0</v>
      </c>
      <c r="K1271" s="1">
        <v>0</v>
      </c>
      <c r="L1271" s="1">
        <v>0</v>
      </c>
      <c r="M1271" s="1">
        <v>0</v>
      </c>
      <c r="N1271" s="1">
        <v>0</v>
      </c>
      <c r="O1271" s="1">
        <v>0</v>
      </c>
      <c r="P1271" s="1">
        <v>0</v>
      </c>
      <c r="Q1271" s="1">
        <v>0</v>
      </c>
      <c r="R1271" s="1">
        <v>0</v>
      </c>
      <c r="S1271" s="1">
        <v>0</v>
      </c>
      <c r="T1271" s="1">
        <v>0</v>
      </c>
      <c r="U1271" s="1">
        <v>0</v>
      </c>
      <c r="V1271" s="1" t="s">
        <v>301</v>
      </c>
    </row>
    <row r="1272" spans="1:22">
      <c r="A1272" t="s">
        <v>191</v>
      </c>
      <c r="B1272" t="s">
        <v>57</v>
      </c>
      <c r="C1272" t="s">
        <v>58</v>
      </c>
      <c r="D1272" s="1">
        <v>0</v>
      </c>
      <c r="E1272" s="1">
        <v>0</v>
      </c>
      <c r="F1272" s="1">
        <v>0</v>
      </c>
      <c r="G1272" s="1">
        <v>0</v>
      </c>
      <c r="H1272" s="1">
        <v>0</v>
      </c>
      <c r="I1272" s="1">
        <v>0</v>
      </c>
      <c r="J1272" s="1">
        <v>0</v>
      </c>
      <c r="K1272" s="1">
        <v>0</v>
      </c>
      <c r="L1272" s="1">
        <v>0</v>
      </c>
      <c r="M1272" s="1">
        <v>0</v>
      </c>
      <c r="N1272" s="1">
        <v>0</v>
      </c>
      <c r="O1272" s="1">
        <v>0</v>
      </c>
      <c r="P1272" s="1">
        <v>0</v>
      </c>
      <c r="Q1272" s="1">
        <v>0</v>
      </c>
      <c r="R1272" s="1">
        <v>0</v>
      </c>
      <c r="S1272" s="1">
        <v>0</v>
      </c>
      <c r="T1272" s="1">
        <v>0</v>
      </c>
      <c r="U1272" s="1">
        <v>1</v>
      </c>
      <c r="V1272" s="1" t="s">
        <v>301</v>
      </c>
    </row>
    <row r="1273" spans="1:22">
      <c r="A1273" t="s">
        <v>191</v>
      </c>
      <c r="B1273" t="s">
        <v>57</v>
      </c>
      <c r="C1273" t="s">
        <v>59</v>
      </c>
      <c r="D1273" s="1">
        <v>0</v>
      </c>
      <c r="E1273" s="1">
        <v>0</v>
      </c>
      <c r="F1273" s="1">
        <v>0</v>
      </c>
      <c r="G1273" s="1">
        <v>0</v>
      </c>
      <c r="H1273" s="1">
        <v>0</v>
      </c>
      <c r="I1273" s="1">
        <v>0</v>
      </c>
      <c r="J1273" s="1">
        <v>0</v>
      </c>
      <c r="K1273" s="1">
        <v>0</v>
      </c>
      <c r="L1273" s="1">
        <v>0</v>
      </c>
      <c r="M1273" s="1">
        <v>0</v>
      </c>
      <c r="N1273" s="1">
        <v>0</v>
      </c>
      <c r="O1273" s="1">
        <v>0</v>
      </c>
      <c r="P1273" s="1">
        <v>0</v>
      </c>
      <c r="Q1273" s="1">
        <v>0</v>
      </c>
      <c r="R1273" s="1">
        <v>0</v>
      </c>
      <c r="S1273" s="1">
        <v>0</v>
      </c>
      <c r="T1273" s="1">
        <v>0</v>
      </c>
      <c r="U1273" s="1">
        <v>0</v>
      </c>
      <c r="V1273" s="1" t="s">
        <v>301</v>
      </c>
    </row>
    <row r="1274" spans="1:22">
      <c r="A1274" t="s">
        <v>191</v>
      </c>
      <c r="B1274" t="s">
        <v>57</v>
      </c>
      <c r="C1274" t="s">
        <v>60</v>
      </c>
      <c r="D1274" s="1">
        <v>0</v>
      </c>
      <c r="E1274" s="1">
        <v>0</v>
      </c>
      <c r="F1274" s="1">
        <v>0</v>
      </c>
      <c r="G1274" s="1">
        <v>0</v>
      </c>
      <c r="H1274" s="1">
        <v>0</v>
      </c>
      <c r="I1274" s="1">
        <v>0</v>
      </c>
      <c r="J1274" s="1">
        <v>0</v>
      </c>
      <c r="K1274" s="1">
        <v>0</v>
      </c>
      <c r="L1274" s="1">
        <v>0</v>
      </c>
      <c r="M1274" s="1">
        <v>0</v>
      </c>
      <c r="N1274" s="1">
        <v>0</v>
      </c>
      <c r="O1274" s="1">
        <v>0</v>
      </c>
      <c r="P1274" s="1">
        <v>0</v>
      </c>
      <c r="Q1274" s="1">
        <v>0</v>
      </c>
      <c r="R1274" s="1">
        <v>0</v>
      </c>
      <c r="S1274" s="1">
        <v>0</v>
      </c>
      <c r="T1274" s="1">
        <v>0</v>
      </c>
      <c r="U1274" s="1">
        <v>0</v>
      </c>
      <c r="V1274" s="1" t="s">
        <v>301</v>
      </c>
    </row>
    <row r="1275" spans="1:22">
      <c r="A1275" t="s">
        <v>191</v>
      </c>
      <c r="B1275" t="s">
        <v>57</v>
      </c>
      <c r="C1275" t="s">
        <v>61</v>
      </c>
      <c r="D1275" s="1">
        <v>0</v>
      </c>
      <c r="E1275" s="1">
        <v>0</v>
      </c>
      <c r="F1275" s="1">
        <v>0</v>
      </c>
      <c r="G1275" s="1">
        <v>0</v>
      </c>
      <c r="H1275" s="1">
        <v>0</v>
      </c>
      <c r="I1275" s="1">
        <v>0</v>
      </c>
      <c r="J1275" s="1">
        <v>0</v>
      </c>
      <c r="K1275" s="1">
        <v>0</v>
      </c>
      <c r="L1275" s="1">
        <v>0</v>
      </c>
      <c r="M1275" s="1">
        <v>0</v>
      </c>
      <c r="N1275" s="1">
        <v>0</v>
      </c>
      <c r="O1275" s="1">
        <v>0</v>
      </c>
      <c r="P1275" s="1">
        <v>0</v>
      </c>
      <c r="Q1275" s="1">
        <v>0</v>
      </c>
      <c r="R1275" s="1">
        <v>0</v>
      </c>
      <c r="S1275" s="1">
        <v>0</v>
      </c>
      <c r="T1275" s="1">
        <v>0</v>
      </c>
      <c r="U1275" s="1">
        <v>0</v>
      </c>
      <c r="V1275" s="1" t="s">
        <v>301</v>
      </c>
    </row>
    <row r="1276" spans="1:22">
      <c r="A1276" t="s">
        <v>191</v>
      </c>
      <c r="B1276" t="s">
        <v>57</v>
      </c>
      <c r="C1276" t="s">
        <v>62</v>
      </c>
      <c r="D1276" s="1">
        <v>0</v>
      </c>
      <c r="E1276" s="1">
        <v>0</v>
      </c>
      <c r="F1276" s="1">
        <v>0</v>
      </c>
      <c r="G1276" s="1">
        <v>0</v>
      </c>
      <c r="H1276" s="1">
        <v>0</v>
      </c>
      <c r="I1276" s="1">
        <v>0</v>
      </c>
      <c r="J1276" s="1">
        <v>0</v>
      </c>
      <c r="K1276" s="1">
        <v>0</v>
      </c>
      <c r="L1276" s="1">
        <v>0</v>
      </c>
      <c r="M1276" s="1">
        <v>0</v>
      </c>
      <c r="N1276" s="1">
        <v>0</v>
      </c>
      <c r="O1276" s="1">
        <v>0</v>
      </c>
      <c r="P1276" s="1">
        <v>0</v>
      </c>
      <c r="Q1276" s="1">
        <v>0</v>
      </c>
      <c r="R1276" s="1">
        <v>0</v>
      </c>
      <c r="S1276" s="1">
        <v>0</v>
      </c>
      <c r="T1276" s="1">
        <v>0</v>
      </c>
      <c r="U1276" s="1">
        <v>0</v>
      </c>
      <c r="V1276" s="1" t="s">
        <v>301</v>
      </c>
    </row>
    <row r="1277" spans="1:22">
      <c r="A1277" t="s">
        <v>191</v>
      </c>
      <c r="B1277" t="s">
        <v>57</v>
      </c>
      <c r="C1277" t="s">
        <v>63</v>
      </c>
      <c r="D1277" s="1">
        <v>0</v>
      </c>
      <c r="E1277" s="1">
        <v>0</v>
      </c>
      <c r="F1277" s="1">
        <v>0</v>
      </c>
      <c r="G1277" s="1">
        <v>0</v>
      </c>
      <c r="H1277" s="1">
        <v>0</v>
      </c>
      <c r="I1277" s="1">
        <v>0</v>
      </c>
      <c r="J1277" s="1">
        <v>0</v>
      </c>
      <c r="K1277" s="1">
        <v>0</v>
      </c>
      <c r="L1277" s="1">
        <v>0</v>
      </c>
      <c r="M1277" s="1">
        <v>0</v>
      </c>
      <c r="N1277" s="1">
        <v>0</v>
      </c>
      <c r="O1277" s="1">
        <v>0</v>
      </c>
      <c r="P1277" s="1">
        <v>0</v>
      </c>
      <c r="Q1277" s="1">
        <v>0</v>
      </c>
      <c r="R1277" s="1">
        <v>0</v>
      </c>
      <c r="S1277" s="1">
        <v>0</v>
      </c>
      <c r="T1277" s="1">
        <v>0</v>
      </c>
      <c r="U1277" s="1">
        <v>0</v>
      </c>
      <c r="V1277" s="1" t="s">
        <v>301</v>
      </c>
    </row>
    <row r="1278" spans="1:22">
      <c r="A1278" t="s">
        <v>191</v>
      </c>
      <c r="B1278" t="s">
        <v>57</v>
      </c>
      <c r="C1278" t="s">
        <v>64</v>
      </c>
      <c r="D1278" s="1">
        <v>0</v>
      </c>
      <c r="E1278" s="1">
        <v>0</v>
      </c>
      <c r="F1278" s="1">
        <v>0</v>
      </c>
      <c r="G1278" s="1">
        <v>0</v>
      </c>
      <c r="H1278" s="1">
        <v>0</v>
      </c>
      <c r="I1278" s="1">
        <v>0</v>
      </c>
      <c r="J1278" s="1">
        <v>0</v>
      </c>
      <c r="K1278" s="1">
        <v>0</v>
      </c>
      <c r="L1278" s="1">
        <v>0</v>
      </c>
      <c r="M1278" s="1">
        <v>0</v>
      </c>
      <c r="N1278" s="1">
        <v>0</v>
      </c>
      <c r="O1278" s="1">
        <v>0</v>
      </c>
      <c r="P1278" s="1">
        <v>0</v>
      </c>
      <c r="Q1278" s="1">
        <v>0</v>
      </c>
      <c r="R1278" s="1">
        <v>0</v>
      </c>
      <c r="S1278" s="1">
        <v>0</v>
      </c>
      <c r="T1278" s="1">
        <v>0</v>
      </c>
      <c r="U1278" s="1">
        <v>0</v>
      </c>
      <c r="V1278" s="1" t="s">
        <v>301</v>
      </c>
    </row>
    <row r="1279" spans="1:22">
      <c r="A1279" t="s">
        <v>191</v>
      </c>
      <c r="B1279" t="s">
        <v>57</v>
      </c>
      <c r="C1279" t="s">
        <v>65</v>
      </c>
      <c r="D1279" s="1">
        <v>0</v>
      </c>
      <c r="E1279" s="1">
        <v>0</v>
      </c>
      <c r="F1279" s="1">
        <v>0</v>
      </c>
      <c r="G1279" s="1">
        <v>0</v>
      </c>
      <c r="H1279" s="1">
        <v>0</v>
      </c>
      <c r="I1279" s="1">
        <v>0</v>
      </c>
      <c r="J1279" s="1">
        <v>0</v>
      </c>
      <c r="K1279" s="1">
        <v>0</v>
      </c>
      <c r="L1279" s="1">
        <v>0</v>
      </c>
      <c r="M1279" s="1">
        <v>0</v>
      </c>
      <c r="N1279" s="1">
        <v>0</v>
      </c>
      <c r="O1279" s="1">
        <v>0</v>
      </c>
      <c r="P1279" s="1">
        <v>0</v>
      </c>
      <c r="Q1279" s="1">
        <v>0</v>
      </c>
      <c r="R1279" s="1">
        <v>0</v>
      </c>
      <c r="S1279" s="1">
        <v>0</v>
      </c>
      <c r="T1279" s="1">
        <v>0</v>
      </c>
      <c r="U1279" s="1">
        <v>0</v>
      </c>
      <c r="V1279" s="1" t="s">
        <v>301</v>
      </c>
    </row>
    <row r="1280" spans="1:22">
      <c r="A1280" t="s">
        <v>192</v>
      </c>
      <c r="B1280" t="s">
        <v>57</v>
      </c>
      <c r="C1280" t="s">
        <v>58</v>
      </c>
      <c r="D1280" s="1">
        <v>0</v>
      </c>
      <c r="E1280" s="1">
        <v>0</v>
      </c>
      <c r="F1280" s="1">
        <v>0</v>
      </c>
      <c r="G1280" s="1">
        <v>0</v>
      </c>
      <c r="H1280" s="1">
        <v>0</v>
      </c>
      <c r="I1280" s="1">
        <v>0</v>
      </c>
      <c r="J1280" s="1">
        <v>0</v>
      </c>
      <c r="K1280" s="1">
        <v>0</v>
      </c>
      <c r="L1280" s="1">
        <v>0</v>
      </c>
      <c r="M1280" s="1">
        <v>0</v>
      </c>
      <c r="N1280" s="1">
        <v>0</v>
      </c>
      <c r="O1280" s="1">
        <v>0</v>
      </c>
      <c r="P1280" s="1">
        <v>0</v>
      </c>
      <c r="Q1280" s="1">
        <v>0</v>
      </c>
      <c r="R1280" s="1">
        <v>0</v>
      </c>
      <c r="S1280" s="1">
        <v>0</v>
      </c>
      <c r="T1280" s="1">
        <v>0</v>
      </c>
      <c r="U1280" s="1">
        <v>1</v>
      </c>
      <c r="V1280" s="1" t="s">
        <v>301</v>
      </c>
    </row>
    <row r="1281" spans="1:22">
      <c r="A1281" t="s">
        <v>192</v>
      </c>
      <c r="B1281" t="s">
        <v>57</v>
      </c>
      <c r="C1281" t="s">
        <v>59</v>
      </c>
      <c r="D1281" s="1">
        <v>0</v>
      </c>
      <c r="E1281" s="1">
        <v>0</v>
      </c>
      <c r="F1281" s="1">
        <v>0</v>
      </c>
      <c r="G1281" s="1">
        <v>0</v>
      </c>
      <c r="H1281" s="1">
        <v>0</v>
      </c>
      <c r="I1281" s="1">
        <v>0</v>
      </c>
      <c r="J1281" s="1">
        <v>0</v>
      </c>
      <c r="K1281" s="1">
        <v>0</v>
      </c>
      <c r="L1281" s="1">
        <v>0</v>
      </c>
      <c r="M1281" s="1">
        <v>0</v>
      </c>
      <c r="N1281" s="1">
        <v>0</v>
      </c>
      <c r="O1281" s="1">
        <v>0</v>
      </c>
      <c r="P1281" s="1">
        <v>0</v>
      </c>
      <c r="Q1281" s="1">
        <v>0</v>
      </c>
      <c r="R1281" s="1">
        <v>0</v>
      </c>
      <c r="S1281" s="1">
        <v>0</v>
      </c>
      <c r="T1281" s="1">
        <v>0</v>
      </c>
      <c r="U1281" s="1">
        <v>0</v>
      </c>
      <c r="V1281" s="1" t="s">
        <v>301</v>
      </c>
    </row>
    <row r="1282" spans="1:22">
      <c r="A1282" t="s">
        <v>192</v>
      </c>
      <c r="B1282" t="s">
        <v>57</v>
      </c>
      <c r="C1282" t="s">
        <v>60</v>
      </c>
      <c r="D1282" s="1">
        <v>0</v>
      </c>
      <c r="E1282" s="1">
        <v>0</v>
      </c>
      <c r="F1282" s="1">
        <v>0</v>
      </c>
      <c r="G1282" s="1">
        <v>0</v>
      </c>
      <c r="H1282" s="1">
        <v>0</v>
      </c>
      <c r="I1282" s="1">
        <v>0</v>
      </c>
      <c r="J1282" s="1">
        <v>0</v>
      </c>
      <c r="K1282" s="1">
        <v>0</v>
      </c>
      <c r="L1282" s="1">
        <v>0</v>
      </c>
      <c r="M1282" s="1">
        <v>0</v>
      </c>
      <c r="N1282" s="1">
        <v>0</v>
      </c>
      <c r="O1282" s="1">
        <v>0</v>
      </c>
      <c r="P1282" s="1">
        <v>0</v>
      </c>
      <c r="Q1282" s="1">
        <v>0</v>
      </c>
      <c r="R1282" s="1">
        <v>0</v>
      </c>
      <c r="S1282" s="1">
        <v>0</v>
      </c>
      <c r="T1282" s="1">
        <v>0</v>
      </c>
      <c r="U1282" s="1">
        <v>0</v>
      </c>
      <c r="V1282" s="1" t="s">
        <v>301</v>
      </c>
    </row>
    <row r="1283" spans="1:22">
      <c r="A1283" t="s">
        <v>192</v>
      </c>
      <c r="B1283" t="s">
        <v>57</v>
      </c>
      <c r="C1283" t="s">
        <v>61</v>
      </c>
      <c r="D1283" s="1">
        <v>0</v>
      </c>
      <c r="E1283" s="1">
        <v>0</v>
      </c>
      <c r="F1283" s="1">
        <v>0</v>
      </c>
      <c r="G1283" s="1">
        <v>0</v>
      </c>
      <c r="H1283" s="1">
        <v>0</v>
      </c>
      <c r="I1283" s="1">
        <v>0</v>
      </c>
      <c r="J1283" s="1">
        <v>0</v>
      </c>
      <c r="K1283" s="1">
        <v>0</v>
      </c>
      <c r="L1283" s="1">
        <v>0</v>
      </c>
      <c r="M1283" s="1">
        <v>0</v>
      </c>
      <c r="N1283" s="1">
        <v>0</v>
      </c>
      <c r="O1283" s="1">
        <v>0</v>
      </c>
      <c r="P1283" s="1">
        <v>0</v>
      </c>
      <c r="Q1283" s="1">
        <v>0</v>
      </c>
      <c r="R1283" s="1">
        <v>0</v>
      </c>
      <c r="S1283" s="1">
        <v>0</v>
      </c>
      <c r="T1283" s="1">
        <v>0</v>
      </c>
      <c r="U1283" s="1">
        <v>0</v>
      </c>
      <c r="V1283" s="1" t="s">
        <v>301</v>
      </c>
    </row>
    <row r="1284" spans="1:22">
      <c r="A1284" t="s">
        <v>192</v>
      </c>
      <c r="B1284" t="s">
        <v>57</v>
      </c>
      <c r="C1284" t="s">
        <v>62</v>
      </c>
      <c r="D1284" s="1">
        <v>0</v>
      </c>
      <c r="E1284" s="1">
        <v>0</v>
      </c>
      <c r="F1284" s="1">
        <v>0</v>
      </c>
      <c r="G1284" s="1">
        <v>0</v>
      </c>
      <c r="H1284" s="1">
        <v>0</v>
      </c>
      <c r="I1284" s="1">
        <v>0</v>
      </c>
      <c r="J1284" s="1">
        <v>0</v>
      </c>
      <c r="K1284" s="1">
        <v>0</v>
      </c>
      <c r="L1284" s="1">
        <v>0</v>
      </c>
      <c r="M1284" s="1">
        <v>0</v>
      </c>
      <c r="N1284" s="1">
        <v>0</v>
      </c>
      <c r="O1284" s="1">
        <v>0</v>
      </c>
      <c r="P1284" s="1">
        <v>0</v>
      </c>
      <c r="Q1284" s="1">
        <v>0</v>
      </c>
      <c r="R1284" s="1">
        <v>0</v>
      </c>
      <c r="S1284" s="1">
        <v>0</v>
      </c>
      <c r="T1284" s="1">
        <v>0</v>
      </c>
      <c r="U1284" s="1">
        <v>0</v>
      </c>
      <c r="V1284" s="1" t="s">
        <v>301</v>
      </c>
    </row>
    <row r="1285" spans="1:22">
      <c r="A1285" t="s">
        <v>192</v>
      </c>
      <c r="B1285" t="s">
        <v>57</v>
      </c>
      <c r="C1285" t="s">
        <v>63</v>
      </c>
      <c r="D1285" s="1">
        <v>0</v>
      </c>
      <c r="E1285" s="1">
        <v>0</v>
      </c>
      <c r="F1285" s="1">
        <v>0</v>
      </c>
      <c r="G1285" s="1">
        <v>0</v>
      </c>
      <c r="H1285" s="1">
        <v>0</v>
      </c>
      <c r="I1285" s="1">
        <v>0</v>
      </c>
      <c r="J1285" s="1">
        <v>0</v>
      </c>
      <c r="K1285" s="1">
        <v>0</v>
      </c>
      <c r="L1285" s="1">
        <v>0</v>
      </c>
      <c r="M1285" s="1">
        <v>0</v>
      </c>
      <c r="N1285" s="1">
        <v>0</v>
      </c>
      <c r="O1285" s="1">
        <v>0</v>
      </c>
      <c r="P1285" s="1">
        <v>0</v>
      </c>
      <c r="Q1285" s="1">
        <v>0</v>
      </c>
      <c r="R1285" s="1">
        <v>0</v>
      </c>
      <c r="S1285" s="1">
        <v>0</v>
      </c>
      <c r="T1285" s="1">
        <v>0</v>
      </c>
      <c r="U1285" s="1">
        <v>0</v>
      </c>
      <c r="V1285" s="1" t="s">
        <v>301</v>
      </c>
    </row>
    <row r="1286" spans="1:22">
      <c r="A1286" t="s">
        <v>192</v>
      </c>
      <c r="B1286" t="s">
        <v>57</v>
      </c>
      <c r="C1286" t="s">
        <v>64</v>
      </c>
      <c r="D1286" s="1">
        <v>0</v>
      </c>
      <c r="E1286" s="1">
        <v>0</v>
      </c>
      <c r="F1286" s="1">
        <v>0</v>
      </c>
      <c r="G1286" s="1">
        <v>0</v>
      </c>
      <c r="H1286" s="1">
        <v>0</v>
      </c>
      <c r="I1286" s="1">
        <v>0</v>
      </c>
      <c r="J1286" s="1">
        <v>0</v>
      </c>
      <c r="K1286" s="1">
        <v>0</v>
      </c>
      <c r="L1286" s="1">
        <v>0</v>
      </c>
      <c r="M1286" s="1">
        <v>0</v>
      </c>
      <c r="N1286" s="1">
        <v>0</v>
      </c>
      <c r="O1286" s="1">
        <v>0</v>
      </c>
      <c r="P1286" s="1">
        <v>0</v>
      </c>
      <c r="Q1286" s="1">
        <v>0</v>
      </c>
      <c r="R1286" s="1">
        <v>0</v>
      </c>
      <c r="S1286" s="1">
        <v>0</v>
      </c>
      <c r="T1286" s="1">
        <v>0</v>
      </c>
      <c r="U1286" s="1">
        <v>0</v>
      </c>
      <c r="V1286" s="1" t="s">
        <v>301</v>
      </c>
    </row>
    <row r="1287" spans="1:22">
      <c r="A1287" t="s">
        <v>192</v>
      </c>
      <c r="B1287" t="s">
        <v>57</v>
      </c>
      <c r="C1287" t="s">
        <v>65</v>
      </c>
      <c r="D1287" s="1">
        <v>0</v>
      </c>
      <c r="E1287" s="1">
        <v>0</v>
      </c>
      <c r="F1287" s="1">
        <v>0</v>
      </c>
      <c r="G1287" s="1">
        <v>0</v>
      </c>
      <c r="H1287" s="1">
        <v>0</v>
      </c>
      <c r="I1287" s="1">
        <v>0</v>
      </c>
      <c r="J1287" s="1">
        <v>0</v>
      </c>
      <c r="K1287" s="1">
        <v>0</v>
      </c>
      <c r="L1287" s="1">
        <v>0</v>
      </c>
      <c r="M1287" s="1">
        <v>0</v>
      </c>
      <c r="N1287" s="1">
        <v>0</v>
      </c>
      <c r="O1287" s="1">
        <v>0</v>
      </c>
      <c r="P1287" s="1">
        <v>0</v>
      </c>
      <c r="Q1287" s="1">
        <v>0</v>
      </c>
      <c r="R1287" s="1">
        <v>0</v>
      </c>
      <c r="S1287" s="1">
        <v>0</v>
      </c>
      <c r="T1287" s="1">
        <v>0</v>
      </c>
      <c r="U1287" s="1">
        <v>0</v>
      </c>
      <c r="V1287" s="1" t="s">
        <v>301</v>
      </c>
    </row>
    <row r="1288" spans="1:22">
      <c r="A1288" t="s">
        <v>193</v>
      </c>
      <c r="B1288" t="s">
        <v>57</v>
      </c>
      <c r="C1288" t="s">
        <v>58</v>
      </c>
      <c r="D1288" s="1">
        <v>0</v>
      </c>
      <c r="E1288" s="1">
        <v>0</v>
      </c>
      <c r="F1288" s="1">
        <v>0</v>
      </c>
      <c r="G1288" s="1">
        <v>0</v>
      </c>
      <c r="H1288" s="1">
        <v>0</v>
      </c>
      <c r="I1288" s="1">
        <v>0</v>
      </c>
      <c r="J1288" s="1">
        <v>0</v>
      </c>
      <c r="K1288" s="1">
        <v>0</v>
      </c>
      <c r="L1288" s="1">
        <v>0</v>
      </c>
      <c r="M1288" s="1">
        <v>0</v>
      </c>
      <c r="N1288" s="1">
        <v>0</v>
      </c>
      <c r="O1288" s="1">
        <v>0</v>
      </c>
      <c r="P1288" s="1">
        <v>0</v>
      </c>
      <c r="Q1288" s="1">
        <v>0</v>
      </c>
      <c r="R1288" s="1">
        <v>0</v>
      </c>
      <c r="S1288" s="1">
        <v>0</v>
      </c>
      <c r="T1288" s="1">
        <v>0</v>
      </c>
      <c r="U1288" s="1">
        <v>1</v>
      </c>
      <c r="V1288" s="1" t="s">
        <v>301</v>
      </c>
    </row>
    <row r="1289" spans="1:22">
      <c r="A1289" t="s">
        <v>193</v>
      </c>
      <c r="B1289" t="s">
        <v>57</v>
      </c>
      <c r="C1289" t="s">
        <v>59</v>
      </c>
      <c r="D1289" s="1">
        <v>0</v>
      </c>
      <c r="E1289" s="1">
        <v>0</v>
      </c>
      <c r="F1289" s="1">
        <v>0</v>
      </c>
      <c r="G1289" s="1">
        <v>0</v>
      </c>
      <c r="H1289" s="1">
        <v>0</v>
      </c>
      <c r="I1289" s="1">
        <v>0</v>
      </c>
      <c r="J1289" s="1">
        <v>0</v>
      </c>
      <c r="K1289" s="1">
        <v>0</v>
      </c>
      <c r="L1289" s="1">
        <v>0</v>
      </c>
      <c r="M1289" s="1">
        <v>0</v>
      </c>
      <c r="N1289" s="1">
        <v>0</v>
      </c>
      <c r="O1289" s="1">
        <v>0</v>
      </c>
      <c r="P1289" s="1">
        <v>0</v>
      </c>
      <c r="Q1289" s="1">
        <v>0</v>
      </c>
      <c r="R1289" s="1">
        <v>0</v>
      </c>
      <c r="S1289" s="1">
        <v>0</v>
      </c>
      <c r="T1289" s="1">
        <v>0</v>
      </c>
      <c r="U1289" s="1">
        <v>0</v>
      </c>
      <c r="V1289" s="1" t="s">
        <v>301</v>
      </c>
    </row>
    <row r="1290" spans="1:22">
      <c r="A1290" t="s">
        <v>193</v>
      </c>
      <c r="B1290" t="s">
        <v>57</v>
      </c>
      <c r="C1290" t="s">
        <v>60</v>
      </c>
      <c r="D1290" s="1">
        <v>0</v>
      </c>
      <c r="E1290" s="1">
        <v>0</v>
      </c>
      <c r="F1290" s="1">
        <v>0</v>
      </c>
      <c r="G1290" s="1">
        <v>0</v>
      </c>
      <c r="H1290" s="1">
        <v>0</v>
      </c>
      <c r="I1290" s="1">
        <v>0</v>
      </c>
      <c r="J1290" s="1">
        <v>0</v>
      </c>
      <c r="K1290" s="1">
        <v>0</v>
      </c>
      <c r="L1290" s="1">
        <v>0</v>
      </c>
      <c r="M1290" s="1">
        <v>0</v>
      </c>
      <c r="N1290" s="1">
        <v>0</v>
      </c>
      <c r="O1290" s="1">
        <v>0</v>
      </c>
      <c r="P1290" s="1">
        <v>0</v>
      </c>
      <c r="Q1290" s="1">
        <v>0</v>
      </c>
      <c r="R1290" s="1">
        <v>0</v>
      </c>
      <c r="S1290" s="1">
        <v>0</v>
      </c>
      <c r="T1290" s="1">
        <v>0</v>
      </c>
      <c r="U1290" s="1">
        <v>0</v>
      </c>
      <c r="V1290" s="1" t="s">
        <v>301</v>
      </c>
    </row>
    <row r="1291" spans="1:22">
      <c r="A1291" t="s">
        <v>193</v>
      </c>
      <c r="B1291" t="s">
        <v>57</v>
      </c>
      <c r="C1291" t="s">
        <v>61</v>
      </c>
      <c r="D1291" s="1">
        <v>0</v>
      </c>
      <c r="E1291" s="1">
        <v>0</v>
      </c>
      <c r="F1291" s="1">
        <v>0</v>
      </c>
      <c r="G1291" s="1">
        <v>0</v>
      </c>
      <c r="H1291" s="1">
        <v>0</v>
      </c>
      <c r="I1291" s="1">
        <v>0</v>
      </c>
      <c r="J1291" s="1">
        <v>0</v>
      </c>
      <c r="K1291" s="1">
        <v>0</v>
      </c>
      <c r="L1291" s="1">
        <v>0</v>
      </c>
      <c r="M1291" s="1">
        <v>0</v>
      </c>
      <c r="N1291" s="1">
        <v>0</v>
      </c>
      <c r="O1291" s="1">
        <v>0</v>
      </c>
      <c r="P1291" s="1">
        <v>0</v>
      </c>
      <c r="Q1291" s="1">
        <v>0</v>
      </c>
      <c r="R1291" s="1">
        <v>0</v>
      </c>
      <c r="S1291" s="1">
        <v>0</v>
      </c>
      <c r="T1291" s="1">
        <v>0</v>
      </c>
      <c r="U1291" s="1">
        <v>0</v>
      </c>
      <c r="V1291" s="1" t="s">
        <v>301</v>
      </c>
    </row>
    <row r="1292" spans="1:22">
      <c r="A1292" t="s">
        <v>193</v>
      </c>
      <c r="B1292" t="s">
        <v>57</v>
      </c>
      <c r="C1292" t="s">
        <v>62</v>
      </c>
      <c r="D1292" s="1">
        <v>0</v>
      </c>
      <c r="E1292" s="1">
        <v>0</v>
      </c>
      <c r="F1292" s="1">
        <v>0</v>
      </c>
      <c r="G1292" s="1">
        <v>0</v>
      </c>
      <c r="H1292" s="1">
        <v>0</v>
      </c>
      <c r="I1292" s="1">
        <v>0</v>
      </c>
      <c r="J1292" s="1">
        <v>0</v>
      </c>
      <c r="K1292" s="1">
        <v>0</v>
      </c>
      <c r="L1292" s="1">
        <v>0</v>
      </c>
      <c r="M1292" s="1">
        <v>0</v>
      </c>
      <c r="N1292" s="1">
        <v>0</v>
      </c>
      <c r="O1292" s="1">
        <v>0</v>
      </c>
      <c r="P1292" s="1">
        <v>0</v>
      </c>
      <c r="Q1292" s="1">
        <v>0</v>
      </c>
      <c r="R1292" s="1">
        <v>0</v>
      </c>
      <c r="S1292" s="1">
        <v>0</v>
      </c>
      <c r="T1292" s="1">
        <v>0</v>
      </c>
      <c r="U1292" s="1">
        <v>0</v>
      </c>
      <c r="V1292" s="1" t="s">
        <v>301</v>
      </c>
    </row>
    <row r="1293" spans="1:22">
      <c r="A1293" t="s">
        <v>193</v>
      </c>
      <c r="B1293" t="s">
        <v>57</v>
      </c>
      <c r="C1293" t="s">
        <v>63</v>
      </c>
      <c r="D1293" s="1">
        <v>0</v>
      </c>
      <c r="E1293" s="1">
        <v>0</v>
      </c>
      <c r="F1293" s="1">
        <v>0</v>
      </c>
      <c r="G1293" s="1">
        <v>0</v>
      </c>
      <c r="H1293" s="1">
        <v>0</v>
      </c>
      <c r="I1293" s="1">
        <v>0</v>
      </c>
      <c r="J1293" s="1">
        <v>0</v>
      </c>
      <c r="K1293" s="1">
        <v>0</v>
      </c>
      <c r="L1293" s="1">
        <v>0</v>
      </c>
      <c r="M1293" s="1">
        <v>0</v>
      </c>
      <c r="N1293" s="1">
        <v>0</v>
      </c>
      <c r="O1293" s="1">
        <v>0</v>
      </c>
      <c r="P1293" s="1">
        <v>0</v>
      </c>
      <c r="Q1293" s="1">
        <v>0</v>
      </c>
      <c r="R1293" s="1">
        <v>0</v>
      </c>
      <c r="S1293" s="1">
        <v>0</v>
      </c>
      <c r="T1293" s="1">
        <v>0</v>
      </c>
      <c r="U1293" s="1">
        <v>0</v>
      </c>
      <c r="V1293" s="1" t="s">
        <v>301</v>
      </c>
    </row>
    <row r="1294" spans="1:22">
      <c r="A1294" t="s">
        <v>193</v>
      </c>
      <c r="B1294" t="s">
        <v>57</v>
      </c>
      <c r="C1294" t="s">
        <v>64</v>
      </c>
      <c r="D1294" s="1">
        <v>0</v>
      </c>
      <c r="E1294" s="1">
        <v>0</v>
      </c>
      <c r="F1294" s="1">
        <v>0</v>
      </c>
      <c r="G1294" s="1">
        <v>0</v>
      </c>
      <c r="H1294" s="1">
        <v>0</v>
      </c>
      <c r="I1294" s="1">
        <v>0</v>
      </c>
      <c r="J1294" s="1">
        <v>0</v>
      </c>
      <c r="K1294" s="1">
        <v>0</v>
      </c>
      <c r="L1294" s="1">
        <v>0</v>
      </c>
      <c r="M1294" s="1">
        <v>0</v>
      </c>
      <c r="N1294" s="1">
        <v>0</v>
      </c>
      <c r="O1294" s="1">
        <v>0</v>
      </c>
      <c r="P1294" s="1">
        <v>0</v>
      </c>
      <c r="Q1294" s="1">
        <v>0</v>
      </c>
      <c r="R1294" s="1">
        <v>0</v>
      </c>
      <c r="S1294" s="1">
        <v>0</v>
      </c>
      <c r="T1294" s="1">
        <v>0</v>
      </c>
      <c r="U1294" s="1">
        <v>0</v>
      </c>
      <c r="V1294" s="1" t="s">
        <v>301</v>
      </c>
    </row>
    <row r="1295" spans="1:22">
      <c r="A1295" t="s">
        <v>193</v>
      </c>
      <c r="B1295" t="s">
        <v>57</v>
      </c>
      <c r="C1295" t="s">
        <v>65</v>
      </c>
      <c r="D1295" s="1">
        <v>0</v>
      </c>
      <c r="E1295" s="1">
        <v>0</v>
      </c>
      <c r="F1295" s="1">
        <v>0</v>
      </c>
      <c r="G1295" s="1">
        <v>0</v>
      </c>
      <c r="H1295" s="1">
        <v>0</v>
      </c>
      <c r="I1295" s="1">
        <v>0</v>
      </c>
      <c r="J1295" s="1">
        <v>0</v>
      </c>
      <c r="K1295" s="1">
        <v>0</v>
      </c>
      <c r="L1295" s="1">
        <v>0</v>
      </c>
      <c r="M1295" s="1">
        <v>0</v>
      </c>
      <c r="N1295" s="1">
        <v>0</v>
      </c>
      <c r="O1295" s="1">
        <v>0</v>
      </c>
      <c r="P1295" s="1">
        <v>0</v>
      </c>
      <c r="Q1295" s="1">
        <v>0</v>
      </c>
      <c r="R1295" s="1">
        <v>0</v>
      </c>
      <c r="S1295" s="1">
        <v>0</v>
      </c>
      <c r="T1295" s="1">
        <v>0</v>
      </c>
      <c r="U1295" s="1">
        <v>0</v>
      </c>
      <c r="V1295" s="1" t="s">
        <v>301</v>
      </c>
    </row>
    <row r="1296" spans="1:22">
      <c r="A1296" t="s">
        <v>194</v>
      </c>
      <c r="B1296" t="s">
        <v>57</v>
      </c>
      <c r="C1296" t="s">
        <v>58</v>
      </c>
      <c r="D1296" s="1">
        <v>0</v>
      </c>
      <c r="E1296" s="1">
        <v>0</v>
      </c>
      <c r="F1296" s="1">
        <v>0</v>
      </c>
      <c r="G1296" s="1">
        <v>0</v>
      </c>
      <c r="H1296" s="1">
        <v>0</v>
      </c>
      <c r="I1296" s="1">
        <v>0</v>
      </c>
      <c r="J1296" s="1">
        <v>0</v>
      </c>
      <c r="K1296" s="1">
        <v>0</v>
      </c>
      <c r="L1296" s="1">
        <v>0</v>
      </c>
      <c r="M1296" s="1">
        <v>0</v>
      </c>
      <c r="N1296" s="1">
        <v>0</v>
      </c>
      <c r="O1296" s="1">
        <v>0</v>
      </c>
      <c r="P1296" s="1">
        <v>0</v>
      </c>
      <c r="Q1296" s="1">
        <v>0</v>
      </c>
      <c r="R1296" s="1">
        <v>0</v>
      </c>
      <c r="S1296" s="1">
        <v>0</v>
      </c>
      <c r="T1296" s="1">
        <v>0</v>
      </c>
      <c r="U1296" s="1">
        <v>1</v>
      </c>
      <c r="V1296" s="1" t="s">
        <v>301</v>
      </c>
    </row>
    <row r="1297" spans="1:22">
      <c r="A1297" t="s">
        <v>194</v>
      </c>
      <c r="B1297" t="s">
        <v>57</v>
      </c>
      <c r="C1297" t="s">
        <v>59</v>
      </c>
      <c r="D1297" s="1">
        <v>0</v>
      </c>
      <c r="E1297" s="1">
        <v>0</v>
      </c>
      <c r="F1297" s="1">
        <v>0</v>
      </c>
      <c r="G1297" s="1">
        <v>0</v>
      </c>
      <c r="H1297" s="1">
        <v>0</v>
      </c>
      <c r="I1297" s="1">
        <v>0</v>
      </c>
      <c r="J1297" s="1">
        <v>0</v>
      </c>
      <c r="K1297" s="1">
        <v>0</v>
      </c>
      <c r="L1297" s="1">
        <v>0</v>
      </c>
      <c r="M1297" s="1">
        <v>0</v>
      </c>
      <c r="N1297" s="1">
        <v>0</v>
      </c>
      <c r="O1297" s="1">
        <v>0</v>
      </c>
      <c r="P1297" s="1">
        <v>0</v>
      </c>
      <c r="Q1297" s="1">
        <v>0</v>
      </c>
      <c r="R1297" s="1">
        <v>0</v>
      </c>
      <c r="S1297" s="1">
        <v>0</v>
      </c>
      <c r="T1297" s="1">
        <v>0</v>
      </c>
      <c r="U1297" s="1">
        <v>0</v>
      </c>
      <c r="V1297" s="1" t="s">
        <v>301</v>
      </c>
    </row>
    <row r="1298" spans="1:22">
      <c r="A1298" t="s">
        <v>194</v>
      </c>
      <c r="B1298" t="s">
        <v>57</v>
      </c>
      <c r="C1298" t="s">
        <v>60</v>
      </c>
      <c r="D1298" s="1">
        <v>0</v>
      </c>
      <c r="E1298" s="1">
        <v>0</v>
      </c>
      <c r="F1298" s="1">
        <v>0</v>
      </c>
      <c r="G1298" s="1">
        <v>0</v>
      </c>
      <c r="H1298" s="1">
        <v>0</v>
      </c>
      <c r="I1298" s="1">
        <v>0</v>
      </c>
      <c r="J1298" s="1">
        <v>0</v>
      </c>
      <c r="K1298" s="1">
        <v>0</v>
      </c>
      <c r="L1298" s="1">
        <v>0</v>
      </c>
      <c r="M1298" s="1">
        <v>0</v>
      </c>
      <c r="N1298" s="1">
        <v>0</v>
      </c>
      <c r="O1298" s="1">
        <v>0</v>
      </c>
      <c r="P1298" s="1">
        <v>0</v>
      </c>
      <c r="Q1298" s="1">
        <v>0</v>
      </c>
      <c r="R1298" s="1">
        <v>0</v>
      </c>
      <c r="S1298" s="1">
        <v>0</v>
      </c>
      <c r="T1298" s="1">
        <v>0</v>
      </c>
      <c r="U1298" s="1">
        <v>0</v>
      </c>
      <c r="V1298" s="1" t="s">
        <v>301</v>
      </c>
    </row>
    <row r="1299" spans="1:22">
      <c r="A1299" t="s">
        <v>194</v>
      </c>
      <c r="B1299" t="s">
        <v>57</v>
      </c>
      <c r="C1299" t="s">
        <v>61</v>
      </c>
      <c r="D1299" s="1">
        <v>0</v>
      </c>
      <c r="E1299" s="1">
        <v>0</v>
      </c>
      <c r="F1299" s="1">
        <v>0</v>
      </c>
      <c r="G1299" s="1">
        <v>0</v>
      </c>
      <c r="H1299" s="1">
        <v>0</v>
      </c>
      <c r="I1299" s="1">
        <v>0</v>
      </c>
      <c r="J1299" s="1">
        <v>0</v>
      </c>
      <c r="K1299" s="1">
        <v>0</v>
      </c>
      <c r="L1299" s="1">
        <v>0</v>
      </c>
      <c r="M1299" s="1">
        <v>0</v>
      </c>
      <c r="N1299" s="1">
        <v>0</v>
      </c>
      <c r="O1299" s="1">
        <v>0</v>
      </c>
      <c r="P1299" s="1">
        <v>0</v>
      </c>
      <c r="Q1299" s="1">
        <v>0</v>
      </c>
      <c r="R1299" s="1">
        <v>0</v>
      </c>
      <c r="S1299" s="1">
        <v>0</v>
      </c>
      <c r="T1299" s="1">
        <v>0</v>
      </c>
      <c r="U1299" s="1">
        <v>0</v>
      </c>
      <c r="V1299" s="1" t="s">
        <v>301</v>
      </c>
    </row>
    <row r="1300" spans="1:22">
      <c r="A1300" t="s">
        <v>194</v>
      </c>
      <c r="B1300" t="s">
        <v>57</v>
      </c>
      <c r="C1300" t="s">
        <v>62</v>
      </c>
      <c r="D1300" s="1">
        <v>0</v>
      </c>
      <c r="E1300" s="1">
        <v>0</v>
      </c>
      <c r="F1300" s="1">
        <v>0</v>
      </c>
      <c r="G1300" s="1">
        <v>0</v>
      </c>
      <c r="H1300" s="1">
        <v>0</v>
      </c>
      <c r="I1300" s="1">
        <v>0</v>
      </c>
      <c r="J1300" s="1">
        <v>0</v>
      </c>
      <c r="K1300" s="1">
        <v>0</v>
      </c>
      <c r="L1300" s="1">
        <v>0</v>
      </c>
      <c r="M1300" s="1">
        <v>0</v>
      </c>
      <c r="N1300" s="1">
        <v>0</v>
      </c>
      <c r="O1300" s="1">
        <v>0</v>
      </c>
      <c r="P1300" s="1">
        <v>0</v>
      </c>
      <c r="Q1300" s="1">
        <v>0</v>
      </c>
      <c r="R1300" s="1">
        <v>0</v>
      </c>
      <c r="S1300" s="1">
        <v>0</v>
      </c>
      <c r="T1300" s="1">
        <v>0</v>
      </c>
      <c r="U1300" s="1">
        <v>0</v>
      </c>
      <c r="V1300" s="1" t="s">
        <v>301</v>
      </c>
    </row>
    <row r="1301" spans="1:22">
      <c r="A1301" t="s">
        <v>194</v>
      </c>
      <c r="B1301" t="s">
        <v>57</v>
      </c>
      <c r="C1301" t="s">
        <v>63</v>
      </c>
      <c r="D1301" s="1">
        <v>0</v>
      </c>
      <c r="E1301" s="1">
        <v>0</v>
      </c>
      <c r="F1301" s="1">
        <v>0</v>
      </c>
      <c r="G1301" s="1">
        <v>0</v>
      </c>
      <c r="H1301" s="1">
        <v>0</v>
      </c>
      <c r="I1301" s="1">
        <v>0</v>
      </c>
      <c r="J1301" s="1">
        <v>0</v>
      </c>
      <c r="K1301" s="1">
        <v>0</v>
      </c>
      <c r="L1301" s="1">
        <v>0</v>
      </c>
      <c r="M1301" s="1">
        <v>0</v>
      </c>
      <c r="N1301" s="1">
        <v>0</v>
      </c>
      <c r="O1301" s="1">
        <v>0</v>
      </c>
      <c r="P1301" s="1">
        <v>0</v>
      </c>
      <c r="Q1301" s="1">
        <v>0</v>
      </c>
      <c r="R1301" s="1">
        <v>0</v>
      </c>
      <c r="S1301" s="1">
        <v>0</v>
      </c>
      <c r="T1301" s="1">
        <v>0</v>
      </c>
      <c r="U1301" s="1">
        <v>0</v>
      </c>
      <c r="V1301" s="1" t="s">
        <v>301</v>
      </c>
    </row>
    <row r="1302" spans="1:22">
      <c r="A1302" t="s">
        <v>194</v>
      </c>
      <c r="B1302" t="s">
        <v>57</v>
      </c>
      <c r="C1302" t="s">
        <v>64</v>
      </c>
      <c r="D1302" s="1">
        <v>0</v>
      </c>
      <c r="E1302" s="1">
        <v>0</v>
      </c>
      <c r="F1302" s="1">
        <v>0</v>
      </c>
      <c r="G1302" s="1">
        <v>0</v>
      </c>
      <c r="H1302" s="1">
        <v>0</v>
      </c>
      <c r="I1302" s="1">
        <v>0</v>
      </c>
      <c r="J1302" s="1">
        <v>0</v>
      </c>
      <c r="K1302" s="1">
        <v>0</v>
      </c>
      <c r="L1302" s="1">
        <v>0</v>
      </c>
      <c r="M1302" s="1">
        <v>0</v>
      </c>
      <c r="N1302" s="1">
        <v>0</v>
      </c>
      <c r="O1302" s="1">
        <v>0</v>
      </c>
      <c r="P1302" s="1">
        <v>0</v>
      </c>
      <c r="Q1302" s="1">
        <v>0</v>
      </c>
      <c r="R1302" s="1">
        <v>0</v>
      </c>
      <c r="S1302" s="1">
        <v>0</v>
      </c>
      <c r="T1302" s="1">
        <v>0</v>
      </c>
      <c r="U1302" s="1">
        <v>0</v>
      </c>
      <c r="V1302" s="1" t="s">
        <v>301</v>
      </c>
    </row>
    <row r="1303" spans="1:22">
      <c r="A1303" t="s">
        <v>194</v>
      </c>
      <c r="B1303" t="s">
        <v>57</v>
      </c>
      <c r="C1303" t="s">
        <v>65</v>
      </c>
      <c r="D1303" s="1">
        <v>0</v>
      </c>
      <c r="E1303" s="1">
        <v>0</v>
      </c>
      <c r="F1303" s="1">
        <v>0</v>
      </c>
      <c r="G1303" s="1">
        <v>0</v>
      </c>
      <c r="H1303" s="1">
        <v>0</v>
      </c>
      <c r="I1303" s="1">
        <v>0</v>
      </c>
      <c r="J1303" s="1">
        <v>0</v>
      </c>
      <c r="K1303" s="1">
        <v>0</v>
      </c>
      <c r="L1303" s="1">
        <v>0</v>
      </c>
      <c r="M1303" s="1">
        <v>0</v>
      </c>
      <c r="N1303" s="1">
        <v>0</v>
      </c>
      <c r="O1303" s="1">
        <v>0</v>
      </c>
      <c r="P1303" s="1">
        <v>0</v>
      </c>
      <c r="Q1303" s="1">
        <v>0</v>
      </c>
      <c r="R1303" s="1">
        <v>0</v>
      </c>
      <c r="S1303" s="1">
        <v>0</v>
      </c>
      <c r="T1303" s="1">
        <v>0</v>
      </c>
      <c r="U1303" s="1">
        <v>0</v>
      </c>
      <c r="V1303" s="1" t="s">
        <v>301</v>
      </c>
    </row>
    <row r="1304" spans="1:22">
      <c r="A1304" t="s">
        <v>195</v>
      </c>
      <c r="B1304" t="s">
        <v>57</v>
      </c>
      <c r="C1304" t="s">
        <v>58</v>
      </c>
      <c r="D1304" s="1">
        <v>0</v>
      </c>
      <c r="E1304" s="1">
        <v>0</v>
      </c>
      <c r="F1304" s="1">
        <v>0</v>
      </c>
      <c r="G1304" s="1">
        <v>0</v>
      </c>
      <c r="H1304" s="1">
        <v>0</v>
      </c>
      <c r="I1304" s="1">
        <v>0</v>
      </c>
      <c r="J1304" s="1">
        <v>0</v>
      </c>
      <c r="K1304" s="1">
        <v>0</v>
      </c>
      <c r="L1304" s="1">
        <v>0</v>
      </c>
      <c r="M1304" s="1">
        <v>0</v>
      </c>
      <c r="N1304" s="1">
        <v>0</v>
      </c>
      <c r="O1304" s="1">
        <v>0</v>
      </c>
      <c r="P1304" s="1">
        <v>0</v>
      </c>
      <c r="Q1304" s="1">
        <v>0</v>
      </c>
      <c r="R1304" s="1">
        <v>0</v>
      </c>
      <c r="S1304" s="1">
        <v>0</v>
      </c>
      <c r="T1304" s="1">
        <v>0</v>
      </c>
      <c r="U1304" s="1">
        <v>1</v>
      </c>
      <c r="V1304" s="1" t="s">
        <v>301</v>
      </c>
    </row>
    <row r="1305" spans="1:22">
      <c r="A1305" t="s">
        <v>195</v>
      </c>
      <c r="B1305" t="s">
        <v>57</v>
      </c>
      <c r="C1305" t="s">
        <v>59</v>
      </c>
      <c r="D1305" s="1">
        <v>0</v>
      </c>
      <c r="E1305" s="1">
        <v>0</v>
      </c>
      <c r="F1305" s="1">
        <v>0</v>
      </c>
      <c r="G1305" s="1">
        <v>0</v>
      </c>
      <c r="H1305" s="1">
        <v>0</v>
      </c>
      <c r="I1305" s="1">
        <v>0</v>
      </c>
      <c r="J1305" s="1">
        <v>0</v>
      </c>
      <c r="K1305" s="1">
        <v>0</v>
      </c>
      <c r="L1305" s="1">
        <v>0</v>
      </c>
      <c r="M1305" s="1">
        <v>0</v>
      </c>
      <c r="N1305" s="1">
        <v>0</v>
      </c>
      <c r="O1305" s="1">
        <v>0</v>
      </c>
      <c r="P1305" s="1">
        <v>0</v>
      </c>
      <c r="Q1305" s="1">
        <v>0</v>
      </c>
      <c r="R1305" s="1">
        <v>0</v>
      </c>
      <c r="S1305" s="1">
        <v>0</v>
      </c>
      <c r="T1305" s="1">
        <v>0</v>
      </c>
      <c r="U1305" s="1">
        <v>0</v>
      </c>
      <c r="V1305" s="1" t="s">
        <v>301</v>
      </c>
    </row>
    <row r="1306" spans="1:22">
      <c r="A1306" t="s">
        <v>195</v>
      </c>
      <c r="B1306" t="s">
        <v>57</v>
      </c>
      <c r="C1306" t="s">
        <v>60</v>
      </c>
      <c r="D1306" s="1">
        <v>0</v>
      </c>
      <c r="E1306" s="1">
        <v>0</v>
      </c>
      <c r="F1306" s="1">
        <v>0</v>
      </c>
      <c r="G1306" s="1">
        <v>0</v>
      </c>
      <c r="H1306" s="1">
        <v>0</v>
      </c>
      <c r="I1306" s="1">
        <v>0</v>
      </c>
      <c r="J1306" s="1">
        <v>0</v>
      </c>
      <c r="K1306" s="1">
        <v>0</v>
      </c>
      <c r="L1306" s="1">
        <v>0</v>
      </c>
      <c r="M1306" s="1">
        <v>0</v>
      </c>
      <c r="N1306" s="1">
        <v>0</v>
      </c>
      <c r="O1306" s="1">
        <v>0</v>
      </c>
      <c r="P1306" s="1">
        <v>0</v>
      </c>
      <c r="Q1306" s="1">
        <v>0</v>
      </c>
      <c r="R1306" s="1">
        <v>0</v>
      </c>
      <c r="S1306" s="1">
        <v>0</v>
      </c>
      <c r="T1306" s="1">
        <v>0</v>
      </c>
      <c r="U1306" s="1">
        <v>0</v>
      </c>
      <c r="V1306" s="1" t="s">
        <v>301</v>
      </c>
    </row>
    <row r="1307" spans="1:22">
      <c r="A1307" t="s">
        <v>195</v>
      </c>
      <c r="B1307" t="s">
        <v>57</v>
      </c>
      <c r="C1307" t="s">
        <v>61</v>
      </c>
      <c r="D1307" s="1">
        <v>0</v>
      </c>
      <c r="E1307" s="1">
        <v>0</v>
      </c>
      <c r="F1307" s="1">
        <v>0</v>
      </c>
      <c r="G1307" s="1">
        <v>0</v>
      </c>
      <c r="H1307" s="1">
        <v>0</v>
      </c>
      <c r="I1307" s="1">
        <v>0</v>
      </c>
      <c r="J1307" s="1">
        <v>0</v>
      </c>
      <c r="K1307" s="1">
        <v>0</v>
      </c>
      <c r="L1307" s="1">
        <v>0</v>
      </c>
      <c r="M1307" s="1">
        <v>0</v>
      </c>
      <c r="N1307" s="1">
        <v>0</v>
      </c>
      <c r="O1307" s="1">
        <v>0</v>
      </c>
      <c r="P1307" s="1">
        <v>0</v>
      </c>
      <c r="Q1307" s="1">
        <v>0</v>
      </c>
      <c r="R1307" s="1">
        <v>0</v>
      </c>
      <c r="S1307" s="1">
        <v>0</v>
      </c>
      <c r="T1307" s="1">
        <v>0</v>
      </c>
      <c r="U1307" s="1">
        <v>0</v>
      </c>
      <c r="V1307" s="1" t="s">
        <v>301</v>
      </c>
    </row>
    <row r="1308" spans="1:22">
      <c r="A1308" t="s">
        <v>195</v>
      </c>
      <c r="B1308" t="s">
        <v>57</v>
      </c>
      <c r="C1308" t="s">
        <v>62</v>
      </c>
      <c r="D1308" s="1">
        <v>0</v>
      </c>
      <c r="E1308" s="1">
        <v>0</v>
      </c>
      <c r="F1308" s="1">
        <v>0</v>
      </c>
      <c r="G1308" s="1">
        <v>0</v>
      </c>
      <c r="H1308" s="1">
        <v>0</v>
      </c>
      <c r="I1308" s="1">
        <v>0</v>
      </c>
      <c r="J1308" s="1">
        <v>0</v>
      </c>
      <c r="K1308" s="1">
        <v>0</v>
      </c>
      <c r="L1308" s="1">
        <v>0</v>
      </c>
      <c r="M1308" s="1">
        <v>0</v>
      </c>
      <c r="N1308" s="1">
        <v>0</v>
      </c>
      <c r="O1308" s="1">
        <v>0</v>
      </c>
      <c r="P1308" s="1">
        <v>0</v>
      </c>
      <c r="Q1308" s="1">
        <v>0</v>
      </c>
      <c r="R1308" s="1">
        <v>0</v>
      </c>
      <c r="S1308" s="1">
        <v>0</v>
      </c>
      <c r="T1308" s="1">
        <v>0</v>
      </c>
      <c r="U1308" s="1">
        <v>0</v>
      </c>
      <c r="V1308" s="1" t="s">
        <v>301</v>
      </c>
    </row>
    <row r="1309" spans="1:22">
      <c r="A1309" t="s">
        <v>195</v>
      </c>
      <c r="B1309" t="s">
        <v>57</v>
      </c>
      <c r="C1309" t="s">
        <v>63</v>
      </c>
      <c r="D1309" s="1">
        <v>0</v>
      </c>
      <c r="E1309" s="1">
        <v>0</v>
      </c>
      <c r="F1309" s="1">
        <v>0</v>
      </c>
      <c r="G1309" s="1">
        <v>0</v>
      </c>
      <c r="H1309" s="1">
        <v>0</v>
      </c>
      <c r="I1309" s="1">
        <v>0</v>
      </c>
      <c r="J1309" s="1">
        <v>0</v>
      </c>
      <c r="K1309" s="1">
        <v>0</v>
      </c>
      <c r="L1309" s="1">
        <v>0</v>
      </c>
      <c r="M1309" s="1">
        <v>0</v>
      </c>
      <c r="N1309" s="1">
        <v>0</v>
      </c>
      <c r="O1309" s="1">
        <v>0</v>
      </c>
      <c r="P1309" s="1">
        <v>0</v>
      </c>
      <c r="Q1309" s="1">
        <v>0</v>
      </c>
      <c r="R1309" s="1">
        <v>0</v>
      </c>
      <c r="S1309" s="1">
        <v>0</v>
      </c>
      <c r="T1309" s="1">
        <v>0</v>
      </c>
      <c r="U1309" s="1">
        <v>0</v>
      </c>
      <c r="V1309" s="1" t="s">
        <v>301</v>
      </c>
    </row>
    <row r="1310" spans="1:22">
      <c r="A1310" t="s">
        <v>195</v>
      </c>
      <c r="B1310" t="s">
        <v>57</v>
      </c>
      <c r="C1310" t="s">
        <v>64</v>
      </c>
      <c r="D1310" s="1">
        <v>0</v>
      </c>
      <c r="E1310" s="1">
        <v>0</v>
      </c>
      <c r="F1310" s="1">
        <v>0</v>
      </c>
      <c r="G1310" s="1">
        <v>0</v>
      </c>
      <c r="H1310" s="1">
        <v>0</v>
      </c>
      <c r="I1310" s="1">
        <v>0</v>
      </c>
      <c r="J1310" s="1">
        <v>0</v>
      </c>
      <c r="K1310" s="1">
        <v>0</v>
      </c>
      <c r="L1310" s="1">
        <v>0</v>
      </c>
      <c r="M1310" s="1">
        <v>0</v>
      </c>
      <c r="N1310" s="1">
        <v>0</v>
      </c>
      <c r="O1310" s="1">
        <v>0</v>
      </c>
      <c r="P1310" s="1">
        <v>0</v>
      </c>
      <c r="Q1310" s="1">
        <v>0</v>
      </c>
      <c r="R1310" s="1">
        <v>0</v>
      </c>
      <c r="S1310" s="1">
        <v>0</v>
      </c>
      <c r="T1310" s="1">
        <v>0</v>
      </c>
      <c r="U1310" s="1">
        <v>0</v>
      </c>
      <c r="V1310" s="1" t="s">
        <v>301</v>
      </c>
    </row>
    <row r="1311" spans="1:22">
      <c r="A1311" t="s">
        <v>195</v>
      </c>
      <c r="B1311" t="s">
        <v>57</v>
      </c>
      <c r="C1311" t="s">
        <v>65</v>
      </c>
      <c r="D1311" s="1">
        <v>0</v>
      </c>
      <c r="E1311" s="1">
        <v>0</v>
      </c>
      <c r="F1311" s="1">
        <v>0</v>
      </c>
      <c r="G1311" s="1">
        <v>0</v>
      </c>
      <c r="H1311" s="1">
        <v>0</v>
      </c>
      <c r="I1311" s="1">
        <v>0</v>
      </c>
      <c r="J1311" s="1">
        <v>0</v>
      </c>
      <c r="K1311" s="1">
        <v>0</v>
      </c>
      <c r="L1311" s="1">
        <v>0</v>
      </c>
      <c r="M1311" s="1">
        <v>0</v>
      </c>
      <c r="N1311" s="1">
        <v>0</v>
      </c>
      <c r="O1311" s="1">
        <v>0</v>
      </c>
      <c r="P1311" s="1">
        <v>0</v>
      </c>
      <c r="Q1311" s="1">
        <v>0</v>
      </c>
      <c r="R1311" s="1">
        <v>0</v>
      </c>
      <c r="S1311" s="1">
        <v>0</v>
      </c>
      <c r="T1311" s="1">
        <v>0</v>
      </c>
      <c r="U1311" s="1">
        <v>0</v>
      </c>
      <c r="V1311" s="1" t="s">
        <v>301</v>
      </c>
    </row>
    <row r="1312" spans="1:22">
      <c r="A1312" t="s">
        <v>196</v>
      </c>
      <c r="B1312" t="s">
        <v>57</v>
      </c>
      <c r="C1312" t="s">
        <v>58</v>
      </c>
      <c r="D1312" s="1">
        <v>0</v>
      </c>
      <c r="E1312" s="1">
        <v>0</v>
      </c>
      <c r="F1312" s="1">
        <v>0</v>
      </c>
      <c r="G1312" s="1">
        <v>0</v>
      </c>
      <c r="H1312" s="1">
        <v>0</v>
      </c>
      <c r="I1312" s="1">
        <v>0</v>
      </c>
      <c r="J1312" s="1">
        <v>0</v>
      </c>
      <c r="K1312" s="1">
        <v>0</v>
      </c>
      <c r="L1312" s="1">
        <v>0</v>
      </c>
      <c r="M1312" s="1">
        <v>0</v>
      </c>
      <c r="N1312" s="1">
        <v>0</v>
      </c>
      <c r="O1312" s="1">
        <v>0</v>
      </c>
      <c r="P1312" s="1">
        <v>0</v>
      </c>
      <c r="Q1312" s="1">
        <v>0</v>
      </c>
      <c r="R1312" s="1">
        <v>0</v>
      </c>
      <c r="S1312" s="1">
        <v>0</v>
      </c>
      <c r="T1312" s="1">
        <v>0</v>
      </c>
      <c r="U1312" s="1">
        <v>1</v>
      </c>
      <c r="V1312" s="1" t="s">
        <v>301</v>
      </c>
    </row>
    <row r="1313" spans="1:22">
      <c r="A1313" t="s">
        <v>196</v>
      </c>
      <c r="B1313" t="s">
        <v>57</v>
      </c>
      <c r="C1313" t="s">
        <v>59</v>
      </c>
      <c r="D1313" s="1">
        <v>0</v>
      </c>
      <c r="E1313" s="1">
        <v>0</v>
      </c>
      <c r="F1313" s="1">
        <v>0</v>
      </c>
      <c r="G1313" s="1">
        <v>0</v>
      </c>
      <c r="H1313" s="1">
        <v>0</v>
      </c>
      <c r="I1313" s="1">
        <v>0</v>
      </c>
      <c r="J1313" s="1">
        <v>0</v>
      </c>
      <c r="K1313" s="1">
        <v>0</v>
      </c>
      <c r="L1313" s="1">
        <v>0</v>
      </c>
      <c r="M1313" s="1">
        <v>0</v>
      </c>
      <c r="N1313" s="1">
        <v>0</v>
      </c>
      <c r="O1313" s="1">
        <v>0</v>
      </c>
      <c r="P1313" s="1">
        <v>0</v>
      </c>
      <c r="Q1313" s="1">
        <v>0</v>
      </c>
      <c r="R1313" s="1">
        <v>0</v>
      </c>
      <c r="S1313" s="1">
        <v>0</v>
      </c>
      <c r="T1313" s="1">
        <v>0</v>
      </c>
      <c r="U1313" s="1">
        <v>0</v>
      </c>
      <c r="V1313" s="1" t="s">
        <v>301</v>
      </c>
    </row>
    <row r="1314" spans="1:22">
      <c r="A1314" t="s">
        <v>196</v>
      </c>
      <c r="B1314" t="s">
        <v>57</v>
      </c>
      <c r="C1314" t="s">
        <v>60</v>
      </c>
      <c r="D1314" s="1">
        <v>0</v>
      </c>
      <c r="E1314" s="1">
        <v>0</v>
      </c>
      <c r="F1314" s="1">
        <v>0</v>
      </c>
      <c r="G1314" s="1">
        <v>0</v>
      </c>
      <c r="H1314" s="1">
        <v>0</v>
      </c>
      <c r="I1314" s="1">
        <v>0</v>
      </c>
      <c r="J1314" s="1">
        <v>0</v>
      </c>
      <c r="K1314" s="1">
        <v>0</v>
      </c>
      <c r="L1314" s="1">
        <v>0</v>
      </c>
      <c r="M1314" s="1">
        <v>0</v>
      </c>
      <c r="N1314" s="1">
        <v>0</v>
      </c>
      <c r="O1314" s="1">
        <v>0</v>
      </c>
      <c r="P1314" s="1">
        <v>0</v>
      </c>
      <c r="Q1314" s="1">
        <v>0</v>
      </c>
      <c r="R1314" s="1">
        <v>0</v>
      </c>
      <c r="S1314" s="1">
        <v>0</v>
      </c>
      <c r="T1314" s="1">
        <v>0</v>
      </c>
      <c r="U1314" s="1">
        <v>0</v>
      </c>
      <c r="V1314" s="1" t="s">
        <v>301</v>
      </c>
    </row>
    <row r="1315" spans="1:22">
      <c r="A1315" t="s">
        <v>196</v>
      </c>
      <c r="B1315" t="s">
        <v>57</v>
      </c>
      <c r="C1315" t="s">
        <v>61</v>
      </c>
      <c r="D1315" s="1">
        <v>0</v>
      </c>
      <c r="E1315" s="1">
        <v>0</v>
      </c>
      <c r="F1315" s="1">
        <v>0</v>
      </c>
      <c r="G1315" s="1">
        <v>0</v>
      </c>
      <c r="H1315" s="1">
        <v>0</v>
      </c>
      <c r="I1315" s="1">
        <v>0</v>
      </c>
      <c r="J1315" s="1">
        <v>0</v>
      </c>
      <c r="K1315" s="1">
        <v>0</v>
      </c>
      <c r="L1315" s="1">
        <v>0</v>
      </c>
      <c r="M1315" s="1">
        <v>0</v>
      </c>
      <c r="N1315" s="1">
        <v>0</v>
      </c>
      <c r="O1315" s="1">
        <v>0</v>
      </c>
      <c r="P1315" s="1">
        <v>0</v>
      </c>
      <c r="Q1315" s="1">
        <v>0</v>
      </c>
      <c r="R1315" s="1">
        <v>0</v>
      </c>
      <c r="S1315" s="1">
        <v>0</v>
      </c>
      <c r="T1315" s="1">
        <v>0</v>
      </c>
      <c r="U1315" s="1">
        <v>0</v>
      </c>
      <c r="V1315" s="1" t="s">
        <v>301</v>
      </c>
    </row>
    <row r="1316" spans="1:22">
      <c r="A1316" t="s">
        <v>196</v>
      </c>
      <c r="B1316" t="s">
        <v>57</v>
      </c>
      <c r="C1316" t="s">
        <v>62</v>
      </c>
      <c r="D1316" s="1">
        <v>0</v>
      </c>
      <c r="E1316" s="1">
        <v>0</v>
      </c>
      <c r="F1316" s="1">
        <v>0</v>
      </c>
      <c r="G1316" s="1">
        <v>0</v>
      </c>
      <c r="H1316" s="1">
        <v>0</v>
      </c>
      <c r="I1316" s="1">
        <v>0</v>
      </c>
      <c r="J1316" s="1">
        <v>0</v>
      </c>
      <c r="K1316" s="1">
        <v>0</v>
      </c>
      <c r="L1316" s="1">
        <v>0</v>
      </c>
      <c r="M1316" s="1">
        <v>0</v>
      </c>
      <c r="N1316" s="1">
        <v>0</v>
      </c>
      <c r="O1316" s="1">
        <v>0</v>
      </c>
      <c r="P1316" s="1">
        <v>0</v>
      </c>
      <c r="Q1316" s="1">
        <v>0</v>
      </c>
      <c r="R1316" s="1">
        <v>0</v>
      </c>
      <c r="S1316" s="1">
        <v>0</v>
      </c>
      <c r="T1316" s="1">
        <v>0</v>
      </c>
      <c r="U1316" s="1">
        <v>0</v>
      </c>
      <c r="V1316" s="1" t="s">
        <v>301</v>
      </c>
    </row>
    <row r="1317" spans="1:22">
      <c r="A1317" t="s">
        <v>196</v>
      </c>
      <c r="B1317" t="s">
        <v>57</v>
      </c>
      <c r="C1317" t="s">
        <v>63</v>
      </c>
      <c r="D1317" s="1">
        <v>0</v>
      </c>
      <c r="E1317" s="1">
        <v>0</v>
      </c>
      <c r="F1317" s="1">
        <v>0</v>
      </c>
      <c r="G1317" s="1">
        <v>0</v>
      </c>
      <c r="H1317" s="1">
        <v>0</v>
      </c>
      <c r="I1317" s="1">
        <v>0</v>
      </c>
      <c r="J1317" s="1">
        <v>0</v>
      </c>
      <c r="K1317" s="1">
        <v>0</v>
      </c>
      <c r="L1317" s="1">
        <v>0</v>
      </c>
      <c r="M1317" s="1">
        <v>0</v>
      </c>
      <c r="N1317" s="1">
        <v>0</v>
      </c>
      <c r="O1317" s="1">
        <v>0</v>
      </c>
      <c r="P1317" s="1">
        <v>0</v>
      </c>
      <c r="Q1317" s="1">
        <v>0</v>
      </c>
      <c r="R1317" s="1">
        <v>0</v>
      </c>
      <c r="S1317" s="1">
        <v>0</v>
      </c>
      <c r="T1317" s="1">
        <v>0</v>
      </c>
      <c r="U1317" s="1">
        <v>0</v>
      </c>
      <c r="V1317" s="1" t="s">
        <v>301</v>
      </c>
    </row>
    <row r="1318" spans="1:22">
      <c r="A1318" t="s">
        <v>196</v>
      </c>
      <c r="B1318" t="s">
        <v>57</v>
      </c>
      <c r="C1318" t="s">
        <v>64</v>
      </c>
      <c r="D1318" s="1">
        <v>0</v>
      </c>
      <c r="E1318" s="1">
        <v>0</v>
      </c>
      <c r="F1318" s="1">
        <v>0</v>
      </c>
      <c r="G1318" s="1">
        <v>0</v>
      </c>
      <c r="H1318" s="1">
        <v>0</v>
      </c>
      <c r="I1318" s="1">
        <v>0</v>
      </c>
      <c r="J1318" s="1">
        <v>0</v>
      </c>
      <c r="K1318" s="1">
        <v>0</v>
      </c>
      <c r="L1318" s="1">
        <v>0</v>
      </c>
      <c r="M1318" s="1">
        <v>0</v>
      </c>
      <c r="N1318" s="1">
        <v>0</v>
      </c>
      <c r="O1318" s="1">
        <v>0</v>
      </c>
      <c r="P1318" s="1">
        <v>0</v>
      </c>
      <c r="Q1318" s="1">
        <v>0</v>
      </c>
      <c r="R1318" s="1">
        <v>0</v>
      </c>
      <c r="S1318" s="1">
        <v>0</v>
      </c>
      <c r="T1318" s="1">
        <v>0</v>
      </c>
      <c r="U1318" s="1">
        <v>0</v>
      </c>
      <c r="V1318" s="1" t="s">
        <v>301</v>
      </c>
    </row>
    <row r="1319" spans="1:22">
      <c r="A1319" t="s">
        <v>196</v>
      </c>
      <c r="B1319" t="s">
        <v>57</v>
      </c>
      <c r="C1319" t="s">
        <v>65</v>
      </c>
      <c r="D1319" s="1">
        <v>0</v>
      </c>
      <c r="E1319" s="1">
        <v>0</v>
      </c>
      <c r="F1319" s="1">
        <v>0</v>
      </c>
      <c r="G1319" s="1">
        <v>0</v>
      </c>
      <c r="H1319" s="1">
        <v>0</v>
      </c>
      <c r="I1319" s="1">
        <v>0</v>
      </c>
      <c r="J1319" s="1">
        <v>0</v>
      </c>
      <c r="K1319" s="1">
        <v>0</v>
      </c>
      <c r="L1319" s="1">
        <v>0</v>
      </c>
      <c r="M1319" s="1">
        <v>0</v>
      </c>
      <c r="N1319" s="1">
        <v>0</v>
      </c>
      <c r="O1319" s="1">
        <v>0</v>
      </c>
      <c r="P1319" s="1">
        <v>0</v>
      </c>
      <c r="Q1319" s="1">
        <v>0</v>
      </c>
      <c r="R1319" s="1">
        <v>0</v>
      </c>
      <c r="S1319" s="1">
        <v>0</v>
      </c>
      <c r="T1319" s="1">
        <v>0</v>
      </c>
      <c r="U1319" s="1">
        <v>0</v>
      </c>
      <c r="V1319" s="1" t="s">
        <v>301</v>
      </c>
    </row>
    <row r="1320" spans="1:22">
      <c r="A1320" t="s">
        <v>55</v>
      </c>
      <c r="B1320" t="s">
        <v>57</v>
      </c>
      <c r="C1320" t="s">
        <v>58</v>
      </c>
      <c r="D1320" s="1">
        <v>0</v>
      </c>
      <c r="E1320" s="1">
        <v>0</v>
      </c>
      <c r="F1320" s="1">
        <v>0</v>
      </c>
      <c r="G1320" s="1">
        <v>0</v>
      </c>
      <c r="H1320" s="1">
        <v>0</v>
      </c>
      <c r="I1320" s="1">
        <v>0</v>
      </c>
      <c r="J1320" s="1">
        <v>0</v>
      </c>
      <c r="K1320" s="1">
        <v>0</v>
      </c>
      <c r="L1320" s="1">
        <v>0</v>
      </c>
      <c r="M1320" s="1">
        <v>0</v>
      </c>
      <c r="N1320" s="1">
        <v>0</v>
      </c>
      <c r="O1320" s="1">
        <v>0</v>
      </c>
      <c r="P1320" s="1">
        <v>0</v>
      </c>
      <c r="Q1320" s="1">
        <v>0</v>
      </c>
      <c r="R1320" s="1">
        <v>0</v>
      </c>
      <c r="S1320" s="1">
        <v>0</v>
      </c>
      <c r="T1320" s="1">
        <v>0</v>
      </c>
      <c r="U1320" s="1">
        <v>13</v>
      </c>
      <c r="V1320" s="1" t="s">
        <v>301</v>
      </c>
    </row>
    <row r="1321" spans="1:22">
      <c r="A1321" t="s">
        <v>55</v>
      </c>
      <c r="B1321" t="s">
        <v>57</v>
      </c>
      <c r="C1321" t="s">
        <v>59</v>
      </c>
      <c r="D1321" s="1">
        <v>0</v>
      </c>
      <c r="E1321" s="1">
        <v>0</v>
      </c>
      <c r="F1321" s="1">
        <v>0</v>
      </c>
      <c r="G1321" s="1">
        <v>0</v>
      </c>
      <c r="H1321" s="1">
        <v>0</v>
      </c>
      <c r="I1321" s="1">
        <v>0</v>
      </c>
      <c r="J1321" s="1">
        <v>0</v>
      </c>
      <c r="K1321" s="1">
        <v>0</v>
      </c>
      <c r="L1321" s="1">
        <v>0</v>
      </c>
      <c r="M1321" s="1">
        <v>0</v>
      </c>
      <c r="N1321" s="1">
        <v>0</v>
      </c>
      <c r="O1321" s="1">
        <v>0</v>
      </c>
      <c r="P1321" s="1">
        <v>0</v>
      </c>
      <c r="Q1321" s="1">
        <v>0</v>
      </c>
      <c r="R1321" s="1">
        <v>0</v>
      </c>
      <c r="S1321" s="1">
        <v>0</v>
      </c>
      <c r="T1321" s="1">
        <v>0</v>
      </c>
      <c r="U1321" s="1">
        <v>0</v>
      </c>
      <c r="V1321" s="1" t="s">
        <v>301</v>
      </c>
    </row>
    <row r="1322" spans="1:22">
      <c r="A1322" t="s">
        <v>55</v>
      </c>
      <c r="B1322" t="s">
        <v>57</v>
      </c>
      <c r="C1322" t="s">
        <v>60</v>
      </c>
      <c r="D1322" s="1">
        <v>0</v>
      </c>
      <c r="E1322" s="1">
        <v>0</v>
      </c>
      <c r="F1322" s="1">
        <v>0</v>
      </c>
      <c r="G1322" s="1">
        <v>0</v>
      </c>
      <c r="H1322" s="1">
        <v>0</v>
      </c>
      <c r="I1322" s="1">
        <v>0</v>
      </c>
      <c r="J1322" s="1">
        <v>0</v>
      </c>
      <c r="K1322" s="1">
        <v>0</v>
      </c>
      <c r="L1322" s="1">
        <v>0</v>
      </c>
      <c r="M1322" s="1">
        <v>0</v>
      </c>
      <c r="N1322" s="1">
        <v>0</v>
      </c>
      <c r="O1322" s="1">
        <v>0</v>
      </c>
      <c r="P1322" s="1">
        <v>0</v>
      </c>
      <c r="Q1322" s="1">
        <v>0</v>
      </c>
      <c r="R1322" s="1">
        <v>0</v>
      </c>
      <c r="S1322" s="1">
        <v>0</v>
      </c>
      <c r="T1322" s="1">
        <v>0</v>
      </c>
      <c r="U1322" s="1">
        <v>0</v>
      </c>
      <c r="V1322" s="1" t="s">
        <v>301</v>
      </c>
    </row>
    <row r="1323" spans="1:22">
      <c r="A1323" t="s">
        <v>55</v>
      </c>
      <c r="B1323" t="s">
        <v>57</v>
      </c>
      <c r="C1323" t="s">
        <v>61</v>
      </c>
      <c r="D1323" s="1">
        <v>0</v>
      </c>
      <c r="E1323" s="1">
        <v>0</v>
      </c>
      <c r="F1323" s="1">
        <v>0</v>
      </c>
      <c r="G1323" s="1">
        <v>0</v>
      </c>
      <c r="H1323" s="1">
        <v>0</v>
      </c>
      <c r="I1323" s="1">
        <v>0</v>
      </c>
      <c r="J1323" s="1">
        <v>0</v>
      </c>
      <c r="K1323" s="1">
        <v>0</v>
      </c>
      <c r="L1323" s="1">
        <v>0</v>
      </c>
      <c r="M1323" s="1">
        <v>0</v>
      </c>
      <c r="N1323" s="1">
        <v>0</v>
      </c>
      <c r="O1323" s="1">
        <v>0</v>
      </c>
      <c r="P1323" s="1">
        <v>0</v>
      </c>
      <c r="Q1323" s="1">
        <v>0</v>
      </c>
      <c r="R1323" s="1">
        <v>0</v>
      </c>
      <c r="S1323" s="1">
        <v>0</v>
      </c>
      <c r="T1323" s="1">
        <v>0</v>
      </c>
      <c r="U1323" s="1">
        <v>0</v>
      </c>
      <c r="V1323" s="1" t="s">
        <v>301</v>
      </c>
    </row>
    <row r="1324" spans="1:22">
      <c r="A1324" t="s">
        <v>55</v>
      </c>
      <c r="B1324" t="s">
        <v>57</v>
      </c>
      <c r="C1324" t="s">
        <v>62</v>
      </c>
      <c r="D1324" s="1">
        <v>0</v>
      </c>
      <c r="E1324" s="1">
        <v>0</v>
      </c>
      <c r="F1324" s="1">
        <v>0</v>
      </c>
      <c r="G1324" s="1">
        <v>0</v>
      </c>
      <c r="H1324" s="1">
        <v>0</v>
      </c>
      <c r="I1324" s="1">
        <v>0</v>
      </c>
      <c r="J1324" s="1">
        <v>0</v>
      </c>
      <c r="K1324" s="1">
        <v>0</v>
      </c>
      <c r="L1324" s="1">
        <v>0</v>
      </c>
      <c r="M1324" s="1">
        <v>0</v>
      </c>
      <c r="N1324" s="1">
        <v>0</v>
      </c>
      <c r="O1324" s="1">
        <v>0</v>
      </c>
      <c r="P1324" s="1">
        <v>0</v>
      </c>
      <c r="Q1324" s="1">
        <v>0</v>
      </c>
      <c r="R1324" s="1">
        <v>0</v>
      </c>
      <c r="S1324" s="1">
        <v>0</v>
      </c>
      <c r="T1324" s="1">
        <v>0</v>
      </c>
      <c r="U1324" s="1">
        <v>0</v>
      </c>
      <c r="V1324" s="1" t="s">
        <v>301</v>
      </c>
    </row>
    <row r="1325" spans="1:22">
      <c r="A1325" t="s">
        <v>55</v>
      </c>
      <c r="B1325" t="s">
        <v>57</v>
      </c>
      <c r="C1325" t="s">
        <v>63</v>
      </c>
      <c r="D1325" s="1">
        <v>0</v>
      </c>
      <c r="E1325" s="1">
        <v>0</v>
      </c>
      <c r="F1325" s="1">
        <v>0</v>
      </c>
      <c r="G1325" s="1">
        <v>0</v>
      </c>
      <c r="H1325" s="1">
        <v>0</v>
      </c>
      <c r="I1325" s="1">
        <v>0</v>
      </c>
      <c r="J1325" s="1">
        <v>0</v>
      </c>
      <c r="K1325" s="1">
        <v>0</v>
      </c>
      <c r="L1325" s="1">
        <v>0</v>
      </c>
      <c r="M1325" s="1">
        <v>0</v>
      </c>
      <c r="N1325" s="1">
        <v>0</v>
      </c>
      <c r="O1325" s="1">
        <v>0</v>
      </c>
      <c r="P1325" s="1">
        <v>0</v>
      </c>
      <c r="Q1325" s="1">
        <v>0</v>
      </c>
      <c r="R1325" s="1">
        <v>0</v>
      </c>
      <c r="S1325" s="1">
        <v>0</v>
      </c>
      <c r="T1325" s="1">
        <v>0</v>
      </c>
      <c r="U1325" s="1">
        <v>0</v>
      </c>
      <c r="V1325" s="1" t="s">
        <v>301</v>
      </c>
    </row>
    <row r="1326" spans="1:22">
      <c r="A1326" t="s">
        <v>55</v>
      </c>
      <c r="B1326" t="s">
        <v>57</v>
      </c>
      <c r="C1326" t="s">
        <v>64</v>
      </c>
      <c r="D1326" s="1">
        <v>0</v>
      </c>
      <c r="E1326" s="1">
        <v>0</v>
      </c>
      <c r="F1326" s="1">
        <v>0</v>
      </c>
      <c r="G1326" s="1">
        <v>0</v>
      </c>
      <c r="H1326" s="1">
        <v>0</v>
      </c>
      <c r="I1326" s="1">
        <v>0</v>
      </c>
      <c r="J1326" s="1">
        <v>0</v>
      </c>
      <c r="K1326" s="1">
        <v>0</v>
      </c>
      <c r="L1326" s="1">
        <v>0</v>
      </c>
      <c r="M1326" s="1">
        <v>0</v>
      </c>
      <c r="N1326" s="1">
        <v>0</v>
      </c>
      <c r="O1326" s="1">
        <v>0</v>
      </c>
      <c r="P1326" s="1">
        <v>0</v>
      </c>
      <c r="Q1326" s="1">
        <v>0</v>
      </c>
      <c r="R1326" s="1">
        <v>0</v>
      </c>
      <c r="S1326" s="1">
        <v>0</v>
      </c>
      <c r="T1326" s="1">
        <v>0</v>
      </c>
      <c r="U1326" s="1">
        <v>0</v>
      </c>
      <c r="V1326" s="1" t="s">
        <v>301</v>
      </c>
    </row>
    <row r="1327" spans="1:22">
      <c r="A1327" t="s">
        <v>55</v>
      </c>
      <c r="B1327" t="s">
        <v>57</v>
      </c>
      <c r="C1327" t="s">
        <v>65</v>
      </c>
      <c r="D1327" s="1">
        <v>0</v>
      </c>
      <c r="E1327" s="1">
        <v>0</v>
      </c>
      <c r="F1327" s="1">
        <v>0</v>
      </c>
      <c r="G1327" s="1">
        <v>0</v>
      </c>
      <c r="H1327" s="1">
        <v>0</v>
      </c>
      <c r="I1327" s="1">
        <v>0</v>
      </c>
      <c r="J1327" s="1">
        <v>0</v>
      </c>
      <c r="K1327" s="1">
        <v>0</v>
      </c>
      <c r="L1327" s="1">
        <v>0</v>
      </c>
      <c r="M1327" s="1">
        <v>0</v>
      </c>
      <c r="N1327" s="1">
        <v>0</v>
      </c>
      <c r="O1327" s="1">
        <v>0</v>
      </c>
      <c r="P1327" s="1">
        <v>0</v>
      </c>
      <c r="Q1327" s="1">
        <v>0</v>
      </c>
      <c r="R1327" s="1">
        <v>0</v>
      </c>
      <c r="S1327" s="1">
        <v>0</v>
      </c>
      <c r="T1327" s="1">
        <v>0</v>
      </c>
      <c r="U1327" s="1">
        <v>0</v>
      </c>
      <c r="V1327" s="1" t="s">
        <v>301</v>
      </c>
    </row>
    <row r="1328" spans="1:22">
      <c r="D1328" s="1"/>
      <c r="E1328" s="1"/>
      <c r="F1328" s="1"/>
      <c r="G1328" s="1"/>
      <c r="H1328" s="1"/>
      <c r="I1328" s="1"/>
      <c r="J1328" s="1"/>
      <c r="K1328" s="1"/>
      <c r="L1328" s="1"/>
      <c r="M1328" s="1"/>
      <c r="N1328" s="1"/>
      <c r="O1328" s="1"/>
      <c r="P1328" s="1"/>
      <c r="Q1328" s="1"/>
      <c r="R1328" s="1"/>
      <c r="S1328" s="1"/>
      <c r="T1328" s="1"/>
      <c r="U1328" s="1"/>
    </row>
    <row r="1329" spans="1:22">
      <c r="A1329">
        <f>setup!C28</f>
        <v>3823</v>
      </c>
    </row>
    <row r="1330" spans="1:22">
      <c r="A1330" t="str">
        <f>_xlfn.CONCAT(setup!D28," - ",setup!E28)</f>
        <v>OSEP – Specific Learning Disability - Paper - OSEP_SLD_P</v>
      </c>
      <c r="D1330" s="1"/>
      <c r="E1330" s="1"/>
      <c r="F1330" s="1"/>
      <c r="G1330" s="1"/>
      <c r="H1330" s="1"/>
      <c r="I1330" s="1"/>
      <c r="J1330" s="1"/>
      <c r="K1330" s="1"/>
      <c r="L1330" s="1"/>
      <c r="M1330" s="1"/>
      <c r="N1330" s="1"/>
      <c r="O1330" s="1"/>
      <c r="P1330" s="1"/>
      <c r="Q1330" s="1"/>
      <c r="R1330" s="1"/>
      <c r="S1330" s="1"/>
      <c r="T1330" s="1"/>
      <c r="U1330" s="1"/>
    </row>
    <row r="1331" spans="1:22">
      <c r="A1331" t="s">
        <v>35</v>
      </c>
      <c r="B1331" t="s">
        <v>36</v>
      </c>
      <c r="C1331" t="s">
        <v>37</v>
      </c>
      <c r="D1331" s="1" t="s">
        <v>38</v>
      </c>
      <c r="E1331" s="1" t="s">
        <v>39</v>
      </c>
      <c r="F1331" s="1" t="s">
        <v>40</v>
      </c>
      <c r="G1331" s="1" t="s">
        <v>41</v>
      </c>
      <c r="H1331" s="1" t="s">
        <v>42</v>
      </c>
      <c r="I1331" s="1" t="s">
        <v>43</v>
      </c>
      <c r="J1331" s="1" t="s">
        <v>44</v>
      </c>
      <c r="K1331" s="1" t="s">
        <v>45</v>
      </c>
      <c r="L1331" s="1" t="s">
        <v>46</v>
      </c>
      <c r="M1331" s="1" t="s">
        <v>47</v>
      </c>
      <c r="N1331" s="1" t="s">
        <v>48</v>
      </c>
      <c r="O1331" s="1" t="s">
        <v>49</v>
      </c>
      <c r="P1331" s="1" t="s">
        <v>50</v>
      </c>
      <c r="Q1331" s="1" t="s">
        <v>51</v>
      </c>
      <c r="R1331" s="1" t="s">
        <v>52</v>
      </c>
      <c r="S1331" s="1" t="s">
        <v>53</v>
      </c>
      <c r="T1331" t="s">
        <v>54</v>
      </c>
      <c r="U1331" s="1" t="s">
        <v>55</v>
      </c>
      <c r="V1331" t="s">
        <v>56</v>
      </c>
    </row>
    <row r="1332" spans="1:22">
      <c r="A1332" t="s">
        <v>187</v>
      </c>
      <c r="B1332" t="s">
        <v>57</v>
      </c>
      <c r="C1332" t="s">
        <v>58</v>
      </c>
      <c r="D1332" s="1">
        <v>0</v>
      </c>
      <c r="E1332" s="1">
        <v>0</v>
      </c>
      <c r="F1332" s="1">
        <v>0</v>
      </c>
      <c r="G1332" s="1">
        <v>0</v>
      </c>
      <c r="H1332" s="1">
        <v>0</v>
      </c>
      <c r="I1332" s="1">
        <v>0</v>
      </c>
      <c r="J1332" s="1">
        <v>0</v>
      </c>
      <c r="K1332" s="1">
        <v>0</v>
      </c>
      <c r="L1332" s="1">
        <v>0</v>
      </c>
      <c r="M1332" s="1">
        <v>0</v>
      </c>
      <c r="N1332" s="1">
        <v>0</v>
      </c>
      <c r="O1332" s="1">
        <v>0</v>
      </c>
      <c r="P1332" s="1">
        <v>0</v>
      </c>
      <c r="Q1332" s="1">
        <v>0</v>
      </c>
      <c r="R1332" s="1">
        <v>0</v>
      </c>
      <c r="S1332" s="1">
        <v>0</v>
      </c>
      <c r="T1332" s="1">
        <v>0</v>
      </c>
      <c r="U1332" s="1">
        <v>10</v>
      </c>
      <c r="V1332" s="1" t="s">
        <v>301</v>
      </c>
    </row>
    <row r="1333" spans="1:22">
      <c r="A1333" t="s">
        <v>187</v>
      </c>
      <c r="B1333" t="s">
        <v>57</v>
      </c>
      <c r="C1333" t="s">
        <v>59</v>
      </c>
      <c r="D1333" s="1">
        <v>0</v>
      </c>
      <c r="E1333" s="1">
        <v>0</v>
      </c>
      <c r="F1333" s="1">
        <v>0</v>
      </c>
      <c r="G1333" s="1">
        <v>0</v>
      </c>
      <c r="H1333" s="1">
        <v>0</v>
      </c>
      <c r="I1333" s="1">
        <v>0</v>
      </c>
      <c r="J1333" s="1">
        <v>0</v>
      </c>
      <c r="K1333" s="1">
        <v>0</v>
      </c>
      <c r="L1333" s="1">
        <v>0</v>
      </c>
      <c r="M1333" s="1">
        <v>0</v>
      </c>
      <c r="N1333" s="1">
        <v>0</v>
      </c>
      <c r="O1333" s="1">
        <v>0</v>
      </c>
      <c r="P1333" s="1">
        <v>0</v>
      </c>
      <c r="Q1333" s="1">
        <v>0</v>
      </c>
      <c r="R1333" s="1">
        <v>0</v>
      </c>
      <c r="S1333" s="1">
        <v>0</v>
      </c>
      <c r="T1333" s="1">
        <v>0</v>
      </c>
      <c r="U1333" s="1">
        <v>0</v>
      </c>
      <c r="V1333" s="1" t="s">
        <v>301</v>
      </c>
    </row>
    <row r="1334" spans="1:22">
      <c r="A1334" t="s">
        <v>187</v>
      </c>
      <c r="B1334" t="s">
        <v>57</v>
      </c>
      <c r="C1334" t="s">
        <v>60</v>
      </c>
      <c r="D1334" s="1">
        <v>0</v>
      </c>
      <c r="E1334" s="1">
        <v>0</v>
      </c>
      <c r="F1334" s="1">
        <v>0</v>
      </c>
      <c r="G1334" s="1">
        <v>0</v>
      </c>
      <c r="H1334" s="1">
        <v>0</v>
      </c>
      <c r="I1334" s="1">
        <v>0</v>
      </c>
      <c r="J1334" s="1">
        <v>0</v>
      </c>
      <c r="K1334" s="1">
        <v>0</v>
      </c>
      <c r="L1334" s="1">
        <v>0</v>
      </c>
      <c r="M1334" s="1">
        <v>0</v>
      </c>
      <c r="N1334" s="1">
        <v>0</v>
      </c>
      <c r="O1334" s="1">
        <v>0</v>
      </c>
      <c r="P1334" s="1">
        <v>0</v>
      </c>
      <c r="Q1334" s="1">
        <v>0</v>
      </c>
      <c r="R1334" s="1">
        <v>0</v>
      </c>
      <c r="S1334" s="1">
        <v>0</v>
      </c>
      <c r="T1334" s="1">
        <v>0</v>
      </c>
      <c r="U1334" s="1">
        <v>0</v>
      </c>
      <c r="V1334" s="1" t="s">
        <v>301</v>
      </c>
    </row>
    <row r="1335" spans="1:22">
      <c r="A1335" t="s">
        <v>187</v>
      </c>
      <c r="B1335" t="s">
        <v>57</v>
      </c>
      <c r="C1335" t="s">
        <v>61</v>
      </c>
      <c r="D1335" s="1">
        <v>0</v>
      </c>
      <c r="E1335" s="1">
        <v>0</v>
      </c>
      <c r="F1335" s="1">
        <v>0</v>
      </c>
      <c r="G1335" s="1">
        <v>0</v>
      </c>
      <c r="H1335" s="1">
        <v>0</v>
      </c>
      <c r="I1335" s="1">
        <v>0</v>
      </c>
      <c r="J1335" s="1">
        <v>0</v>
      </c>
      <c r="K1335" s="1">
        <v>0</v>
      </c>
      <c r="L1335" s="1">
        <v>0</v>
      </c>
      <c r="M1335" s="1">
        <v>0</v>
      </c>
      <c r="N1335" s="1">
        <v>0</v>
      </c>
      <c r="O1335" s="1">
        <v>0</v>
      </c>
      <c r="P1335" s="1">
        <v>0</v>
      </c>
      <c r="Q1335" s="1">
        <v>0</v>
      </c>
      <c r="R1335" s="1">
        <v>0</v>
      </c>
      <c r="S1335" s="1">
        <v>0</v>
      </c>
      <c r="T1335" s="1">
        <v>0</v>
      </c>
      <c r="U1335" s="1">
        <v>0</v>
      </c>
      <c r="V1335" s="1" t="s">
        <v>301</v>
      </c>
    </row>
    <row r="1336" spans="1:22">
      <c r="A1336" t="s">
        <v>187</v>
      </c>
      <c r="B1336" t="s">
        <v>57</v>
      </c>
      <c r="C1336" t="s">
        <v>62</v>
      </c>
      <c r="D1336" s="1">
        <v>0</v>
      </c>
      <c r="E1336" s="1">
        <v>0</v>
      </c>
      <c r="F1336" s="1">
        <v>0</v>
      </c>
      <c r="G1336" s="1">
        <v>0</v>
      </c>
      <c r="H1336" s="1">
        <v>0</v>
      </c>
      <c r="I1336" s="1">
        <v>0</v>
      </c>
      <c r="J1336" s="1">
        <v>0</v>
      </c>
      <c r="K1336" s="1">
        <v>0</v>
      </c>
      <c r="L1336" s="1">
        <v>0</v>
      </c>
      <c r="M1336" s="1">
        <v>0</v>
      </c>
      <c r="N1336" s="1">
        <v>0</v>
      </c>
      <c r="O1336" s="1">
        <v>0</v>
      </c>
      <c r="P1336" s="1">
        <v>0</v>
      </c>
      <c r="Q1336" s="1">
        <v>0</v>
      </c>
      <c r="R1336" s="1">
        <v>0</v>
      </c>
      <c r="S1336" s="1">
        <v>0</v>
      </c>
      <c r="T1336" s="1">
        <v>0</v>
      </c>
      <c r="U1336" s="1">
        <v>0</v>
      </c>
      <c r="V1336" s="1" t="s">
        <v>301</v>
      </c>
    </row>
    <row r="1337" spans="1:22">
      <c r="A1337" t="s">
        <v>187</v>
      </c>
      <c r="B1337" t="s">
        <v>57</v>
      </c>
      <c r="C1337" t="s">
        <v>63</v>
      </c>
      <c r="D1337" s="1">
        <v>0</v>
      </c>
      <c r="E1337" s="1">
        <v>0</v>
      </c>
      <c r="F1337" s="1">
        <v>0</v>
      </c>
      <c r="G1337" s="1">
        <v>0</v>
      </c>
      <c r="H1337" s="1">
        <v>0</v>
      </c>
      <c r="I1337" s="1">
        <v>0</v>
      </c>
      <c r="J1337" s="1">
        <v>0</v>
      </c>
      <c r="K1337" s="1">
        <v>0</v>
      </c>
      <c r="L1337" s="1">
        <v>0</v>
      </c>
      <c r="M1337" s="1">
        <v>0</v>
      </c>
      <c r="N1337" s="1">
        <v>0</v>
      </c>
      <c r="O1337" s="1">
        <v>0</v>
      </c>
      <c r="P1337" s="1">
        <v>0</v>
      </c>
      <c r="Q1337" s="1">
        <v>0</v>
      </c>
      <c r="R1337" s="1">
        <v>0</v>
      </c>
      <c r="S1337" s="1">
        <v>0</v>
      </c>
      <c r="T1337" s="1">
        <v>0</v>
      </c>
      <c r="U1337" s="1">
        <v>0</v>
      </c>
      <c r="V1337" s="1" t="s">
        <v>301</v>
      </c>
    </row>
    <row r="1338" spans="1:22">
      <c r="A1338" t="s">
        <v>187</v>
      </c>
      <c r="B1338" t="s">
        <v>57</v>
      </c>
      <c r="C1338" t="s">
        <v>64</v>
      </c>
      <c r="D1338" s="1">
        <v>0</v>
      </c>
      <c r="E1338" s="1">
        <v>0</v>
      </c>
      <c r="F1338" s="1">
        <v>0</v>
      </c>
      <c r="G1338" s="1">
        <v>0</v>
      </c>
      <c r="H1338" s="1">
        <v>0</v>
      </c>
      <c r="I1338" s="1">
        <v>0</v>
      </c>
      <c r="J1338" s="1">
        <v>0</v>
      </c>
      <c r="K1338" s="1">
        <v>0</v>
      </c>
      <c r="L1338" s="1">
        <v>0</v>
      </c>
      <c r="M1338" s="1">
        <v>0</v>
      </c>
      <c r="N1338" s="1">
        <v>0</v>
      </c>
      <c r="O1338" s="1">
        <v>0</v>
      </c>
      <c r="P1338" s="1">
        <v>0</v>
      </c>
      <c r="Q1338" s="1">
        <v>0</v>
      </c>
      <c r="R1338" s="1">
        <v>0</v>
      </c>
      <c r="S1338" s="1">
        <v>0</v>
      </c>
      <c r="T1338" s="1">
        <v>0</v>
      </c>
      <c r="U1338" s="1">
        <v>0</v>
      </c>
      <c r="V1338" s="1" t="s">
        <v>301</v>
      </c>
    </row>
    <row r="1339" spans="1:22">
      <c r="A1339" t="s">
        <v>187</v>
      </c>
      <c r="B1339" t="s">
        <v>57</v>
      </c>
      <c r="C1339" t="s">
        <v>65</v>
      </c>
      <c r="D1339" s="1">
        <v>0</v>
      </c>
      <c r="E1339" s="1">
        <v>0</v>
      </c>
      <c r="F1339" s="1">
        <v>0</v>
      </c>
      <c r="G1339" s="1">
        <v>0</v>
      </c>
      <c r="H1339" s="1">
        <v>0</v>
      </c>
      <c r="I1339" s="1">
        <v>0</v>
      </c>
      <c r="J1339" s="1">
        <v>0</v>
      </c>
      <c r="K1339" s="1">
        <v>0</v>
      </c>
      <c r="L1339" s="1">
        <v>0</v>
      </c>
      <c r="M1339" s="1">
        <v>0</v>
      </c>
      <c r="N1339" s="1">
        <v>0</v>
      </c>
      <c r="O1339" s="1">
        <v>0</v>
      </c>
      <c r="P1339" s="1">
        <v>0</v>
      </c>
      <c r="Q1339" s="1">
        <v>0</v>
      </c>
      <c r="R1339" s="1">
        <v>0</v>
      </c>
      <c r="S1339" s="1">
        <v>0</v>
      </c>
      <c r="T1339" s="1">
        <v>0</v>
      </c>
      <c r="U1339" s="1">
        <v>0</v>
      </c>
      <c r="V1339" s="1" t="s">
        <v>301</v>
      </c>
    </row>
    <row r="1340" spans="1:22">
      <c r="A1340" t="s">
        <v>188</v>
      </c>
      <c r="B1340" t="s">
        <v>57</v>
      </c>
      <c r="C1340" t="s">
        <v>58</v>
      </c>
      <c r="D1340" s="1">
        <v>0</v>
      </c>
      <c r="E1340" s="1">
        <v>0</v>
      </c>
      <c r="F1340" s="1">
        <v>0</v>
      </c>
      <c r="G1340" s="1">
        <v>0</v>
      </c>
      <c r="H1340" s="1">
        <v>0</v>
      </c>
      <c r="I1340" s="1">
        <v>0</v>
      </c>
      <c r="J1340" s="1">
        <v>0</v>
      </c>
      <c r="K1340" s="1">
        <v>0</v>
      </c>
      <c r="L1340" s="1">
        <v>0</v>
      </c>
      <c r="M1340" s="1">
        <v>0</v>
      </c>
      <c r="N1340" s="1">
        <v>0</v>
      </c>
      <c r="O1340" s="1">
        <v>0</v>
      </c>
      <c r="P1340" s="1">
        <v>0</v>
      </c>
      <c r="Q1340" s="1">
        <v>0</v>
      </c>
      <c r="R1340" s="1">
        <v>0</v>
      </c>
      <c r="S1340" s="1">
        <v>0</v>
      </c>
      <c r="T1340" s="1">
        <v>0</v>
      </c>
      <c r="U1340" s="1">
        <v>9</v>
      </c>
      <c r="V1340" s="1" t="s">
        <v>301</v>
      </c>
    </row>
    <row r="1341" spans="1:22">
      <c r="A1341" t="s">
        <v>188</v>
      </c>
      <c r="B1341" t="s">
        <v>57</v>
      </c>
      <c r="C1341" t="s">
        <v>59</v>
      </c>
      <c r="D1341" s="1">
        <v>0</v>
      </c>
      <c r="E1341" s="1">
        <v>0</v>
      </c>
      <c r="F1341" s="1">
        <v>1</v>
      </c>
      <c r="G1341" s="1">
        <v>0</v>
      </c>
      <c r="H1341" s="1">
        <v>0</v>
      </c>
      <c r="I1341" s="1">
        <v>0</v>
      </c>
      <c r="J1341" s="1">
        <v>0</v>
      </c>
      <c r="K1341" s="1">
        <v>0</v>
      </c>
      <c r="L1341" s="1">
        <v>0</v>
      </c>
      <c r="M1341" s="1">
        <v>1</v>
      </c>
      <c r="N1341" s="1">
        <v>0</v>
      </c>
      <c r="O1341" s="1">
        <v>0</v>
      </c>
      <c r="P1341" s="1">
        <v>0</v>
      </c>
      <c r="Q1341" s="1">
        <v>1</v>
      </c>
      <c r="R1341" s="1">
        <v>0</v>
      </c>
      <c r="S1341" s="1">
        <v>1</v>
      </c>
      <c r="T1341" s="1">
        <v>0</v>
      </c>
      <c r="U1341" s="1">
        <v>1</v>
      </c>
      <c r="V1341" s="1" t="s">
        <v>301</v>
      </c>
    </row>
    <row r="1342" spans="1:22">
      <c r="A1342" t="s">
        <v>188</v>
      </c>
      <c r="B1342" t="s">
        <v>57</v>
      </c>
      <c r="C1342" t="s">
        <v>60</v>
      </c>
      <c r="D1342" s="1">
        <v>0</v>
      </c>
      <c r="E1342" s="1">
        <v>0</v>
      </c>
      <c r="F1342" s="1">
        <v>0</v>
      </c>
      <c r="G1342" s="1">
        <v>0</v>
      </c>
      <c r="H1342" s="1">
        <v>0</v>
      </c>
      <c r="I1342" s="1">
        <v>0</v>
      </c>
      <c r="J1342" s="1">
        <v>0</v>
      </c>
      <c r="K1342" s="1">
        <v>0</v>
      </c>
      <c r="L1342" s="1">
        <v>0</v>
      </c>
      <c r="M1342" s="1">
        <v>0</v>
      </c>
      <c r="N1342" s="1">
        <v>0</v>
      </c>
      <c r="O1342" s="1">
        <v>0</v>
      </c>
      <c r="P1342" s="1">
        <v>0</v>
      </c>
      <c r="Q1342" s="1">
        <v>0</v>
      </c>
      <c r="R1342" s="1">
        <v>0</v>
      </c>
      <c r="S1342" s="1">
        <v>0</v>
      </c>
      <c r="T1342" s="1">
        <v>0</v>
      </c>
      <c r="U1342" s="1">
        <v>0</v>
      </c>
      <c r="V1342" s="1" t="s">
        <v>301</v>
      </c>
    </row>
    <row r="1343" spans="1:22">
      <c r="A1343" t="s">
        <v>188</v>
      </c>
      <c r="B1343" t="s">
        <v>57</v>
      </c>
      <c r="C1343" t="s">
        <v>61</v>
      </c>
      <c r="D1343" s="1">
        <v>0</v>
      </c>
      <c r="E1343" s="1">
        <v>0</v>
      </c>
      <c r="F1343" s="1">
        <v>0</v>
      </c>
      <c r="G1343" s="1">
        <v>0</v>
      </c>
      <c r="H1343" s="1">
        <v>0</v>
      </c>
      <c r="I1343" s="1">
        <v>0</v>
      </c>
      <c r="J1343" s="1">
        <v>0</v>
      </c>
      <c r="K1343" s="1">
        <v>0</v>
      </c>
      <c r="L1343" s="1">
        <v>0</v>
      </c>
      <c r="M1343" s="1">
        <v>0</v>
      </c>
      <c r="N1343" s="1">
        <v>0</v>
      </c>
      <c r="O1343" s="1">
        <v>0</v>
      </c>
      <c r="P1343" s="1">
        <v>0</v>
      </c>
      <c r="Q1343" s="1">
        <v>0</v>
      </c>
      <c r="R1343" s="1">
        <v>0</v>
      </c>
      <c r="S1343" s="1">
        <v>0</v>
      </c>
      <c r="T1343" s="1">
        <v>0</v>
      </c>
      <c r="U1343" s="1">
        <v>0</v>
      </c>
      <c r="V1343" s="1" t="s">
        <v>301</v>
      </c>
    </row>
    <row r="1344" spans="1:22">
      <c r="A1344" t="s">
        <v>188</v>
      </c>
      <c r="B1344" t="s">
        <v>57</v>
      </c>
      <c r="C1344" t="s">
        <v>62</v>
      </c>
      <c r="D1344" s="1">
        <v>0</v>
      </c>
      <c r="E1344" s="1">
        <v>0</v>
      </c>
      <c r="F1344" s="1">
        <v>0</v>
      </c>
      <c r="G1344" s="1">
        <v>0</v>
      </c>
      <c r="H1344" s="1">
        <v>0</v>
      </c>
      <c r="I1344" s="1">
        <v>0</v>
      </c>
      <c r="J1344" s="1">
        <v>0</v>
      </c>
      <c r="K1344" s="1">
        <v>0</v>
      </c>
      <c r="L1344" s="1">
        <v>0</v>
      </c>
      <c r="M1344" s="1">
        <v>0</v>
      </c>
      <c r="N1344" s="1">
        <v>0</v>
      </c>
      <c r="O1344" s="1">
        <v>0</v>
      </c>
      <c r="P1344" s="1">
        <v>0</v>
      </c>
      <c r="Q1344" s="1">
        <v>0</v>
      </c>
      <c r="R1344" s="1">
        <v>0</v>
      </c>
      <c r="S1344" s="1">
        <v>0</v>
      </c>
      <c r="T1344" s="1">
        <v>0</v>
      </c>
      <c r="U1344" s="1">
        <v>0</v>
      </c>
      <c r="V1344" s="1" t="s">
        <v>301</v>
      </c>
    </row>
    <row r="1345" spans="1:22">
      <c r="A1345" t="s">
        <v>188</v>
      </c>
      <c r="B1345" t="s">
        <v>57</v>
      </c>
      <c r="C1345" t="s">
        <v>63</v>
      </c>
      <c r="D1345" s="1">
        <v>0</v>
      </c>
      <c r="E1345" s="1">
        <v>0</v>
      </c>
      <c r="F1345" s="1">
        <v>0</v>
      </c>
      <c r="G1345" s="1">
        <v>0</v>
      </c>
      <c r="H1345" s="1">
        <v>0</v>
      </c>
      <c r="I1345" s="1">
        <v>0</v>
      </c>
      <c r="J1345" s="1">
        <v>0</v>
      </c>
      <c r="K1345" s="1">
        <v>0</v>
      </c>
      <c r="L1345" s="1">
        <v>0</v>
      </c>
      <c r="M1345" s="1">
        <v>0</v>
      </c>
      <c r="N1345" s="1">
        <v>0</v>
      </c>
      <c r="O1345" s="1">
        <v>0</v>
      </c>
      <c r="P1345" s="1">
        <v>0</v>
      </c>
      <c r="Q1345" s="1">
        <v>0</v>
      </c>
      <c r="R1345" s="1">
        <v>0</v>
      </c>
      <c r="S1345" s="1">
        <v>0</v>
      </c>
      <c r="T1345" s="1">
        <v>0</v>
      </c>
      <c r="U1345" s="1">
        <v>0</v>
      </c>
      <c r="V1345" s="1" t="s">
        <v>301</v>
      </c>
    </row>
    <row r="1346" spans="1:22">
      <c r="A1346" t="s">
        <v>188</v>
      </c>
      <c r="B1346" t="s">
        <v>57</v>
      </c>
      <c r="C1346" t="s">
        <v>64</v>
      </c>
      <c r="D1346" s="1">
        <v>0</v>
      </c>
      <c r="E1346" s="1">
        <v>0</v>
      </c>
      <c r="F1346" s="1">
        <v>1</v>
      </c>
      <c r="G1346" s="1">
        <v>0</v>
      </c>
      <c r="H1346" s="1">
        <v>0</v>
      </c>
      <c r="I1346" s="1">
        <v>0</v>
      </c>
      <c r="J1346" s="1">
        <v>0</v>
      </c>
      <c r="K1346" s="1">
        <v>0</v>
      </c>
      <c r="L1346" s="1">
        <v>0</v>
      </c>
      <c r="M1346" s="1">
        <v>1</v>
      </c>
      <c r="N1346" s="1">
        <v>0</v>
      </c>
      <c r="O1346" s="1">
        <v>0</v>
      </c>
      <c r="P1346" s="1">
        <v>0</v>
      </c>
      <c r="Q1346" s="1">
        <v>1</v>
      </c>
      <c r="R1346" s="1">
        <v>0</v>
      </c>
      <c r="S1346" s="1">
        <v>1</v>
      </c>
      <c r="T1346" s="1">
        <v>0</v>
      </c>
      <c r="U1346" s="1">
        <v>1</v>
      </c>
      <c r="V1346" s="1" t="s">
        <v>301</v>
      </c>
    </row>
    <row r="1347" spans="1:22">
      <c r="A1347" t="s">
        <v>188</v>
      </c>
      <c r="B1347" t="s">
        <v>57</v>
      </c>
      <c r="C1347" t="s">
        <v>65</v>
      </c>
      <c r="D1347" s="1">
        <v>0</v>
      </c>
      <c r="E1347" s="1">
        <v>0</v>
      </c>
      <c r="F1347" s="1">
        <v>0</v>
      </c>
      <c r="G1347" s="1">
        <v>0</v>
      </c>
      <c r="H1347" s="1">
        <v>0</v>
      </c>
      <c r="I1347" s="1">
        <v>0</v>
      </c>
      <c r="J1347" s="1">
        <v>0</v>
      </c>
      <c r="K1347" s="1">
        <v>0</v>
      </c>
      <c r="L1347" s="1">
        <v>0</v>
      </c>
      <c r="M1347" s="1">
        <v>0</v>
      </c>
      <c r="N1347" s="1">
        <v>0</v>
      </c>
      <c r="O1347" s="1">
        <v>0</v>
      </c>
      <c r="P1347" s="1">
        <v>0</v>
      </c>
      <c r="Q1347" s="1">
        <v>0</v>
      </c>
      <c r="R1347" s="1">
        <v>0</v>
      </c>
      <c r="S1347" s="1">
        <v>0</v>
      </c>
      <c r="T1347" s="1">
        <v>0</v>
      </c>
      <c r="U1347" s="1">
        <v>0</v>
      </c>
      <c r="V1347" s="1" t="s">
        <v>301</v>
      </c>
    </row>
    <row r="1348" spans="1:22">
      <c r="A1348" t="s">
        <v>66</v>
      </c>
      <c r="B1348" t="s">
        <v>57</v>
      </c>
      <c r="C1348" t="s">
        <v>58</v>
      </c>
      <c r="D1348" s="1">
        <v>0</v>
      </c>
      <c r="E1348" s="1">
        <v>0</v>
      </c>
      <c r="F1348" s="1">
        <v>0</v>
      </c>
      <c r="G1348" s="1">
        <v>0</v>
      </c>
      <c r="H1348" s="1">
        <v>0</v>
      </c>
      <c r="I1348" s="1">
        <v>0</v>
      </c>
      <c r="J1348" s="1">
        <v>0</v>
      </c>
      <c r="K1348" s="1">
        <v>0</v>
      </c>
      <c r="L1348" s="1">
        <v>0</v>
      </c>
      <c r="M1348" s="1">
        <v>0</v>
      </c>
      <c r="N1348" s="1">
        <v>0</v>
      </c>
      <c r="O1348" s="1">
        <v>0</v>
      </c>
      <c r="P1348" s="1">
        <v>0</v>
      </c>
      <c r="Q1348" s="1">
        <v>0</v>
      </c>
      <c r="R1348" s="1">
        <v>0</v>
      </c>
      <c r="S1348" s="1">
        <v>0</v>
      </c>
      <c r="T1348" s="1">
        <v>0</v>
      </c>
      <c r="U1348" s="1">
        <v>10</v>
      </c>
      <c r="V1348" s="1" t="s">
        <v>301</v>
      </c>
    </row>
    <row r="1349" spans="1:22">
      <c r="A1349" t="s">
        <v>66</v>
      </c>
      <c r="B1349" t="s">
        <v>57</v>
      </c>
      <c r="C1349" t="s">
        <v>59</v>
      </c>
      <c r="D1349" s="1">
        <v>1</v>
      </c>
      <c r="E1349" s="1">
        <v>0</v>
      </c>
      <c r="F1349" s="1">
        <v>1</v>
      </c>
      <c r="G1349" s="1">
        <v>0</v>
      </c>
      <c r="H1349" s="1">
        <v>0</v>
      </c>
      <c r="I1349" s="1">
        <v>0</v>
      </c>
      <c r="J1349" s="1">
        <v>0</v>
      </c>
      <c r="K1349" s="1">
        <v>0</v>
      </c>
      <c r="L1349" s="1">
        <v>0</v>
      </c>
      <c r="M1349" s="1">
        <v>2</v>
      </c>
      <c r="N1349" s="1">
        <v>2</v>
      </c>
      <c r="O1349" s="1">
        <v>0</v>
      </c>
      <c r="P1349" s="1">
        <v>0</v>
      </c>
      <c r="Q1349" s="1">
        <v>0</v>
      </c>
      <c r="R1349" s="1">
        <v>1</v>
      </c>
      <c r="S1349" s="1">
        <v>1</v>
      </c>
      <c r="T1349" s="1">
        <v>0</v>
      </c>
      <c r="U1349" s="1">
        <v>2</v>
      </c>
      <c r="V1349" s="1" t="s">
        <v>301</v>
      </c>
    </row>
    <row r="1350" spans="1:22">
      <c r="A1350" t="s">
        <v>66</v>
      </c>
      <c r="B1350" t="s">
        <v>57</v>
      </c>
      <c r="C1350" t="s">
        <v>60</v>
      </c>
      <c r="D1350" s="1">
        <v>0</v>
      </c>
      <c r="E1350" s="1">
        <v>0</v>
      </c>
      <c r="F1350" s="1">
        <v>0</v>
      </c>
      <c r="G1350" s="1">
        <v>0</v>
      </c>
      <c r="H1350" s="1">
        <v>0</v>
      </c>
      <c r="I1350" s="1">
        <v>0</v>
      </c>
      <c r="J1350" s="1">
        <v>0</v>
      </c>
      <c r="K1350" s="1">
        <v>0</v>
      </c>
      <c r="L1350" s="1">
        <v>0</v>
      </c>
      <c r="M1350" s="1">
        <v>0</v>
      </c>
      <c r="N1350" s="1">
        <v>0</v>
      </c>
      <c r="O1350" s="1">
        <v>0</v>
      </c>
      <c r="P1350" s="1">
        <v>0</v>
      </c>
      <c r="Q1350" s="1">
        <v>0</v>
      </c>
      <c r="R1350" s="1">
        <v>0</v>
      </c>
      <c r="S1350" s="1">
        <v>0</v>
      </c>
      <c r="T1350" s="1">
        <v>0</v>
      </c>
      <c r="U1350" s="1">
        <v>0</v>
      </c>
      <c r="V1350" s="1" t="s">
        <v>301</v>
      </c>
    </row>
    <row r="1351" spans="1:22">
      <c r="A1351" t="s">
        <v>66</v>
      </c>
      <c r="B1351" t="s">
        <v>57</v>
      </c>
      <c r="C1351" t="s">
        <v>61</v>
      </c>
      <c r="D1351" s="1">
        <v>0</v>
      </c>
      <c r="E1351" s="1">
        <v>0</v>
      </c>
      <c r="F1351" s="1">
        <v>0</v>
      </c>
      <c r="G1351" s="1">
        <v>0</v>
      </c>
      <c r="H1351" s="1">
        <v>0</v>
      </c>
      <c r="I1351" s="1">
        <v>0</v>
      </c>
      <c r="J1351" s="1">
        <v>0</v>
      </c>
      <c r="K1351" s="1">
        <v>0</v>
      </c>
      <c r="L1351" s="1">
        <v>0</v>
      </c>
      <c r="M1351" s="1">
        <v>0</v>
      </c>
      <c r="N1351" s="1">
        <v>0</v>
      </c>
      <c r="O1351" s="1">
        <v>0</v>
      </c>
      <c r="P1351" s="1">
        <v>0</v>
      </c>
      <c r="Q1351" s="1">
        <v>0</v>
      </c>
      <c r="R1351" s="1">
        <v>0</v>
      </c>
      <c r="S1351" s="1">
        <v>0</v>
      </c>
      <c r="T1351" s="1">
        <v>0</v>
      </c>
      <c r="U1351" s="1">
        <v>0</v>
      </c>
      <c r="V1351" s="1" t="s">
        <v>301</v>
      </c>
    </row>
    <row r="1352" spans="1:22">
      <c r="A1352" t="s">
        <v>66</v>
      </c>
      <c r="B1352" t="s">
        <v>57</v>
      </c>
      <c r="C1352" t="s">
        <v>62</v>
      </c>
      <c r="D1352" s="1">
        <v>0</v>
      </c>
      <c r="E1352" s="1">
        <v>0</v>
      </c>
      <c r="F1352" s="1">
        <v>0</v>
      </c>
      <c r="G1352" s="1">
        <v>0</v>
      </c>
      <c r="H1352" s="1">
        <v>0</v>
      </c>
      <c r="I1352" s="1">
        <v>0</v>
      </c>
      <c r="J1352" s="1">
        <v>0</v>
      </c>
      <c r="K1352" s="1">
        <v>0</v>
      </c>
      <c r="L1352" s="1">
        <v>0</v>
      </c>
      <c r="M1352" s="1">
        <v>0</v>
      </c>
      <c r="N1352" s="1">
        <v>0</v>
      </c>
      <c r="O1352" s="1">
        <v>0</v>
      </c>
      <c r="P1352" s="1">
        <v>0</v>
      </c>
      <c r="Q1352" s="1">
        <v>0</v>
      </c>
      <c r="R1352" s="1">
        <v>0</v>
      </c>
      <c r="S1352" s="1">
        <v>0</v>
      </c>
      <c r="T1352" s="1">
        <v>0</v>
      </c>
      <c r="U1352" s="1">
        <v>0</v>
      </c>
      <c r="V1352" s="1" t="s">
        <v>301</v>
      </c>
    </row>
    <row r="1353" spans="1:22">
      <c r="A1353" t="s">
        <v>66</v>
      </c>
      <c r="B1353" t="s">
        <v>57</v>
      </c>
      <c r="C1353" t="s">
        <v>63</v>
      </c>
      <c r="D1353" s="1">
        <v>0</v>
      </c>
      <c r="E1353" s="1">
        <v>0</v>
      </c>
      <c r="F1353" s="1">
        <v>0</v>
      </c>
      <c r="G1353" s="1">
        <v>0</v>
      </c>
      <c r="H1353" s="1">
        <v>0</v>
      </c>
      <c r="I1353" s="1">
        <v>0</v>
      </c>
      <c r="J1353" s="1">
        <v>0</v>
      </c>
      <c r="K1353" s="1">
        <v>0</v>
      </c>
      <c r="L1353" s="1">
        <v>0</v>
      </c>
      <c r="M1353" s="1">
        <v>0</v>
      </c>
      <c r="N1353" s="1">
        <v>0</v>
      </c>
      <c r="O1353" s="1">
        <v>0</v>
      </c>
      <c r="P1353" s="1">
        <v>0</v>
      </c>
      <c r="Q1353" s="1">
        <v>0</v>
      </c>
      <c r="R1353" s="1">
        <v>0</v>
      </c>
      <c r="S1353" s="1">
        <v>0</v>
      </c>
      <c r="T1353" s="1">
        <v>0</v>
      </c>
      <c r="U1353" s="1">
        <v>0</v>
      </c>
      <c r="V1353" s="1" t="s">
        <v>301</v>
      </c>
    </row>
    <row r="1354" spans="1:22">
      <c r="A1354" t="s">
        <v>66</v>
      </c>
      <c r="B1354" t="s">
        <v>57</v>
      </c>
      <c r="C1354" t="s">
        <v>64</v>
      </c>
      <c r="D1354" s="1">
        <v>1</v>
      </c>
      <c r="E1354" s="1">
        <v>0</v>
      </c>
      <c r="F1354" s="1">
        <v>1</v>
      </c>
      <c r="G1354" s="1">
        <v>0</v>
      </c>
      <c r="H1354" s="1">
        <v>0</v>
      </c>
      <c r="I1354" s="1">
        <v>0</v>
      </c>
      <c r="J1354" s="1">
        <v>0</v>
      </c>
      <c r="K1354" s="1">
        <v>0</v>
      </c>
      <c r="L1354" s="1">
        <v>0</v>
      </c>
      <c r="M1354" s="1">
        <v>2</v>
      </c>
      <c r="N1354" s="1">
        <v>2</v>
      </c>
      <c r="O1354" s="1">
        <v>0</v>
      </c>
      <c r="P1354" s="1">
        <v>0</v>
      </c>
      <c r="Q1354" s="1">
        <v>0</v>
      </c>
      <c r="R1354" s="1">
        <v>1</v>
      </c>
      <c r="S1354" s="1">
        <v>1</v>
      </c>
      <c r="T1354" s="1">
        <v>0</v>
      </c>
      <c r="U1354" s="1">
        <v>2</v>
      </c>
      <c r="V1354" s="1" t="s">
        <v>301</v>
      </c>
    </row>
    <row r="1355" spans="1:22">
      <c r="A1355" t="s">
        <v>66</v>
      </c>
      <c r="B1355" t="s">
        <v>57</v>
      </c>
      <c r="C1355" t="s">
        <v>65</v>
      </c>
      <c r="D1355" s="1">
        <v>0</v>
      </c>
      <c r="E1355" s="1">
        <v>0</v>
      </c>
      <c r="F1355" s="1">
        <v>0</v>
      </c>
      <c r="G1355" s="1">
        <v>0</v>
      </c>
      <c r="H1355" s="1">
        <v>0</v>
      </c>
      <c r="I1355" s="1">
        <v>0</v>
      </c>
      <c r="J1355" s="1">
        <v>0</v>
      </c>
      <c r="K1355" s="1">
        <v>0</v>
      </c>
      <c r="L1355" s="1">
        <v>0</v>
      </c>
      <c r="M1355" s="1">
        <v>0</v>
      </c>
      <c r="N1355" s="1">
        <v>0</v>
      </c>
      <c r="O1355" s="1">
        <v>0</v>
      </c>
      <c r="P1355" s="1">
        <v>0</v>
      </c>
      <c r="Q1355" s="1">
        <v>0</v>
      </c>
      <c r="R1355" s="1">
        <v>0</v>
      </c>
      <c r="S1355" s="1">
        <v>0</v>
      </c>
      <c r="T1355" s="1">
        <v>0</v>
      </c>
      <c r="U1355" s="1">
        <v>0</v>
      </c>
      <c r="V1355" s="1" t="s">
        <v>301</v>
      </c>
    </row>
    <row r="1356" spans="1:22">
      <c r="A1356" t="s">
        <v>189</v>
      </c>
      <c r="B1356" t="s">
        <v>57</v>
      </c>
      <c r="C1356" t="s">
        <v>58</v>
      </c>
      <c r="D1356" s="1">
        <v>0</v>
      </c>
      <c r="E1356" s="1">
        <v>0</v>
      </c>
      <c r="F1356" s="1">
        <v>0</v>
      </c>
      <c r="G1356" s="1">
        <v>0</v>
      </c>
      <c r="H1356" s="1">
        <v>0</v>
      </c>
      <c r="I1356" s="1">
        <v>0</v>
      </c>
      <c r="J1356" s="1">
        <v>0</v>
      </c>
      <c r="K1356" s="1">
        <v>0</v>
      </c>
      <c r="L1356" s="1">
        <v>0</v>
      </c>
      <c r="M1356" s="1">
        <v>0</v>
      </c>
      <c r="N1356" s="1">
        <v>0</v>
      </c>
      <c r="O1356" s="1">
        <v>0</v>
      </c>
      <c r="P1356" s="1">
        <v>0</v>
      </c>
      <c r="Q1356" s="1">
        <v>0</v>
      </c>
      <c r="R1356" s="1">
        <v>0</v>
      </c>
      <c r="S1356" s="1">
        <v>0</v>
      </c>
      <c r="T1356" s="1">
        <v>0</v>
      </c>
      <c r="U1356" s="1">
        <v>9</v>
      </c>
      <c r="V1356" s="1" t="s">
        <v>301</v>
      </c>
    </row>
    <row r="1357" spans="1:22">
      <c r="A1357" t="s">
        <v>189</v>
      </c>
      <c r="B1357" t="s">
        <v>57</v>
      </c>
      <c r="C1357" t="s">
        <v>59</v>
      </c>
      <c r="D1357" s="1">
        <v>0</v>
      </c>
      <c r="E1357" s="1">
        <v>1</v>
      </c>
      <c r="F1357" s="1">
        <v>0</v>
      </c>
      <c r="G1357" s="1">
        <v>0</v>
      </c>
      <c r="H1357" s="1">
        <v>0</v>
      </c>
      <c r="I1357" s="1">
        <v>0</v>
      </c>
      <c r="J1357" s="1">
        <v>1</v>
      </c>
      <c r="K1357" s="1">
        <v>0</v>
      </c>
      <c r="L1357" s="1">
        <v>0</v>
      </c>
      <c r="M1357" s="1">
        <v>0</v>
      </c>
      <c r="N1357" s="1">
        <v>0</v>
      </c>
      <c r="O1357" s="1">
        <v>0</v>
      </c>
      <c r="P1357" s="1">
        <v>1</v>
      </c>
      <c r="Q1357" s="1">
        <v>0</v>
      </c>
      <c r="R1357" s="1">
        <v>0</v>
      </c>
      <c r="S1357" s="1">
        <v>1</v>
      </c>
      <c r="T1357" s="1">
        <v>0</v>
      </c>
      <c r="U1357" s="1">
        <v>1</v>
      </c>
      <c r="V1357" s="1" t="s">
        <v>301</v>
      </c>
    </row>
    <row r="1358" spans="1:22">
      <c r="A1358" t="s">
        <v>189</v>
      </c>
      <c r="B1358" t="s">
        <v>57</v>
      </c>
      <c r="C1358" t="s">
        <v>60</v>
      </c>
      <c r="D1358" s="1">
        <v>0</v>
      </c>
      <c r="E1358" s="1">
        <v>0</v>
      </c>
      <c r="F1358" s="1">
        <v>0</v>
      </c>
      <c r="G1358" s="1">
        <v>0</v>
      </c>
      <c r="H1358" s="1">
        <v>0</v>
      </c>
      <c r="I1358" s="1">
        <v>0</v>
      </c>
      <c r="J1358" s="1">
        <v>0</v>
      </c>
      <c r="K1358" s="1">
        <v>0</v>
      </c>
      <c r="L1358" s="1">
        <v>0</v>
      </c>
      <c r="M1358" s="1">
        <v>0</v>
      </c>
      <c r="N1358" s="1">
        <v>0</v>
      </c>
      <c r="O1358" s="1">
        <v>0</v>
      </c>
      <c r="P1358" s="1">
        <v>0</v>
      </c>
      <c r="Q1358" s="1">
        <v>0</v>
      </c>
      <c r="R1358" s="1">
        <v>0</v>
      </c>
      <c r="S1358" s="1">
        <v>0</v>
      </c>
      <c r="T1358" s="1">
        <v>0</v>
      </c>
      <c r="U1358" s="1">
        <v>0</v>
      </c>
      <c r="V1358" s="1" t="s">
        <v>301</v>
      </c>
    </row>
    <row r="1359" spans="1:22">
      <c r="A1359" t="s">
        <v>189</v>
      </c>
      <c r="B1359" t="s">
        <v>57</v>
      </c>
      <c r="C1359" t="s">
        <v>61</v>
      </c>
      <c r="D1359" s="1">
        <v>0</v>
      </c>
      <c r="E1359" s="1">
        <v>0</v>
      </c>
      <c r="F1359" s="1">
        <v>0</v>
      </c>
      <c r="G1359" s="1">
        <v>0</v>
      </c>
      <c r="H1359" s="1">
        <v>0</v>
      </c>
      <c r="I1359" s="1">
        <v>0</v>
      </c>
      <c r="J1359" s="1">
        <v>0</v>
      </c>
      <c r="K1359" s="1">
        <v>0</v>
      </c>
      <c r="L1359" s="1">
        <v>0</v>
      </c>
      <c r="M1359" s="1">
        <v>0</v>
      </c>
      <c r="N1359" s="1">
        <v>0</v>
      </c>
      <c r="O1359" s="1">
        <v>0</v>
      </c>
      <c r="P1359" s="1">
        <v>0</v>
      </c>
      <c r="Q1359" s="1">
        <v>0</v>
      </c>
      <c r="R1359" s="1">
        <v>0</v>
      </c>
      <c r="S1359" s="1">
        <v>0</v>
      </c>
      <c r="T1359" s="1">
        <v>0</v>
      </c>
      <c r="U1359" s="1">
        <v>0</v>
      </c>
      <c r="V1359" s="1" t="s">
        <v>301</v>
      </c>
    </row>
    <row r="1360" spans="1:22">
      <c r="A1360" t="s">
        <v>189</v>
      </c>
      <c r="B1360" t="s">
        <v>57</v>
      </c>
      <c r="C1360" t="s">
        <v>62</v>
      </c>
      <c r="D1360" s="1">
        <v>0</v>
      </c>
      <c r="E1360" s="1">
        <v>0</v>
      </c>
      <c r="F1360" s="1">
        <v>0</v>
      </c>
      <c r="G1360" s="1">
        <v>0</v>
      </c>
      <c r="H1360" s="1">
        <v>0</v>
      </c>
      <c r="I1360" s="1">
        <v>0</v>
      </c>
      <c r="J1360" s="1">
        <v>0</v>
      </c>
      <c r="K1360" s="1">
        <v>0</v>
      </c>
      <c r="L1360" s="1">
        <v>0</v>
      </c>
      <c r="M1360" s="1">
        <v>0</v>
      </c>
      <c r="N1360" s="1">
        <v>0</v>
      </c>
      <c r="O1360" s="1">
        <v>0</v>
      </c>
      <c r="P1360" s="1">
        <v>0</v>
      </c>
      <c r="Q1360" s="1">
        <v>0</v>
      </c>
      <c r="R1360" s="1">
        <v>0</v>
      </c>
      <c r="S1360" s="1">
        <v>0</v>
      </c>
      <c r="T1360" s="1">
        <v>0</v>
      </c>
      <c r="U1360" s="1">
        <v>0</v>
      </c>
      <c r="V1360" s="1" t="s">
        <v>301</v>
      </c>
    </row>
    <row r="1361" spans="1:22">
      <c r="A1361" t="s">
        <v>189</v>
      </c>
      <c r="B1361" t="s">
        <v>57</v>
      </c>
      <c r="C1361" t="s">
        <v>63</v>
      </c>
      <c r="D1361" s="1">
        <v>0</v>
      </c>
      <c r="E1361" s="1">
        <v>0</v>
      </c>
      <c r="F1361" s="1">
        <v>0</v>
      </c>
      <c r="G1361" s="1">
        <v>0</v>
      </c>
      <c r="H1361" s="1">
        <v>0</v>
      </c>
      <c r="I1361" s="1">
        <v>0</v>
      </c>
      <c r="J1361" s="1">
        <v>0</v>
      </c>
      <c r="K1361" s="1">
        <v>0</v>
      </c>
      <c r="L1361" s="1">
        <v>0</v>
      </c>
      <c r="M1361" s="1">
        <v>0</v>
      </c>
      <c r="N1361" s="1">
        <v>0</v>
      </c>
      <c r="O1361" s="1">
        <v>0</v>
      </c>
      <c r="P1361" s="1">
        <v>0</v>
      </c>
      <c r="Q1361" s="1">
        <v>0</v>
      </c>
      <c r="R1361" s="1">
        <v>0</v>
      </c>
      <c r="S1361" s="1">
        <v>0</v>
      </c>
      <c r="T1361" s="1">
        <v>0</v>
      </c>
      <c r="U1361" s="1">
        <v>0</v>
      </c>
      <c r="V1361" s="1" t="s">
        <v>301</v>
      </c>
    </row>
    <row r="1362" spans="1:22">
      <c r="A1362" t="s">
        <v>189</v>
      </c>
      <c r="B1362" t="s">
        <v>57</v>
      </c>
      <c r="C1362" t="s">
        <v>64</v>
      </c>
      <c r="D1362" s="1">
        <v>0</v>
      </c>
      <c r="E1362" s="1">
        <v>1</v>
      </c>
      <c r="F1362" s="1">
        <v>0</v>
      </c>
      <c r="G1362" s="1">
        <v>0</v>
      </c>
      <c r="H1362" s="1">
        <v>0</v>
      </c>
      <c r="I1362" s="1">
        <v>0</v>
      </c>
      <c r="J1362" s="1">
        <v>1</v>
      </c>
      <c r="K1362" s="1">
        <v>0</v>
      </c>
      <c r="L1362" s="1">
        <v>0</v>
      </c>
      <c r="M1362" s="1">
        <v>0</v>
      </c>
      <c r="N1362" s="1">
        <v>0</v>
      </c>
      <c r="O1362" s="1">
        <v>0</v>
      </c>
      <c r="P1362" s="1">
        <v>1</v>
      </c>
      <c r="Q1362" s="1">
        <v>0</v>
      </c>
      <c r="R1362" s="1">
        <v>0</v>
      </c>
      <c r="S1362" s="1">
        <v>1</v>
      </c>
      <c r="T1362" s="1">
        <v>0</v>
      </c>
      <c r="U1362" s="1">
        <v>1</v>
      </c>
      <c r="V1362" s="1" t="s">
        <v>301</v>
      </c>
    </row>
    <row r="1363" spans="1:22">
      <c r="A1363" t="s">
        <v>189</v>
      </c>
      <c r="B1363" t="s">
        <v>57</v>
      </c>
      <c r="C1363" t="s">
        <v>65</v>
      </c>
      <c r="D1363" s="1">
        <v>0</v>
      </c>
      <c r="E1363" s="1">
        <v>0</v>
      </c>
      <c r="F1363" s="1">
        <v>0</v>
      </c>
      <c r="G1363" s="1">
        <v>0</v>
      </c>
      <c r="H1363" s="1">
        <v>0</v>
      </c>
      <c r="I1363" s="1">
        <v>0</v>
      </c>
      <c r="J1363" s="1">
        <v>0</v>
      </c>
      <c r="K1363" s="1">
        <v>0</v>
      </c>
      <c r="L1363" s="1">
        <v>0</v>
      </c>
      <c r="M1363" s="1">
        <v>0</v>
      </c>
      <c r="N1363" s="1">
        <v>0</v>
      </c>
      <c r="O1363" s="1">
        <v>0</v>
      </c>
      <c r="P1363" s="1">
        <v>0</v>
      </c>
      <c r="Q1363" s="1">
        <v>0</v>
      </c>
      <c r="R1363" s="1">
        <v>0</v>
      </c>
      <c r="S1363" s="1">
        <v>0</v>
      </c>
      <c r="T1363" s="1">
        <v>0</v>
      </c>
      <c r="U1363" s="1">
        <v>0</v>
      </c>
      <c r="V1363" s="1" t="s">
        <v>301</v>
      </c>
    </row>
    <row r="1364" spans="1:22">
      <c r="A1364" t="s">
        <v>190</v>
      </c>
      <c r="B1364" t="s">
        <v>57</v>
      </c>
      <c r="C1364" t="s">
        <v>58</v>
      </c>
      <c r="D1364" s="1">
        <v>0</v>
      </c>
      <c r="E1364" s="1">
        <v>0</v>
      </c>
      <c r="F1364" s="1">
        <v>0</v>
      </c>
      <c r="G1364" s="1">
        <v>0</v>
      </c>
      <c r="H1364" s="1">
        <v>0</v>
      </c>
      <c r="I1364" s="1">
        <v>0</v>
      </c>
      <c r="J1364" s="1">
        <v>0</v>
      </c>
      <c r="K1364" s="1">
        <v>0</v>
      </c>
      <c r="L1364" s="1">
        <v>0</v>
      </c>
      <c r="M1364" s="1">
        <v>0</v>
      </c>
      <c r="N1364" s="1">
        <v>0</v>
      </c>
      <c r="O1364" s="1">
        <v>0</v>
      </c>
      <c r="P1364" s="1">
        <v>0</v>
      </c>
      <c r="Q1364" s="1">
        <v>0</v>
      </c>
      <c r="R1364" s="1">
        <v>0</v>
      </c>
      <c r="S1364" s="1">
        <v>0</v>
      </c>
      <c r="T1364" s="1">
        <v>0</v>
      </c>
      <c r="U1364" s="1">
        <v>10</v>
      </c>
      <c r="V1364" s="1" t="s">
        <v>301</v>
      </c>
    </row>
    <row r="1365" spans="1:22">
      <c r="A1365" t="s">
        <v>190</v>
      </c>
      <c r="B1365" t="s">
        <v>57</v>
      </c>
      <c r="C1365" t="s">
        <v>59</v>
      </c>
      <c r="D1365" s="1">
        <v>1</v>
      </c>
      <c r="E1365" s="1">
        <v>1</v>
      </c>
      <c r="F1365" s="1">
        <v>0</v>
      </c>
      <c r="G1365" s="1">
        <v>0</v>
      </c>
      <c r="H1365" s="1">
        <v>0</v>
      </c>
      <c r="I1365" s="1">
        <v>0</v>
      </c>
      <c r="J1365" s="1">
        <v>1</v>
      </c>
      <c r="K1365" s="1">
        <v>0</v>
      </c>
      <c r="L1365" s="1">
        <v>1</v>
      </c>
      <c r="M1365" s="1">
        <v>0</v>
      </c>
      <c r="N1365" s="1">
        <v>0</v>
      </c>
      <c r="O1365" s="1">
        <v>0</v>
      </c>
      <c r="P1365" s="1">
        <v>2</v>
      </c>
      <c r="Q1365" s="1">
        <v>0</v>
      </c>
      <c r="R1365" s="1">
        <v>0</v>
      </c>
      <c r="S1365" s="1">
        <v>2</v>
      </c>
      <c r="T1365" s="1">
        <v>0</v>
      </c>
      <c r="U1365" s="1">
        <v>2</v>
      </c>
      <c r="V1365" s="1" t="s">
        <v>301</v>
      </c>
    </row>
    <row r="1366" spans="1:22">
      <c r="A1366" t="s">
        <v>190</v>
      </c>
      <c r="B1366" t="s">
        <v>57</v>
      </c>
      <c r="C1366" t="s">
        <v>60</v>
      </c>
      <c r="D1366" s="1">
        <v>0</v>
      </c>
      <c r="E1366" s="1">
        <v>0</v>
      </c>
      <c r="F1366" s="1">
        <v>0</v>
      </c>
      <c r="G1366" s="1">
        <v>0</v>
      </c>
      <c r="H1366" s="1">
        <v>0</v>
      </c>
      <c r="I1366" s="1">
        <v>0</v>
      </c>
      <c r="J1366" s="1">
        <v>0</v>
      </c>
      <c r="K1366" s="1">
        <v>0</v>
      </c>
      <c r="L1366" s="1">
        <v>0</v>
      </c>
      <c r="M1366" s="1">
        <v>0</v>
      </c>
      <c r="N1366" s="1">
        <v>0</v>
      </c>
      <c r="O1366" s="1">
        <v>0</v>
      </c>
      <c r="P1366" s="1">
        <v>0</v>
      </c>
      <c r="Q1366" s="1">
        <v>0</v>
      </c>
      <c r="R1366" s="1">
        <v>0</v>
      </c>
      <c r="S1366" s="1">
        <v>0</v>
      </c>
      <c r="T1366" s="1">
        <v>0</v>
      </c>
      <c r="U1366" s="1">
        <v>0</v>
      </c>
      <c r="V1366" s="1" t="s">
        <v>301</v>
      </c>
    </row>
    <row r="1367" spans="1:22">
      <c r="A1367" t="s">
        <v>190</v>
      </c>
      <c r="B1367" t="s">
        <v>57</v>
      </c>
      <c r="C1367" t="s">
        <v>61</v>
      </c>
      <c r="D1367" s="1">
        <v>0</v>
      </c>
      <c r="E1367" s="1">
        <v>0</v>
      </c>
      <c r="F1367" s="1">
        <v>0</v>
      </c>
      <c r="G1367" s="1">
        <v>0</v>
      </c>
      <c r="H1367" s="1">
        <v>0</v>
      </c>
      <c r="I1367" s="1">
        <v>0</v>
      </c>
      <c r="J1367" s="1">
        <v>0</v>
      </c>
      <c r="K1367" s="1">
        <v>0</v>
      </c>
      <c r="L1367" s="1">
        <v>0</v>
      </c>
      <c r="M1367" s="1">
        <v>0</v>
      </c>
      <c r="N1367" s="1">
        <v>0</v>
      </c>
      <c r="O1367" s="1">
        <v>0</v>
      </c>
      <c r="P1367" s="1">
        <v>0</v>
      </c>
      <c r="Q1367" s="1">
        <v>0</v>
      </c>
      <c r="R1367" s="1">
        <v>0</v>
      </c>
      <c r="S1367" s="1">
        <v>0</v>
      </c>
      <c r="T1367" s="1">
        <v>0</v>
      </c>
      <c r="U1367" s="1">
        <v>0</v>
      </c>
      <c r="V1367" s="1" t="s">
        <v>301</v>
      </c>
    </row>
    <row r="1368" spans="1:22">
      <c r="A1368" t="s">
        <v>190</v>
      </c>
      <c r="B1368" t="s">
        <v>57</v>
      </c>
      <c r="C1368" t="s">
        <v>62</v>
      </c>
      <c r="D1368" s="1">
        <v>0</v>
      </c>
      <c r="E1368" s="1">
        <v>0</v>
      </c>
      <c r="F1368" s="1">
        <v>0</v>
      </c>
      <c r="G1368" s="1">
        <v>0</v>
      </c>
      <c r="H1368" s="1">
        <v>0</v>
      </c>
      <c r="I1368" s="1">
        <v>0</v>
      </c>
      <c r="J1368" s="1">
        <v>0</v>
      </c>
      <c r="K1368" s="1">
        <v>0</v>
      </c>
      <c r="L1368" s="1">
        <v>0</v>
      </c>
      <c r="M1368" s="1">
        <v>0</v>
      </c>
      <c r="N1368" s="1">
        <v>0</v>
      </c>
      <c r="O1368" s="1">
        <v>0</v>
      </c>
      <c r="P1368" s="1">
        <v>0</v>
      </c>
      <c r="Q1368" s="1">
        <v>0</v>
      </c>
      <c r="R1368" s="1">
        <v>0</v>
      </c>
      <c r="S1368" s="1">
        <v>0</v>
      </c>
      <c r="T1368" s="1">
        <v>0</v>
      </c>
      <c r="U1368" s="1">
        <v>0</v>
      </c>
      <c r="V1368" s="1" t="s">
        <v>301</v>
      </c>
    </row>
    <row r="1369" spans="1:22">
      <c r="A1369" t="s">
        <v>190</v>
      </c>
      <c r="B1369" t="s">
        <v>57</v>
      </c>
      <c r="C1369" t="s">
        <v>63</v>
      </c>
      <c r="D1369" s="1">
        <v>0</v>
      </c>
      <c r="E1369" s="1">
        <v>0</v>
      </c>
      <c r="F1369" s="1">
        <v>0</v>
      </c>
      <c r="G1369" s="1">
        <v>0</v>
      </c>
      <c r="H1369" s="1">
        <v>0</v>
      </c>
      <c r="I1369" s="1">
        <v>0</v>
      </c>
      <c r="J1369" s="1">
        <v>0</v>
      </c>
      <c r="K1369" s="1">
        <v>0</v>
      </c>
      <c r="L1369" s="1">
        <v>0</v>
      </c>
      <c r="M1369" s="1">
        <v>0</v>
      </c>
      <c r="N1369" s="1">
        <v>0</v>
      </c>
      <c r="O1369" s="1">
        <v>0</v>
      </c>
      <c r="P1369" s="1">
        <v>0</v>
      </c>
      <c r="Q1369" s="1">
        <v>0</v>
      </c>
      <c r="R1369" s="1">
        <v>0</v>
      </c>
      <c r="S1369" s="1">
        <v>0</v>
      </c>
      <c r="T1369" s="1">
        <v>0</v>
      </c>
      <c r="U1369" s="1">
        <v>0</v>
      </c>
      <c r="V1369" s="1" t="s">
        <v>301</v>
      </c>
    </row>
    <row r="1370" spans="1:22">
      <c r="A1370" t="s">
        <v>190</v>
      </c>
      <c r="B1370" t="s">
        <v>57</v>
      </c>
      <c r="C1370" t="s">
        <v>64</v>
      </c>
      <c r="D1370" s="1">
        <v>1</v>
      </c>
      <c r="E1370" s="1">
        <v>1</v>
      </c>
      <c r="F1370" s="1">
        <v>0</v>
      </c>
      <c r="G1370" s="1">
        <v>0</v>
      </c>
      <c r="H1370" s="1">
        <v>0</v>
      </c>
      <c r="I1370" s="1">
        <v>0</v>
      </c>
      <c r="J1370" s="1">
        <v>1</v>
      </c>
      <c r="K1370" s="1">
        <v>0</v>
      </c>
      <c r="L1370" s="1">
        <v>1</v>
      </c>
      <c r="M1370" s="1">
        <v>0</v>
      </c>
      <c r="N1370" s="1">
        <v>0</v>
      </c>
      <c r="O1370" s="1">
        <v>0</v>
      </c>
      <c r="P1370" s="1">
        <v>2</v>
      </c>
      <c r="Q1370" s="1">
        <v>0</v>
      </c>
      <c r="R1370" s="1">
        <v>0</v>
      </c>
      <c r="S1370" s="1">
        <v>2</v>
      </c>
      <c r="T1370" s="1">
        <v>0</v>
      </c>
      <c r="U1370" s="1">
        <v>2</v>
      </c>
      <c r="V1370" s="1" t="s">
        <v>301</v>
      </c>
    </row>
    <row r="1371" spans="1:22">
      <c r="A1371" t="s">
        <v>190</v>
      </c>
      <c r="B1371" t="s">
        <v>57</v>
      </c>
      <c r="C1371" t="s">
        <v>65</v>
      </c>
      <c r="D1371" s="1">
        <v>0</v>
      </c>
      <c r="E1371" s="1">
        <v>0</v>
      </c>
      <c r="F1371" s="1">
        <v>0</v>
      </c>
      <c r="G1371" s="1">
        <v>0</v>
      </c>
      <c r="H1371" s="1">
        <v>0</v>
      </c>
      <c r="I1371" s="1">
        <v>0</v>
      </c>
      <c r="J1371" s="1">
        <v>0</v>
      </c>
      <c r="K1371" s="1">
        <v>0</v>
      </c>
      <c r="L1371" s="1">
        <v>0</v>
      </c>
      <c r="M1371" s="1">
        <v>0</v>
      </c>
      <c r="N1371" s="1">
        <v>0</v>
      </c>
      <c r="O1371" s="1">
        <v>0</v>
      </c>
      <c r="P1371" s="1">
        <v>0</v>
      </c>
      <c r="Q1371" s="1">
        <v>0</v>
      </c>
      <c r="R1371" s="1">
        <v>0</v>
      </c>
      <c r="S1371" s="1">
        <v>0</v>
      </c>
      <c r="T1371" s="1">
        <v>0</v>
      </c>
      <c r="U1371" s="1">
        <v>0</v>
      </c>
      <c r="V1371" s="1" t="s">
        <v>301</v>
      </c>
    </row>
    <row r="1372" spans="1:22">
      <c r="A1372" t="s">
        <v>191</v>
      </c>
      <c r="B1372" t="s">
        <v>57</v>
      </c>
      <c r="C1372" t="s">
        <v>58</v>
      </c>
      <c r="D1372" s="1">
        <v>0</v>
      </c>
      <c r="E1372" s="1">
        <v>0</v>
      </c>
      <c r="F1372" s="1">
        <v>0</v>
      </c>
      <c r="G1372" s="1">
        <v>0</v>
      </c>
      <c r="H1372" s="1">
        <v>0</v>
      </c>
      <c r="I1372" s="1">
        <v>0</v>
      </c>
      <c r="J1372" s="1">
        <v>0</v>
      </c>
      <c r="K1372" s="1">
        <v>0</v>
      </c>
      <c r="L1372" s="1">
        <v>0</v>
      </c>
      <c r="M1372" s="1">
        <v>0</v>
      </c>
      <c r="N1372" s="1">
        <v>0</v>
      </c>
      <c r="O1372" s="1">
        <v>0</v>
      </c>
      <c r="P1372" s="1">
        <v>0</v>
      </c>
      <c r="Q1372" s="1">
        <v>0</v>
      </c>
      <c r="R1372" s="1">
        <v>0</v>
      </c>
      <c r="S1372" s="1">
        <v>0</v>
      </c>
      <c r="T1372" s="1">
        <v>0</v>
      </c>
      <c r="U1372" s="1">
        <v>10</v>
      </c>
      <c r="V1372" s="1" t="s">
        <v>301</v>
      </c>
    </row>
    <row r="1373" spans="1:22">
      <c r="A1373" t="s">
        <v>191</v>
      </c>
      <c r="B1373" t="s">
        <v>57</v>
      </c>
      <c r="C1373" t="s">
        <v>59</v>
      </c>
      <c r="D1373" s="1">
        <v>0</v>
      </c>
      <c r="E1373" s="1">
        <v>0</v>
      </c>
      <c r="F1373" s="1">
        <v>0</v>
      </c>
      <c r="G1373" s="1">
        <v>1</v>
      </c>
      <c r="H1373" s="1">
        <v>0</v>
      </c>
      <c r="I1373" s="1">
        <v>0</v>
      </c>
      <c r="J1373" s="1">
        <v>0</v>
      </c>
      <c r="K1373" s="1">
        <v>0</v>
      </c>
      <c r="L1373" s="1">
        <v>0</v>
      </c>
      <c r="M1373" s="1">
        <v>1</v>
      </c>
      <c r="N1373" s="1">
        <v>0</v>
      </c>
      <c r="O1373" s="1">
        <v>0</v>
      </c>
      <c r="P1373" s="1">
        <v>1</v>
      </c>
      <c r="Q1373" s="1">
        <v>0</v>
      </c>
      <c r="R1373" s="1">
        <v>0</v>
      </c>
      <c r="S1373" s="1">
        <v>1</v>
      </c>
      <c r="T1373" s="1">
        <v>0</v>
      </c>
      <c r="U1373" s="1">
        <v>1</v>
      </c>
      <c r="V1373" s="1" t="s">
        <v>301</v>
      </c>
    </row>
    <row r="1374" spans="1:22">
      <c r="A1374" t="s">
        <v>191</v>
      </c>
      <c r="B1374" t="s">
        <v>57</v>
      </c>
      <c r="C1374" t="s">
        <v>60</v>
      </c>
      <c r="D1374" s="1">
        <v>0</v>
      </c>
      <c r="E1374" s="1">
        <v>0</v>
      </c>
      <c r="F1374" s="1">
        <v>0</v>
      </c>
      <c r="G1374" s="1">
        <v>0</v>
      </c>
      <c r="H1374" s="1">
        <v>0</v>
      </c>
      <c r="I1374" s="1">
        <v>0</v>
      </c>
      <c r="J1374" s="1">
        <v>0</v>
      </c>
      <c r="K1374" s="1">
        <v>0</v>
      </c>
      <c r="L1374" s="1">
        <v>0</v>
      </c>
      <c r="M1374" s="1">
        <v>0</v>
      </c>
      <c r="N1374" s="1">
        <v>0</v>
      </c>
      <c r="O1374" s="1">
        <v>0</v>
      </c>
      <c r="P1374" s="1">
        <v>0</v>
      </c>
      <c r="Q1374" s="1">
        <v>0</v>
      </c>
      <c r="R1374" s="1">
        <v>0</v>
      </c>
      <c r="S1374" s="1">
        <v>0</v>
      </c>
      <c r="T1374" s="1">
        <v>0</v>
      </c>
      <c r="U1374" s="1">
        <v>0</v>
      </c>
      <c r="V1374" s="1" t="s">
        <v>301</v>
      </c>
    </row>
    <row r="1375" spans="1:22">
      <c r="A1375" t="s">
        <v>191</v>
      </c>
      <c r="B1375" t="s">
        <v>57</v>
      </c>
      <c r="C1375" t="s">
        <v>61</v>
      </c>
      <c r="D1375" s="1">
        <v>0</v>
      </c>
      <c r="E1375" s="1">
        <v>0</v>
      </c>
      <c r="F1375" s="1">
        <v>0</v>
      </c>
      <c r="G1375" s="1">
        <v>0</v>
      </c>
      <c r="H1375" s="1">
        <v>0</v>
      </c>
      <c r="I1375" s="1">
        <v>0</v>
      </c>
      <c r="J1375" s="1">
        <v>0</v>
      </c>
      <c r="K1375" s="1">
        <v>0</v>
      </c>
      <c r="L1375" s="1">
        <v>0</v>
      </c>
      <c r="M1375" s="1">
        <v>0</v>
      </c>
      <c r="N1375" s="1">
        <v>0</v>
      </c>
      <c r="O1375" s="1">
        <v>0</v>
      </c>
      <c r="P1375" s="1">
        <v>0</v>
      </c>
      <c r="Q1375" s="1">
        <v>0</v>
      </c>
      <c r="R1375" s="1">
        <v>0</v>
      </c>
      <c r="S1375" s="1">
        <v>0</v>
      </c>
      <c r="T1375" s="1">
        <v>0</v>
      </c>
      <c r="U1375" s="1">
        <v>0</v>
      </c>
      <c r="V1375" s="1" t="s">
        <v>301</v>
      </c>
    </row>
    <row r="1376" spans="1:22">
      <c r="A1376" t="s">
        <v>191</v>
      </c>
      <c r="B1376" t="s">
        <v>57</v>
      </c>
      <c r="C1376" t="s">
        <v>62</v>
      </c>
      <c r="D1376" s="1">
        <v>0</v>
      </c>
      <c r="E1376" s="1">
        <v>1</v>
      </c>
      <c r="F1376" s="1">
        <v>0</v>
      </c>
      <c r="G1376" s="1">
        <v>0</v>
      </c>
      <c r="H1376" s="1">
        <v>0</v>
      </c>
      <c r="I1376" s="1">
        <v>0</v>
      </c>
      <c r="J1376" s="1">
        <v>0</v>
      </c>
      <c r="K1376" s="1">
        <v>0</v>
      </c>
      <c r="L1376" s="1">
        <v>0</v>
      </c>
      <c r="M1376" s="1">
        <v>1</v>
      </c>
      <c r="N1376" s="1">
        <v>0</v>
      </c>
      <c r="O1376" s="1">
        <v>0</v>
      </c>
      <c r="P1376" s="1">
        <v>1</v>
      </c>
      <c r="Q1376" s="1">
        <v>0</v>
      </c>
      <c r="R1376" s="1">
        <v>1</v>
      </c>
      <c r="S1376" s="1">
        <v>0</v>
      </c>
      <c r="T1376" s="1">
        <v>0</v>
      </c>
      <c r="U1376" s="1">
        <v>1</v>
      </c>
      <c r="V1376" s="1" t="s">
        <v>301</v>
      </c>
    </row>
    <row r="1377" spans="1:22">
      <c r="A1377" t="s">
        <v>191</v>
      </c>
      <c r="B1377" t="s">
        <v>57</v>
      </c>
      <c r="C1377" t="s">
        <v>63</v>
      </c>
      <c r="D1377" s="1">
        <v>0</v>
      </c>
      <c r="E1377" s="1">
        <v>0</v>
      </c>
      <c r="F1377" s="1">
        <v>0</v>
      </c>
      <c r="G1377" s="1">
        <v>0</v>
      </c>
      <c r="H1377" s="1">
        <v>0</v>
      </c>
      <c r="I1377" s="1">
        <v>0</v>
      </c>
      <c r="J1377" s="1">
        <v>0</v>
      </c>
      <c r="K1377" s="1">
        <v>0</v>
      </c>
      <c r="L1377" s="1">
        <v>0</v>
      </c>
      <c r="M1377" s="1">
        <v>0</v>
      </c>
      <c r="N1377" s="1">
        <v>0</v>
      </c>
      <c r="O1377" s="1">
        <v>0</v>
      </c>
      <c r="P1377" s="1">
        <v>0</v>
      </c>
      <c r="Q1377" s="1">
        <v>0</v>
      </c>
      <c r="R1377" s="1">
        <v>0</v>
      </c>
      <c r="S1377" s="1">
        <v>0</v>
      </c>
      <c r="T1377" s="1">
        <v>0</v>
      </c>
      <c r="U1377" s="1">
        <v>0</v>
      </c>
      <c r="V1377" s="1" t="s">
        <v>301</v>
      </c>
    </row>
    <row r="1378" spans="1:22">
      <c r="A1378" t="s">
        <v>191</v>
      </c>
      <c r="B1378" t="s">
        <v>57</v>
      </c>
      <c r="C1378" t="s">
        <v>64</v>
      </c>
      <c r="D1378" s="1">
        <v>0</v>
      </c>
      <c r="E1378" s="1">
        <v>1</v>
      </c>
      <c r="F1378" s="1">
        <v>0</v>
      </c>
      <c r="G1378" s="1">
        <v>1</v>
      </c>
      <c r="H1378" s="1">
        <v>0</v>
      </c>
      <c r="I1378" s="1">
        <v>0</v>
      </c>
      <c r="J1378" s="1">
        <v>0</v>
      </c>
      <c r="K1378" s="1">
        <v>0</v>
      </c>
      <c r="L1378" s="1">
        <v>0</v>
      </c>
      <c r="M1378" s="1">
        <v>2</v>
      </c>
      <c r="N1378" s="1">
        <v>0</v>
      </c>
      <c r="O1378" s="1">
        <v>0</v>
      </c>
      <c r="P1378" s="1">
        <v>2</v>
      </c>
      <c r="Q1378" s="1">
        <v>0</v>
      </c>
      <c r="R1378" s="1">
        <v>1</v>
      </c>
      <c r="S1378" s="1">
        <v>1</v>
      </c>
      <c r="T1378" s="1">
        <v>0</v>
      </c>
      <c r="U1378" s="1">
        <v>2</v>
      </c>
      <c r="V1378" s="1" t="s">
        <v>301</v>
      </c>
    </row>
    <row r="1379" spans="1:22">
      <c r="A1379" t="s">
        <v>191</v>
      </c>
      <c r="B1379" t="s">
        <v>57</v>
      </c>
      <c r="C1379" t="s">
        <v>65</v>
      </c>
      <c r="D1379" s="1">
        <v>0</v>
      </c>
      <c r="E1379" s="1">
        <v>0</v>
      </c>
      <c r="F1379" s="1">
        <v>0</v>
      </c>
      <c r="G1379" s="1">
        <v>0</v>
      </c>
      <c r="H1379" s="1">
        <v>0</v>
      </c>
      <c r="I1379" s="1">
        <v>0</v>
      </c>
      <c r="J1379" s="1">
        <v>0</v>
      </c>
      <c r="K1379" s="1">
        <v>0</v>
      </c>
      <c r="L1379" s="1">
        <v>0</v>
      </c>
      <c r="M1379" s="1">
        <v>0</v>
      </c>
      <c r="N1379" s="1">
        <v>0</v>
      </c>
      <c r="O1379" s="1">
        <v>0</v>
      </c>
      <c r="P1379" s="1">
        <v>0</v>
      </c>
      <c r="Q1379" s="1">
        <v>0</v>
      </c>
      <c r="R1379" s="1">
        <v>0</v>
      </c>
      <c r="S1379" s="1">
        <v>0</v>
      </c>
      <c r="T1379" s="1">
        <v>0</v>
      </c>
      <c r="U1379" s="1">
        <v>0</v>
      </c>
      <c r="V1379" s="1" t="s">
        <v>301</v>
      </c>
    </row>
    <row r="1380" spans="1:22">
      <c r="A1380" t="s">
        <v>192</v>
      </c>
      <c r="B1380" t="s">
        <v>57</v>
      </c>
      <c r="C1380" t="s">
        <v>58</v>
      </c>
      <c r="D1380" s="1">
        <v>0</v>
      </c>
      <c r="E1380" s="1">
        <v>0</v>
      </c>
      <c r="F1380" s="1">
        <v>0</v>
      </c>
      <c r="G1380" s="1">
        <v>0</v>
      </c>
      <c r="H1380" s="1">
        <v>0</v>
      </c>
      <c r="I1380" s="1">
        <v>0</v>
      </c>
      <c r="J1380" s="1">
        <v>0</v>
      </c>
      <c r="K1380" s="1">
        <v>0</v>
      </c>
      <c r="L1380" s="1">
        <v>0</v>
      </c>
      <c r="M1380" s="1">
        <v>0</v>
      </c>
      <c r="N1380" s="1">
        <v>0</v>
      </c>
      <c r="O1380" s="1">
        <v>0</v>
      </c>
      <c r="P1380" s="1">
        <v>0</v>
      </c>
      <c r="Q1380" s="1">
        <v>0</v>
      </c>
      <c r="R1380" s="1">
        <v>0</v>
      </c>
      <c r="S1380" s="1">
        <v>0</v>
      </c>
      <c r="T1380" s="1">
        <v>0</v>
      </c>
      <c r="U1380" s="1">
        <v>10</v>
      </c>
      <c r="V1380" s="1" t="s">
        <v>301</v>
      </c>
    </row>
    <row r="1381" spans="1:22">
      <c r="A1381" t="s">
        <v>192</v>
      </c>
      <c r="B1381" t="s">
        <v>57</v>
      </c>
      <c r="C1381" t="s">
        <v>59</v>
      </c>
      <c r="D1381" s="1">
        <v>0</v>
      </c>
      <c r="E1381" s="1">
        <v>1</v>
      </c>
      <c r="F1381" s="1">
        <v>1</v>
      </c>
      <c r="G1381" s="1">
        <v>0</v>
      </c>
      <c r="H1381" s="1">
        <v>0</v>
      </c>
      <c r="I1381" s="1">
        <v>0</v>
      </c>
      <c r="J1381" s="1">
        <v>1</v>
      </c>
      <c r="K1381" s="1">
        <v>0</v>
      </c>
      <c r="L1381" s="1">
        <v>1</v>
      </c>
      <c r="M1381" s="1">
        <v>0</v>
      </c>
      <c r="N1381" s="1">
        <v>0</v>
      </c>
      <c r="O1381" s="1">
        <v>1</v>
      </c>
      <c r="P1381" s="1">
        <v>1</v>
      </c>
      <c r="Q1381" s="1">
        <v>0</v>
      </c>
      <c r="R1381" s="1">
        <v>1</v>
      </c>
      <c r="S1381" s="1">
        <v>1</v>
      </c>
      <c r="T1381" s="1">
        <v>0</v>
      </c>
      <c r="U1381" s="1">
        <v>2</v>
      </c>
      <c r="V1381" s="1" t="s">
        <v>301</v>
      </c>
    </row>
    <row r="1382" spans="1:22">
      <c r="A1382" t="s">
        <v>192</v>
      </c>
      <c r="B1382" t="s">
        <v>57</v>
      </c>
      <c r="C1382" t="s">
        <v>60</v>
      </c>
      <c r="D1382" s="1">
        <v>0</v>
      </c>
      <c r="E1382" s="1">
        <v>0</v>
      </c>
      <c r="F1382" s="1">
        <v>0</v>
      </c>
      <c r="G1382" s="1">
        <v>0</v>
      </c>
      <c r="H1382" s="1">
        <v>0</v>
      </c>
      <c r="I1382" s="1">
        <v>0</v>
      </c>
      <c r="J1382" s="1">
        <v>0</v>
      </c>
      <c r="K1382" s="1">
        <v>0</v>
      </c>
      <c r="L1382" s="1">
        <v>0</v>
      </c>
      <c r="M1382" s="1">
        <v>0</v>
      </c>
      <c r="N1382" s="1">
        <v>0</v>
      </c>
      <c r="O1382" s="1">
        <v>0</v>
      </c>
      <c r="P1382" s="1">
        <v>0</v>
      </c>
      <c r="Q1382" s="1">
        <v>0</v>
      </c>
      <c r="R1382" s="1">
        <v>0</v>
      </c>
      <c r="S1382" s="1">
        <v>0</v>
      </c>
      <c r="T1382" s="1">
        <v>0</v>
      </c>
      <c r="U1382" s="1">
        <v>0</v>
      </c>
      <c r="V1382" s="1" t="s">
        <v>301</v>
      </c>
    </row>
    <row r="1383" spans="1:22">
      <c r="A1383" t="s">
        <v>192</v>
      </c>
      <c r="B1383" t="s">
        <v>57</v>
      </c>
      <c r="C1383" t="s">
        <v>61</v>
      </c>
      <c r="D1383" s="1">
        <v>0</v>
      </c>
      <c r="E1383" s="1">
        <v>0</v>
      </c>
      <c r="F1383" s="1">
        <v>0</v>
      </c>
      <c r="G1383" s="1">
        <v>0</v>
      </c>
      <c r="H1383" s="1">
        <v>0</v>
      </c>
      <c r="I1383" s="1">
        <v>0</v>
      </c>
      <c r="J1383" s="1">
        <v>0</v>
      </c>
      <c r="K1383" s="1">
        <v>0</v>
      </c>
      <c r="L1383" s="1">
        <v>0</v>
      </c>
      <c r="M1383" s="1">
        <v>0</v>
      </c>
      <c r="N1383" s="1">
        <v>0</v>
      </c>
      <c r="O1383" s="1">
        <v>0</v>
      </c>
      <c r="P1383" s="1">
        <v>0</v>
      </c>
      <c r="Q1383" s="1">
        <v>0</v>
      </c>
      <c r="R1383" s="1">
        <v>0</v>
      </c>
      <c r="S1383" s="1">
        <v>0</v>
      </c>
      <c r="T1383" s="1">
        <v>0</v>
      </c>
      <c r="U1383" s="1">
        <v>0</v>
      </c>
      <c r="V1383" s="1" t="s">
        <v>301</v>
      </c>
    </row>
    <row r="1384" spans="1:22">
      <c r="A1384" t="s">
        <v>192</v>
      </c>
      <c r="B1384" t="s">
        <v>57</v>
      </c>
      <c r="C1384" t="s">
        <v>62</v>
      </c>
      <c r="D1384" s="1">
        <v>0</v>
      </c>
      <c r="E1384" s="1">
        <v>0</v>
      </c>
      <c r="F1384" s="1">
        <v>0</v>
      </c>
      <c r="G1384" s="1">
        <v>0</v>
      </c>
      <c r="H1384" s="1">
        <v>0</v>
      </c>
      <c r="I1384" s="1">
        <v>0</v>
      </c>
      <c r="J1384" s="1">
        <v>0</v>
      </c>
      <c r="K1384" s="1">
        <v>0</v>
      </c>
      <c r="L1384" s="1">
        <v>0</v>
      </c>
      <c r="M1384" s="1">
        <v>0</v>
      </c>
      <c r="N1384" s="1">
        <v>0</v>
      </c>
      <c r="O1384" s="1">
        <v>0</v>
      </c>
      <c r="P1384" s="1">
        <v>0</v>
      </c>
      <c r="Q1384" s="1">
        <v>0</v>
      </c>
      <c r="R1384" s="1">
        <v>0</v>
      </c>
      <c r="S1384" s="1">
        <v>0</v>
      </c>
      <c r="T1384" s="1">
        <v>0</v>
      </c>
      <c r="U1384" s="1">
        <v>0</v>
      </c>
      <c r="V1384" s="1" t="s">
        <v>301</v>
      </c>
    </row>
    <row r="1385" spans="1:22">
      <c r="A1385" t="s">
        <v>192</v>
      </c>
      <c r="B1385" t="s">
        <v>57</v>
      </c>
      <c r="C1385" t="s">
        <v>63</v>
      </c>
      <c r="D1385" s="1">
        <v>0</v>
      </c>
      <c r="E1385" s="1">
        <v>0</v>
      </c>
      <c r="F1385" s="1">
        <v>0</v>
      </c>
      <c r="G1385" s="1">
        <v>0</v>
      </c>
      <c r="H1385" s="1">
        <v>0</v>
      </c>
      <c r="I1385" s="1">
        <v>0</v>
      </c>
      <c r="J1385" s="1">
        <v>0</v>
      </c>
      <c r="K1385" s="1">
        <v>0</v>
      </c>
      <c r="L1385" s="1">
        <v>0</v>
      </c>
      <c r="M1385" s="1">
        <v>0</v>
      </c>
      <c r="N1385" s="1">
        <v>0</v>
      </c>
      <c r="O1385" s="1">
        <v>0</v>
      </c>
      <c r="P1385" s="1">
        <v>0</v>
      </c>
      <c r="Q1385" s="1">
        <v>0</v>
      </c>
      <c r="R1385" s="1">
        <v>0</v>
      </c>
      <c r="S1385" s="1">
        <v>0</v>
      </c>
      <c r="T1385" s="1">
        <v>0</v>
      </c>
      <c r="U1385" s="1">
        <v>0</v>
      </c>
      <c r="V1385" s="1" t="s">
        <v>301</v>
      </c>
    </row>
    <row r="1386" spans="1:22">
      <c r="A1386" t="s">
        <v>192</v>
      </c>
      <c r="B1386" t="s">
        <v>57</v>
      </c>
      <c r="C1386" t="s">
        <v>64</v>
      </c>
      <c r="D1386" s="1">
        <v>0</v>
      </c>
      <c r="E1386" s="1">
        <v>1</v>
      </c>
      <c r="F1386" s="1">
        <v>1</v>
      </c>
      <c r="G1386" s="1">
        <v>0</v>
      </c>
      <c r="H1386" s="1">
        <v>0</v>
      </c>
      <c r="I1386" s="1">
        <v>0</v>
      </c>
      <c r="J1386" s="1">
        <v>1</v>
      </c>
      <c r="K1386" s="1">
        <v>0</v>
      </c>
      <c r="L1386" s="1">
        <v>1</v>
      </c>
      <c r="M1386" s="1">
        <v>0</v>
      </c>
      <c r="N1386" s="1">
        <v>0</v>
      </c>
      <c r="O1386" s="1">
        <v>1</v>
      </c>
      <c r="P1386" s="1">
        <v>1</v>
      </c>
      <c r="Q1386" s="1">
        <v>0</v>
      </c>
      <c r="R1386" s="1">
        <v>1</v>
      </c>
      <c r="S1386" s="1">
        <v>1</v>
      </c>
      <c r="T1386" s="1">
        <v>0</v>
      </c>
      <c r="U1386" s="1">
        <v>2</v>
      </c>
      <c r="V1386" s="1" t="s">
        <v>301</v>
      </c>
    </row>
    <row r="1387" spans="1:22">
      <c r="A1387" t="s">
        <v>192</v>
      </c>
      <c r="B1387" t="s">
        <v>57</v>
      </c>
      <c r="C1387" t="s">
        <v>65</v>
      </c>
      <c r="D1387" s="1">
        <v>0</v>
      </c>
      <c r="E1387" s="1">
        <v>0</v>
      </c>
      <c r="F1387" s="1">
        <v>0</v>
      </c>
      <c r="G1387" s="1">
        <v>0</v>
      </c>
      <c r="H1387" s="1">
        <v>0</v>
      </c>
      <c r="I1387" s="1">
        <v>0</v>
      </c>
      <c r="J1387" s="1">
        <v>0</v>
      </c>
      <c r="K1387" s="1">
        <v>0</v>
      </c>
      <c r="L1387" s="1">
        <v>0</v>
      </c>
      <c r="M1387" s="1">
        <v>0</v>
      </c>
      <c r="N1387" s="1">
        <v>0</v>
      </c>
      <c r="O1387" s="1">
        <v>0</v>
      </c>
      <c r="P1387" s="1">
        <v>0</v>
      </c>
      <c r="Q1387" s="1">
        <v>0</v>
      </c>
      <c r="R1387" s="1">
        <v>0</v>
      </c>
      <c r="S1387" s="1">
        <v>0</v>
      </c>
      <c r="T1387" s="1">
        <v>0</v>
      </c>
      <c r="U1387" s="1">
        <v>0</v>
      </c>
      <c r="V1387" s="1" t="s">
        <v>301</v>
      </c>
    </row>
    <row r="1388" spans="1:22">
      <c r="A1388" t="s">
        <v>193</v>
      </c>
      <c r="B1388" t="s">
        <v>57</v>
      </c>
      <c r="C1388" t="s">
        <v>58</v>
      </c>
      <c r="D1388" s="1">
        <v>0</v>
      </c>
      <c r="E1388" s="1">
        <v>0</v>
      </c>
      <c r="F1388" s="1">
        <v>0</v>
      </c>
      <c r="G1388" s="1">
        <v>0</v>
      </c>
      <c r="H1388" s="1">
        <v>0</v>
      </c>
      <c r="I1388" s="1">
        <v>0</v>
      </c>
      <c r="J1388" s="1">
        <v>0</v>
      </c>
      <c r="K1388" s="1">
        <v>0</v>
      </c>
      <c r="L1388" s="1">
        <v>0</v>
      </c>
      <c r="M1388" s="1">
        <v>0</v>
      </c>
      <c r="N1388" s="1">
        <v>0</v>
      </c>
      <c r="O1388" s="1">
        <v>0</v>
      </c>
      <c r="P1388" s="1">
        <v>0</v>
      </c>
      <c r="Q1388" s="1">
        <v>0</v>
      </c>
      <c r="R1388" s="1">
        <v>0</v>
      </c>
      <c r="S1388" s="1">
        <v>0</v>
      </c>
      <c r="T1388" s="1">
        <v>0</v>
      </c>
      <c r="U1388" s="1">
        <v>10</v>
      </c>
      <c r="V1388" s="1" t="s">
        <v>301</v>
      </c>
    </row>
    <row r="1389" spans="1:22">
      <c r="A1389" t="s">
        <v>193</v>
      </c>
      <c r="B1389" t="s">
        <v>57</v>
      </c>
      <c r="C1389" t="s">
        <v>59</v>
      </c>
      <c r="D1389" s="1">
        <v>0</v>
      </c>
      <c r="E1389" s="1">
        <v>1</v>
      </c>
      <c r="F1389" s="1">
        <v>0</v>
      </c>
      <c r="G1389" s="1">
        <v>0</v>
      </c>
      <c r="H1389" s="1">
        <v>1</v>
      </c>
      <c r="I1389" s="1">
        <v>0</v>
      </c>
      <c r="J1389" s="1">
        <v>1</v>
      </c>
      <c r="K1389" s="1">
        <v>0</v>
      </c>
      <c r="L1389" s="1">
        <v>0</v>
      </c>
      <c r="M1389" s="1">
        <v>1</v>
      </c>
      <c r="N1389" s="1">
        <v>0</v>
      </c>
      <c r="O1389" s="1">
        <v>1</v>
      </c>
      <c r="P1389" s="1">
        <v>1</v>
      </c>
      <c r="Q1389" s="1">
        <v>0</v>
      </c>
      <c r="R1389" s="1">
        <v>1</v>
      </c>
      <c r="S1389" s="1">
        <v>1</v>
      </c>
      <c r="T1389" s="1">
        <v>0</v>
      </c>
      <c r="U1389" s="1">
        <v>2</v>
      </c>
      <c r="V1389" s="1" t="s">
        <v>301</v>
      </c>
    </row>
    <row r="1390" spans="1:22">
      <c r="A1390" t="s">
        <v>193</v>
      </c>
      <c r="B1390" t="s">
        <v>57</v>
      </c>
      <c r="C1390" t="s">
        <v>60</v>
      </c>
      <c r="D1390" s="1">
        <v>0</v>
      </c>
      <c r="E1390" s="1">
        <v>0</v>
      </c>
      <c r="F1390" s="1">
        <v>0</v>
      </c>
      <c r="G1390" s="1">
        <v>0</v>
      </c>
      <c r="H1390" s="1">
        <v>0</v>
      </c>
      <c r="I1390" s="1">
        <v>0</v>
      </c>
      <c r="J1390" s="1">
        <v>0</v>
      </c>
      <c r="K1390" s="1">
        <v>0</v>
      </c>
      <c r="L1390" s="1">
        <v>0</v>
      </c>
      <c r="M1390" s="1">
        <v>0</v>
      </c>
      <c r="N1390" s="1">
        <v>0</v>
      </c>
      <c r="O1390" s="1">
        <v>0</v>
      </c>
      <c r="P1390" s="1">
        <v>0</v>
      </c>
      <c r="Q1390" s="1">
        <v>0</v>
      </c>
      <c r="R1390" s="1">
        <v>0</v>
      </c>
      <c r="S1390" s="1">
        <v>0</v>
      </c>
      <c r="T1390" s="1">
        <v>0</v>
      </c>
      <c r="U1390" s="1">
        <v>0</v>
      </c>
      <c r="V1390" s="1" t="s">
        <v>301</v>
      </c>
    </row>
    <row r="1391" spans="1:22">
      <c r="A1391" t="s">
        <v>193</v>
      </c>
      <c r="B1391" t="s">
        <v>57</v>
      </c>
      <c r="C1391" t="s">
        <v>61</v>
      </c>
      <c r="D1391" s="1">
        <v>0</v>
      </c>
      <c r="E1391" s="1">
        <v>0</v>
      </c>
      <c r="F1391" s="1">
        <v>0</v>
      </c>
      <c r="G1391" s="1">
        <v>0</v>
      </c>
      <c r="H1391" s="1">
        <v>0</v>
      </c>
      <c r="I1391" s="1">
        <v>0</v>
      </c>
      <c r="J1391" s="1">
        <v>0</v>
      </c>
      <c r="K1391" s="1">
        <v>0</v>
      </c>
      <c r="L1391" s="1">
        <v>0</v>
      </c>
      <c r="M1391" s="1">
        <v>0</v>
      </c>
      <c r="N1391" s="1">
        <v>0</v>
      </c>
      <c r="O1391" s="1">
        <v>0</v>
      </c>
      <c r="P1391" s="1">
        <v>0</v>
      </c>
      <c r="Q1391" s="1">
        <v>0</v>
      </c>
      <c r="R1391" s="1">
        <v>0</v>
      </c>
      <c r="S1391" s="1">
        <v>0</v>
      </c>
      <c r="T1391" s="1">
        <v>0</v>
      </c>
      <c r="U1391" s="1">
        <v>0</v>
      </c>
      <c r="V1391" s="1" t="s">
        <v>301</v>
      </c>
    </row>
    <row r="1392" spans="1:22">
      <c r="A1392" t="s">
        <v>193</v>
      </c>
      <c r="B1392" t="s">
        <v>57</v>
      </c>
      <c r="C1392" t="s">
        <v>62</v>
      </c>
      <c r="D1392" s="1">
        <v>0</v>
      </c>
      <c r="E1392" s="1">
        <v>0</v>
      </c>
      <c r="F1392" s="1">
        <v>0</v>
      </c>
      <c r="G1392" s="1">
        <v>0</v>
      </c>
      <c r="H1392" s="1">
        <v>0</v>
      </c>
      <c r="I1392" s="1">
        <v>0</v>
      </c>
      <c r="J1392" s="1">
        <v>0</v>
      </c>
      <c r="K1392" s="1">
        <v>0</v>
      </c>
      <c r="L1392" s="1">
        <v>0</v>
      </c>
      <c r="M1392" s="1">
        <v>0</v>
      </c>
      <c r="N1392" s="1">
        <v>0</v>
      </c>
      <c r="O1392" s="1">
        <v>0</v>
      </c>
      <c r="P1392" s="1">
        <v>0</v>
      </c>
      <c r="Q1392" s="1">
        <v>0</v>
      </c>
      <c r="R1392" s="1">
        <v>0</v>
      </c>
      <c r="S1392" s="1">
        <v>0</v>
      </c>
      <c r="T1392" s="1">
        <v>0</v>
      </c>
      <c r="U1392" s="1">
        <v>0</v>
      </c>
      <c r="V1392" s="1" t="s">
        <v>301</v>
      </c>
    </row>
    <row r="1393" spans="1:22">
      <c r="A1393" t="s">
        <v>193</v>
      </c>
      <c r="B1393" t="s">
        <v>57</v>
      </c>
      <c r="C1393" t="s">
        <v>63</v>
      </c>
      <c r="D1393" s="1">
        <v>0</v>
      </c>
      <c r="E1393" s="1">
        <v>0</v>
      </c>
      <c r="F1393" s="1">
        <v>0</v>
      </c>
      <c r="G1393" s="1">
        <v>0</v>
      </c>
      <c r="H1393" s="1">
        <v>0</v>
      </c>
      <c r="I1393" s="1">
        <v>0</v>
      </c>
      <c r="J1393" s="1">
        <v>0</v>
      </c>
      <c r="K1393" s="1">
        <v>0</v>
      </c>
      <c r="L1393" s="1">
        <v>0</v>
      </c>
      <c r="M1393" s="1">
        <v>0</v>
      </c>
      <c r="N1393" s="1">
        <v>0</v>
      </c>
      <c r="O1393" s="1">
        <v>0</v>
      </c>
      <c r="P1393" s="1">
        <v>0</v>
      </c>
      <c r="Q1393" s="1">
        <v>0</v>
      </c>
      <c r="R1393" s="1">
        <v>0</v>
      </c>
      <c r="S1393" s="1">
        <v>0</v>
      </c>
      <c r="T1393" s="1">
        <v>0</v>
      </c>
      <c r="U1393" s="1">
        <v>0</v>
      </c>
      <c r="V1393" s="1" t="s">
        <v>301</v>
      </c>
    </row>
    <row r="1394" spans="1:22">
      <c r="A1394" t="s">
        <v>193</v>
      </c>
      <c r="B1394" t="s">
        <v>57</v>
      </c>
      <c r="C1394" t="s">
        <v>64</v>
      </c>
      <c r="D1394" s="1">
        <v>0</v>
      </c>
      <c r="E1394" s="1">
        <v>1</v>
      </c>
      <c r="F1394" s="1">
        <v>0</v>
      </c>
      <c r="G1394" s="1">
        <v>0</v>
      </c>
      <c r="H1394" s="1">
        <v>1</v>
      </c>
      <c r="I1394" s="1">
        <v>0</v>
      </c>
      <c r="J1394" s="1">
        <v>1</v>
      </c>
      <c r="K1394" s="1">
        <v>0</v>
      </c>
      <c r="L1394" s="1">
        <v>0</v>
      </c>
      <c r="M1394" s="1">
        <v>1</v>
      </c>
      <c r="N1394" s="1">
        <v>0</v>
      </c>
      <c r="O1394" s="1">
        <v>1</v>
      </c>
      <c r="P1394" s="1">
        <v>1</v>
      </c>
      <c r="Q1394" s="1">
        <v>0</v>
      </c>
      <c r="R1394" s="1">
        <v>1</v>
      </c>
      <c r="S1394" s="1">
        <v>1</v>
      </c>
      <c r="T1394" s="1">
        <v>0</v>
      </c>
      <c r="U1394" s="1">
        <v>2</v>
      </c>
      <c r="V1394" s="1" t="s">
        <v>301</v>
      </c>
    </row>
    <row r="1395" spans="1:22">
      <c r="A1395" t="s">
        <v>193</v>
      </c>
      <c r="B1395" t="s">
        <v>57</v>
      </c>
      <c r="C1395" t="s">
        <v>65</v>
      </c>
      <c r="D1395" s="1">
        <v>0</v>
      </c>
      <c r="E1395" s="1">
        <v>0</v>
      </c>
      <c r="F1395" s="1">
        <v>0</v>
      </c>
      <c r="G1395" s="1">
        <v>0</v>
      </c>
      <c r="H1395" s="1">
        <v>0</v>
      </c>
      <c r="I1395" s="1">
        <v>0</v>
      </c>
      <c r="J1395" s="1">
        <v>0</v>
      </c>
      <c r="K1395" s="1">
        <v>0</v>
      </c>
      <c r="L1395" s="1">
        <v>0</v>
      </c>
      <c r="M1395" s="1">
        <v>0</v>
      </c>
      <c r="N1395" s="1">
        <v>0</v>
      </c>
      <c r="O1395" s="1">
        <v>0</v>
      </c>
      <c r="P1395" s="1">
        <v>0</v>
      </c>
      <c r="Q1395" s="1">
        <v>0</v>
      </c>
      <c r="R1395" s="1">
        <v>0</v>
      </c>
      <c r="S1395" s="1">
        <v>0</v>
      </c>
      <c r="T1395" s="1">
        <v>0</v>
      </c>
      <c r="U1395" s="1">
        <v>0</v>
      </c>
      <c r="V1395" s="1" t="s">
        <v>301</v>
      </c>
    </row>
    <row r="1396" spans="1:22">
      <c r="A1396" t="s">
        <v>194</v>
      </c>
      <c r="B1396" t="s">
        <v>57</v>
      </c>
      <c r="C1396" t="s">
        <v>58</v>
      </c>
      <c r="D1396" s="1">
        <v>0</v>
      </c>
      <c r="E1396" s="1">
        <v>0</v>
      </c>
      <c r="F1396" s="1">
        <v>0</v>
      </c>
      <c r="G1396" s="1">
        <v>0</v>
      </c>
      <c r="H1396" s="1">
        <v>0</v>
      </c>
      <c r="I1396" s="1">
        <v>0</v>
      </c>
      <c r="J1396" s="1">
        <v>0</v>
      </c>
      <c r="K1396" s="1">
        <v>0</v>
      </c>
      <c r="L1396" s="1">
        <v>0</v>
      </c>
      <c r="M1396" s="1">
        <v>0</v>
      </c>
      <c r="N1396" s="1">
        <v>0</v>
      </c>
      <c r="O1396" s="1">
        <v>0</v>
      </c>
      <c r="P1396" s="1">
        <v>0</v>
      </c>
      <c r="Q1396" s="1">
        <v>0</v>
      </c>
      <c r="R1396" s="1">
        <v>0</v>
      </c>
      <c r="S1396" s="1">
        <v>0</v>
      </c>
      <c r="T1396" s="1">
        <v>0</v>
      </c>
      <c r="U1396" s="1">
        <v>10</v>
      </c>
      <c r="V1396" s="1" t="s">
        <v>301</v>
      </c>
    </row>
    <row r="1397" spans="1:22">
      <c r="A1397" t="s">
        <v>194</v>
      </c>
      <c r="B1397" t="s">
        <v>57</v>
      </c>
      <c r="C1397" t="s">
        <v>59</v>
      </c>
      <c r="D1397" s="1">
        <v>0</v>
      </c>
      <c r="E1397" s="1">
        <v>0</v>
      </c>
      <c r="F1397" s="1">
        <v>2</v>
      </c>
      <c r="G1397" s="1">
        <v>0</v>
      </c>
      <c r="H1397" s="1">
        <v>0</v>
      </c>
      <c r="I1397" s="1">
        <v>0</v>
      </c>
      <c r="J1397" s="1">
        <v>0</v>
      </c>
      <c r="K1397" s="1">
        <v>0</v>
      </c>
      <c r="L1397" s="1">
        <v>0</v>
      </c>
      <c r="M1397" s="1">
        <v>2</v>
      </c>
      <c r="N1397" s="1">
        <v>1</v>
      </c>
      <c r="O1397" s="1">
        <v>0</v>
      </c>
      <c r="P1397" s="1">
        <v>0</v>
      </c>
      <c r="Q1397" s="1">
        <v>1</v>
      </c>
      <c r="R1397" s="1">
        <v>2</v>
      </c>
      <c r="S1397" s="1">
        <v>0</v>
      </c>
      <c r="T1397" s="1">
        <v>0</v>
      </c>
      <c r="U1397" s="1">
        <v>2</v>
      </c>
      <c r="V1397" s="1" t="s">
        <v>301</v>
      </c>
    </row>
    <row r="1398" spans="1:22">
      <c r="A1398" t="s">
        <v>194</v>
      </c>
      <c r="B1398" t="s">
        <v>57</v>
      </c>
      <c r="C1398" t="s">
        <v>60</v>
      </c>
      <c r="D1398" s="1">
        <v>0</v>
      </c>
      <c r="E1398" s="1">
        <v>0</v>
      </c>
      <c r="F1398" s="1">
        <v>0</v>
      </c>
      <c r="G1398" s="1">
        <v>0</v>
      </c>
      <c r="H1398" s="1">
        <v>0</v>
      </c>
      <c r="I1398" s="1">
        <v>0</v>
      </c>
      <c r="J1398" s="1">
        <v>0</v>
      </c>
      <c r="K1398" s="1">
        <v>0</v>
      </c>
      <c r="L1398" s="1">
        <v>0</v>
      </c>
      <c r="M1398" s="1">
        <v>0</v>
      </c>
      <c r="N1398" s="1">
        <v>0</v>
      </c>
      <c r="O1398" s="1">
        <v>0</v>
      </c>
      <c r="P1398" s="1">
        <v>0</v>
      </c>
      <c r="Q1398" s="1">
        <v>0</v>
      </c>
      <c r="R1398" s="1">
        <v>0</v>
      </c>
      <c r="S1398" s="1">
        <v>0</v>
      </c>
      <c r="T1398" s="1">
        <v>0</v>
      </c>
      <c r="U1398" s="1">
        <v>0</v>
      </c>
      <c r="V1398" s="1" t="s">
        <v>301</v>
      </c>
    </row>
    <row r="1399" spans="1:22">
      <c r="A1399" t="s">
        <v>194</v>
      </c>
      <c r="B1399" t="s">
        <v>57</v>
      </c>
      <c r="C1399" t="s">
        <v>61</v>
      </c>
      <c r="D1399" s="1">
        <v>0</v>
      </c>
      <c r="E1399" s="1">
        <v>0</v>
      </c>
      <c r="F1399" s="1">
        <v>0</v>
      </c>
      <c r="G1399" s="1">
        <v>0</v>
      </c>
      <c r="H1399" s="1">
        <v>0</v>
      </c>
      <c r="I1399" s="1">
        <v>0</v>
      </c>
      <c r="J1399" s="1">
        <v>0</v>
      </c>
      <c r="K1399" s="1">
        <v>0</v>
      </c>
      <c r="L1399" s="1">
        <v>0</v>
      </c>
      <c r="M1399" s="1">
        <v>0</v>
      </c>
      <c r="N1399" s="1">
        <v>0</v>
      </c>
      <c r="O1399" s="1">
        <v>0</v>
      </c>
      <c r="P1399" s="1">
        <v>0</v>
      </c>
      <c r="Q1399" s="1">
        <v>0</v>
      </c>
      <c r="R1399" s="1">
        <v>0</v>
      </c>
      <c r="S1399" s="1">
        <v>0</v>
      </c>
      <c r="T1399" s="1">
        <v>0</v>
      </c>
      <c r="U1399" s="1">
        <v>0</v>
      </c>
      <c r="V1399" s="1" t="s">
        <v>301</v>
      </c>
    </row>
    <row r="1400" spans="1:22">
      <c r="A1400" t="s">
        <v>194</v>
      </c>
      <c r="B1400" t="s">
        <v>57</v>
      </c>
      <c r="C1400" t="s">
        <v>62</v>
      </c>
      <c r="D1400" s="1">
        <v>0</v>
      </c>
      <c r="E1400" s="1">
        <v>1</v>
      </c>
      <c r="F1400" s="1">
        <v>0</v>
      </c>
      <c r="G1400" s="1">
        <v>1</v>
      </c>
      <c r="H1400" s="1">
        <v>0</v>
      </c>
      <c r="I1400" s="1">
        <v>0</v>
      </c>
      <c r="J1400" s="1">
        <v>0</v>
      </c>
      <c r="K1400" s="1">
        <v>1</v>
      </c>
      <c r="L1400" s="1">
        <v>0</v>
      </c>
      <c r="M1400" s="1">
        <v>1</v>
      </c>
      <c r="N1400" s="1">
        <v>1</v>
      </c>
      <c r="O1400" s="1">
        <v>0</v>
      </c>
      <c r="P1400" s="1">
        <v>0</v>
      </c>
      <c r="Q1400" s="1">
        <v>1</v>
      </c>
      <c r="R1400" s="1">
        <v>1</v>
      </c>
      <c r="S1400" s="1">
        <v>1</v>
      </c>
      <c r="T1400" s="1">
        <v>0</v>
      </c>
      <c r="U1400" s="1">
        <v>2</v>
      </c>
      <c r="V1400" s="1" t="s">
        <v>301</v>
      </c>
    </row>
    <row r="1401" spans="1:22">
      <c r="A1401" t="s">
        <v>194</v>
      </c>
      <c r="B1401" t="s">
        <v>57</v>
      </c>
      <c r="C1401" t="s">
        <v>63</v>
      </c>
      <c r="D1401" s="1">
        <v>0</v>
      </c>
      <c r="E1401" s="1">
        <v>0</v>
      </c>
      <c r="F1401" s="1">
        <v>0</v>
      </c>
      <c r="G1401" s="1">
        <v>0</v>
      </c>
      <c r="H1401" s="1">
        <v>0</v>
      </c>
      <c r="I1401" s="1">
        <v>0</v>
      </c>
      <c r="J1401" s="1">
        <v>0</v>
      </c>
      <c r="K1401" s="1">
        <v>0</v>
      </c>
      <c r="L1401" s="1">
        <v>0</v>
      </c>
      <c r="M1401" s="1">
        <v>0</v>
      </c>
      <c r="N1401" s="1">
        <v>0</v>
      </c>
      <c r="O1401" s="1">
        <v>0</v>
      </c>
      <c r="P1401" s="1">
        <v>0</v>
      </c>
      <c r="Q1401" s="1">
        <v>0</v>
      </c>
      <c r="R1401" s="1">
        <v>0</v>
      </c>
      <c r="S1401" s="1">
        <v>0</v>
      </c>
      <c r="T1401" s="1">
        <v>0</v>
      </c>
      <c r="U1401" s="1">
        <v>0</v>
      </c>
      <c r="V1401" s="1" t="s">
        <v>301</v>
      </c>
    </row>
    <row r="1402" spans="1:22">
      <c r="A1402" t="s">
        <v>194</v>
      </c>
      <c r="B1402" t="s">
        <v>57</v>
      </c>
      <c r="C1402" t="s">
        <v>64</v>
      </c>
      <c r="D1402" s="1">
        <v>0</v>
      </c>
      <c r="E1402" s="1">
        <v>1</v>
      </c>
      <c r="F1402" s="1">
        <v>2</v>
      </c>
      <c r="G1402" s="1">
        <v>1</v>
      </c>
      <c r="H1402" s="1">
        <v>0</v>
      </c>
      <c r="I1402" s="1">
        <v>0</v>
      </c>
      <c r="J1402" s="1">
        <v>0</v>
      </c>
      <c r="K1402" s="1">
        <v>1</v>
      </c>
      <c r="L1402" s="1">
        <v>0</v>
      </c>
      <c r="M1402" s="1">
        <v>3</v>
      </c>
      <c r="N1402" s="1">
        <v>2</v>
      </c>
      <c r="O1402" s="1">
        <v>0</v>
      </c>
      <c r="P1402" s="1">
        <v>0</v>
      </c>
      <c r="Q1402" s="1">
        <v>2</v>
      </c>
      <c r="R1402" s="1">
        <v>3</v>
      </c>
      <c r="S1402" s="1">
        <v>1</v>
      </c>
      <c r="T1402" s="1">
        <v>0</v>
      </c>
      <c r="U1402" s="1">
        <v>4</v>
      </c>
      <c r="V1402" s="1" t="s">
        <v>301</v>
      </c>
    </row>
    <row r="1403" spans="1:22">
      <c r="A1403" t="s">
        <v>194</v>
      </c>
      <c r="B1403" t="s">
        <v>57</v>
      </c>
      <c r="C1403" t="s">
        <v>65</v>
      </c>
      <c r="D1403" s="1">
        <v>0</v>
      </c>
      <c r="E1403" s="1">
        <v>0</v>
      </c>
      <c r="F1403" s="1">
        <v>0</v>
      </c>
      <c r="G1403" s="1">
        <v>0</v>
      </c>
      <c r="H1403" s="1">
        <v>0</v>
      </c>
      <c r="I1403" s="1">
        <v>0</v>
      </c>
      <c r="J1403" s="1">
        <v>0</v>
      </c>
      <c r="K1403" s="1">
        <v>0</v>
      </c>
      <c r="L1403" s="1">
        <v>0</v>
      </c>
      <c r="M1403" s="1">
        <v>0</v>
      </c>
      <c r="N1403" s="1">
        <v>0</v>
      </c>
      <c r="O1403" s="1">
        <v>0</v>
      </c>
      <c r="P1403" s="1">
        <v>0</v>
      </c>
      <c r="Q1403" s="1">
        <v>0</v>
      </c>
      <c r="R1403" s="1">
        <v>0</v>
      </c>
      <c r="S1403" s="1">
        <v>0</v>
      </c>
      <c r="T1403" s="1">
        <v>0</v>
      </c>
      <c r="U1403" s="1">
        <v>0</v>
      </c>
      <c r="V1403" s="1" t="s">
        <v>301</v>
      </c>
    </row>
    <row r="1404" spans="1:22">
      <c r="A1404" t="s">
        <v>195</v>
      </c>
      <c r="B1404" t="s">
        <v>57</v>
      </c>
      <c r="C1404" t="s">
        <v>58</v>
      </c>
      <c r="D1404" s="1">
        <v>0</v>
      </c>
      <c r="E1404" s="1">
        <v>0</v>
      </c>
      <c r="F1404" s="1">
        <v>0</v>
      </c>
      <c r="G1404" s="1">
        <v>0</v>
      </c>
      <c r="H1404" s="1">
        <v>0</v>
      </c>
      <c r="I1404" s="1">
        <v>0</v>
      </c>
      <c r="J1404" s="1">
        <v>0</v>
      </c>
      <c r="K1404" s="1">
        <v>0</v>
      </c>
      <c r="L1404" s="1">
        <v>0</v>
      </c>
      <c r="M1404" s="1">
        <v>0</v>
      </c>
      <c r="N1404" s="1">
        <v>0</v>
      </c>
      <c r="O1404" s="1">
        <v>0</v>
      </c>
      <c r="P1404" s="1">
        <v>0</v>
      </c>
      <c r="Q1404" s="1">
        <v>0</v>
      </c>
      <c r="R1404" s="1">
        <v>0</v>
      </c>
      <c r="S1404" s="1">
        <v>0</v>
      </c>
      <c r="T1404" s="1">
        <v>0</v>
      </c>
      <c r="U1404" s="1">
        <v>10</v>
      </c>
      <c r="V1404" s="1" t="s">
        <v>301</v>
      </c>
    </row>
    <row r="1405" spans="1:22">
      <c r="A1405" t="s">
        <v>195</v>
      </c>
      <c r="B1405" t="s">
        <v>57</v>
      </c>
      <c r="C1405" t="s">
        <v>59</v>
      </c>
      <c r="D1405" s="1">
        <v>1</v>
      </c>
      <c r="E1405" s="1">
        <v>0</v>
      </c>
      <c r="F1405" s="1">
        <v>0</v>
      </c>
      <c r="G1405" s="1">
        <v>0</v>
      </c>
      <c r="H1405" s="1">
        <v>1</v>
      </c>
      <c r="I1405" s="1">
        <v>1</v>
      </c>
      <c r="J1405" s="1">
        <v>0</v>
      </c>
      <c r="K1405" s="1">
        <v>0</v>
      </c>
      <c r="L1405" s="1">
        <v>0</v>
      </c>
      <c r="M1405" s="1">
        <v>1</v>
      </c>
      <c r="N1405" s="1">
        <v>1</v>
      </c>
      <c r="O1405" s="1">
        <v>0</v>
      </c>
      <c r="P1405" s="1">
        <v>1</v>
      </c>
      <c r="Q1405" s="1">
        <v>0</v>
      </c>
      <c r="R1405" s="1">
        <v>1</v>
      </c>
      <c r="S1405" s="1">
        <v>1</v>
      </c>
      <c r="T1405" s="1">
        <v>0</v>
      </c>
      <c r="U1405" s="1">
        <v>2</v>
      </c>
      <c r="V1405" s="1" t="s">
        <v>301</v>
      </c>
    </row>
    <row r="1406" spans="1:22">
      <c r="A1406" t="s">
        <v>195</v>
      </c>
      <c r="B1406" t="s">
        <v>57</v>
      </c>
      <c r="C1406" t="s">
        <v>60</v>
      </c>
      <c r="D1406" s="1">
        <v>0</v>
      </c>
      <c r="E1406" s="1">
        <v>0</v>
      </c>
      <c r="F1406" s="1">
        <v>0</v>
      </c>
      <c r="G1406" s="1">
        <v>0</v>
      </c>
      <c r="H1406" s="1">
        <v>0</v>
      </c>
      <c r="I1406" s="1">
        <v>0</v>
      </c>
      <c r="J1406" s="1">
        <v>0</v>
      </c>
      <c r="K1406" s="1">
        <v>0</v>
      </c>
      <c r="L1406" s="1">
        <v>0</v>
      </c>
      <c r="M1406" s="1">
        <v>0</v>
      </c>
      <c r="N1406" s="1">
        <v>0</v>
      </c>
      <c r="O1406" s="1">
        <v>0</v>
      </c>
      <c r="P1406" s="1">
        <v>0</v>
      </c>
      <c r="Q1406" s="1">
        <v>0</v>
      </c>
      <c r="R1406" s="1">
        <v>0</v>
      </c>
      <c r="S1406" s="1">
        <v>0</v>
      </c>
      <c r="T1406" s="1">
        <v>0</v>
      </c>
      <c r="U1406" s="1">
        <v>0</v>
      </c>
      <c r="V1406" s="1" t="s">
        <v>301</v>
      </c>
    </row>
    <row r="1407" spans="1:22">
      <c r="A1407" t="s">
        <v>195</v>
      </c>
      <c r="B1407" t="s">
        <v>57</v>
      </c>
      <c r="C1407" t="s">
        <v>61</v>
      </c>
      <c r="D1407" s="1">
        <v>0</v>
      </c>
      <c r="E1407" s="1">
        <v>0</v>
      </c>
      <c r="F1407" s="1">
        <v>0</v>
      </c>
      <c r="G1407" s="1">
        <v>0</v>
      </c>
      <c r="H1407" s="1">
        <v>0</v>
      </c>
      <c r="I1407" s="1">
        <v>0</v>
      </c>
      <c r="J1407" s="1">
        <v>0</v>
      </c>
      <c r="K1407" s="1">
        <v>0</v>
      </c>
      <c r="L1407" s="1">
        <v>0</v>
      </c>
      <c r="M1407" s="1">
        <v>0</v>
      </c>
      <c r="N1407" s="1">
        <v>0</v>
      </c>
      <c r="O1407" s="1">
        <v>0</v>
      </c>
      <c r="P1407" s="1">
        <v>0</v>
      </c>
      <c r="Q1407" s="1">
        <v>0</v>
      </c>
      <c r="R1407" s="1">
        <v>0</v>
      </c>
      <c r="S1407" s="1">
        <v>0</v>
      </c>
      <c r="T1407" s="1">
        <v>0</v>
      </c>
      <c r="U1407" s="1">
        <v>0</v>
      </c>
      <c r="V1407" s="1" t="s">
        <v>301</v>
      </c>
    </row>
    <row r="1408" spans="1:22">
      <c r="A1408" t="s">
        <v>195</v>
      </c>
      <c r="B1408" t="s">
        <v>57</v>
      </c>
      <c r="C1408" t="s">
        <v>62</v>
      </c>
      <c r="D1408" s="1">
        <v>0</v>
      </c>
      <c r="E1408" s="1">
        <v>0</v>
      </c>
      <c r="F1408" s="1">
        <v>0</v>
      </c>
      <c r="G1408" s="1">
        <v>0</v>
      </c>
      <c r="H1408" s="1">
        <v>0</v>
      </c>
      <c r="I1408" s="1">
        <v>0</v>
      </c>
      <c r="J1408" s="1">
        <v>0</v>
      </c>
      <c r="K1408" s="1">
        <v>0</v>
      </c>
      <c r="L1408" s="1">
        <v>0</v>
      </c>
      <c r="M1408" s="1">
        <v>0</v>
      </c>
      <c r="N1408" s="1">
        <v>0</v>
      </c>
      <c r="O1408" s="1">
        <v>0</v>
      </c>
      <c r="P1408" s="1">
        <v>0</v>
      </c>
      <c r="Q1408" s="1">
        <v>0</v>
      </c>
      <c r="R1408" s="1">
        <v>0</v>
      </c>
      <c r="S1408" s="1">
        <v>0</v>
      </c>
      <c r="T1408" s="1">
        <v>0</v>
      </c>
      <c r="U1408" s="1">
        <v>0</v>
      </c>
      <c r="V1408" s="1" t="s">
        <v>301</v>
      </c>
    </row>
    <row r="1409" spans="1:22">
      <c r="A1409" t="s">
        <v>195</v>
      </c>
      <c r="B1409" t="s">
        <v>57</v>
      </c>
      <c r="C1409" t="s">
        <v>63</v>
      </c>
      <c r="D1409" s="1">
        <v>0</v>
      </c>
      <c r="E1409" s="1">
        <v>0</v>
      </c>
      <c r="F1409" s="1">
        <v>0</v>
      </c>
      <c r="G1409" s="1">
        <v>0</v>
      </c>
      <c r="H1409" s="1">
        <v>0</v>
      </c>
      <c r="I1409" s="1">
        <v>0</v>
      </c>
      <c r="J1409" s="1">
        <v>0</v>
      </c>
      <c r="K1409" s="1">
        <v>0</v>
      </c>
      <c r="L1409" s="1">
        <v>0</v>
      </c>
      <c r="M1409" s="1">
        <v>0</v>
      </c>
      <c r="N1409" s="1">
        <v>0</v>
      </c>
      <c r="O1409" s="1">
        <v>0</v>
      </c>
      <c r="P1409" s="1">
        <v>0</v>
      </c>
      <c r="Q1409" s="1">
        <v>0</v>
      </c>
      <c r="R1409" s="1">
        <v>0</v>
      </c>
      <c r="S1409" s="1">
        <v>0</v>
      </c>
      <c r="T1409" s="1">
        <v>0</v>
      </c>
      <c r="U1409" s="1">
        <v>0</v>
      </c>
      <c r="V1409" s="1" t="s">
        <v>301</v>
      </c>
    </row>
    <row r="1410" spans="1:22">
      <c r="A1410" t="s">
        <v>195</v>
      </c>
      <c r="B1410" t="s">
        <v>57</v>
      </c>
      <c r="C1410" t="s">
        <v>64</v>
      </c>
      <c r="D1410" s="1">
        <v>1</v>
      </c>
      <c r="E1410" s="1">
        <v>0</v>
      </c>
      <c r="F1410" s="1">
        <v>0</v>
      </c>
      <c r="G1410" s="1">
        <v>0</v>
      </c>
      <c r="H1410" s="1">
        <v>1</v>
      </c>
      <c r="I1410" s="1">
        <v>1</v>
      </c>
      <c r="J1410" s="1">
        <v>0</v>
      </c>
      <c r="K1410" s="1">
        <v>0</v>
      </c>
      <c r="L1410" s="1">
        <v>0</v>
      </c>
      <c r="M1410" s="1">
        <v>1</v>
      </c>
      <c r="N1410" s="1">
        <v>1</v>
      </c>
      <c r="O1410" s="1">
        <v>0</v>
      </c>
      <c r="P1410" s="1">
        <v>1</v>
      </c>
      <c r="Q1410" s="1">
        <v>0</v>
      </c>
      <c r="R1410" s="1">
        <v>1</v>
      </c>
      <c r="S1410" s="1">
        <v>1</v>
      </c>
      <c r="T1410" s="1">
        <v>0</v>
      </c>
      <c r="U1410" s="1">
        <v>2</v>
      </c>
      <c r="V1410" s="1" t="s">
        <v>301</v>
      </c>
    </row>
    <row r="1411" spans="1:22">
      <c r="A1411" t="s">
        <v>195</v>
      </c>
      <c r="B1411" t="s">
        <v>57</v>
      </c>
      <c r="C1411" t="s">
        <v>65</v>
      </c>
      <c r="D1411" s="1">
        <v>0</v>
      </c>
      <c r="E1411" s="1">
        <v>0</v>
      </c>
      <c r="F1411" s="1">
        <v>0</v>
      </c>
      <c r="G1411" s="1">
        <v>0</v>
      </c>
      <c r="H1411" s="1">
        <v>0</v>
      </c>
      <c r="I1411" s="1">
        <v>0</v>
      </c>
      <c r="J1411" s="1">
        <v>0</v>
      </c>
      <c r="K1411" s="1">
        <v>0</v>
      </c>
      <c r="L1411" s="1">
        <v>0</v>
      </c>
      <c r="M1411" s="1">
        <v>0</v>
      </c>
      <c r="N1411" s="1">
        <v>0</v>
      </c>
      <c r="O1411" s="1">
        <v>0</v>
      </c>
      <c r="P1411" s="1">
        <v>0</v>
      </c>
      <c r="Q1411" s="1">
        <v>0</v>
      </c>
      <c r="R1411" s="1">
        <v>0</v>
      </c>
      <c r="S1411" s="1">
        <v>0</v>
      </c>
      <c r="T1411" s="1">
        <v>0</v>
      </c>
      <c r="U1411" s="1">
        <v>0</v>
      </c>
      <c r="V1411" s="1" t="s">
        <v>301</v>
      </c>
    </row>
    <row r="1412" spans="1:22">
      <c r="A1412" t="s">
        <v>196</v>
      </c>
      <c r="B1412" t="s">
        <v>57</v>
      </c>
      <c r="C1412" t="s">
        <v>58</v>
      </c>
      <c r="D1412" s="1">
        <v>0</v>
      </c>
      <c r="E1412" s="1">
        <v>0</v>
      </c>
      <c r="F1412" s="1">
        <v>0</v>
      </c>
      <c r="G1412" s="1">
        <v>0</v>
      </c>
      <c r="H1412" s="1">
        <v>0</v>
      </c>
      <c r="I1412" s="1">
        <v>0</v>
      </c>
      <c r="J1412" s="1">
        <v>0</v>
      </c>
      <c r="K1412" s="1">
        <v>0</v>
      </c>
      <c r="L1412" s="1">
        <v>0</v>
      </c>
      <c r="M1412" s="1">
        <v>0</v>
      </c>
      <c r="N1412" s="1">
        <v>0</v>
      </c>
      <c r="O1412" s="1">
        <v>0</v>
      </c>
      <c r="P1412" s="1">
        <v>0</v>
      </c>
      <c r="Q1412" s="1">
        <v>0</v>
      </c>
      <c r="R1412" s="1">
        <v>0</v>
      </c>
      <c r="S1412" s="1">
        <v>0</v>
      </c>
      <c r="T1412" s="1">
        <v>0</v>
      </c>
      <c r="U1412" s="1">
        <v>10</v>
      </c>
      <c r="V1412" s="1" t="s">
        <v>301</v>
      </c>
    </row>
    <row r="1413" spans="1:22">
      <c r="A1413" t="s">
        <v>196</v>
      </c>
      <c r="B1413" t="s">
        <v>57</v>
      </c>
      <c r="C1413" t="s">
        <v>59</v>
      </c>
      <c r="D1413" s="1">
        <v>0</v>
      </c>
      <c r="E1413" s="1">
        <v>0</v>
      </c>
      <c r="F1413" s="1">
        <v>0</v>
      </c>
      <c r="G1413" s="1">
        <v>0</v>
      </c>
      <c r="H1413" s="1">
        <v>1</v>
      </c>
      <c r="I1413" s="1">
        <v>0</v>
      </c>
      <c r="J1413" s="1">
        <v>1</v>
      </c>
      <c r="K1413" s="1">
        <v>0</v>
      </c>
      <c r="L1413" s="1">
        <v>0</v>
      </c>
      <c r="M1413" s="1">
        <v>0</v>
      </c>
      <c r="N1413" s="1">
        <v>0</v>
      </c>
      <c r="O1413" s="1">
        <v>0</v>
      </c>
      <c r="P1413" s="1">
        <v>1</v>
      </c>
      <c r="Q1413" s="1">
        <v>0</v>
      </c>
      <c r="R1413" s="1">
        <v>0</v>
      </c>
      <c r="S1413" s="1">
        <v>1</v>
      </c>
      <c r="T1413" s="1">
        <v>0</v>
      </c>
      <c r="U1413" s="1">
        <v>1</v>
      </c>
      <c r="V1413" s="1" t="s">
        <v>301</v>
      </c>
    </row>
    <row r="1414" spans="1:22">
      <c r="A1414" t="s">
        <v>196</v>
      </c>
      <c r="B1414" t="s">
        <v>57</v>
      </c>
      <c r="C1414" t="s">
        <v>60</v>
      </c>
      <c r="D1414" s="1">
        <v>0</v>
      </c>
      <c r="E1414" s="1">
        <v>0</v>
      </c>
      <c r="F1414" s="1">
        <v>0</v>
      </c>
      <c r="G1414" s="1">
        <v>0</v>
      </c>
      <c r="H1414" s="1">
        <v>0</v>
      </c>
      <c r="I1414" s="1">
        <v>0</v>
      </c>
      <c r="J1414" s="1">
        <v>0</v>
      </c>
      <c r="K1414" s="1">
        <v>0</v>
      </c>
      <c r="L1414" s="1">
        <v>0</v>
      </c>
      <c r="M1414" s="1">
        <v>0</v>
      </c>
      <c r="N1414" s="1">
        <v>0</v>
      </c>
      <c r="O1414" s="1">
        <v>0</v>
      </c>
      <c r="P1414" s="1">
        <v>0</v>
      </c>
      <c r="Q1414" s="1">
        <v>0</v>
      </c>
      <c r="R1414" s="1">
        <v>0</v>
      </c>
      <c r="S1414" s="1">
        <v>0</v>
      </c>
      <c r="T1414" s="1">
        <v>0</v>
      </c>
      <c r="U1414" s="1">
        <v>0</v>
      </c>
      <c r="V1414" s="1" t="s">
        <v>301</v>
      </c>
    </row>
    <row r="1415" spans="1:22">
      <c r="A1415" t="s">
        <v>196</v>
      </c>
      <c r="B1415" t="s">
        <v>57</v>
      </c>
      <c r="C1415" t="s">
        <v>61</v>
      </c>
      <c r="D1415" s="1">
        <v>0</v>
      </c>
      <c r="E1415" s="1">
        <v>0</v>
      </c>
      <c r="F1415" s="1">
        <v>0</v>
      </c>
      <c r="G1415" s="1">
        <v>0</v>
      </c>
      <c r="H1415" s="1">
        <v>0</v>
      </c>
      <c r="I1415" s="1">
        <v>0</v>
      </c>
      <c r="J1415" s="1">
        <v>0</v>
      </c>
      <c r="K1415" s="1">
        <v>0</v>
      </c>
      <c r="L1415" s="1">
        <v>0</v>
      </c>
      <c r="M1415" s="1">
        <v>0</v>
      </c>
      <c r="N1415" s="1">
        <v>0</v>
      </c>
      <c r="O1415" s="1">
        <v>0</v>
      </c>
      <c r="P1415" s="1">
        <v>0</v>
      </c>
      <c r="Q1415" s="1">
        <v>0</v>
      </c>
      <c r="R1415" s="1">
        <v>0</v>
      </c>
      <c r="S1415" s="1">
        <v>0</v>
      </c>
      <c r="T1415" s="1">
        <v>0</v>
      </c>
      <c r="U1415" s="1">
        <v>0</v>
      </c>
      <c r="V1415" s="1" t="s">
        <v>301</v>
      </c>
    </row>
    <row r="1416" spans="1:22">
      <c r="A1416" t="s">
        <v>196</v>
      </c>
      <c r="B1416" t="s">
        <v>57</v>
      </c>
      <c r="C1416" t="s">
        <v>62</v>
      </c>
      <c r="D1416" s="1">
        <v>0</v>
      </c>
      <c r="E1416" s="1">
        <v>0</v>
      </c>
      <c r="F1416" s="1">
        <v>0</v>
      </c>
      <c r="G1416" s="1">
        <v>0</v>
      </c>
      <c r="H1416" s="1">
        <v>0</v>
      </c>
      <c r="I1416" s="1">
        <v>0</v>
      </c>
      <c r="J1416" s="1">
        <v>0</v>
      </c>
      <c r="K1416" s="1">
        <v>0</v>
      </c>
      <c r="L1416" s="1">
        <v>0</v>
      </c>
      <c r="M1416" s="1">
        <v>0</v>
      </c>
      <c r="N1416" s="1">
        <v>0</v>
      </c>
      <c r="O1416" s="1">
        <v>0</v>
      </c>
      <c r="P1416" s="1">
        <v>0</v>
      </c>
      <c r="Q1416" s="1">
        <v>0</v>
      </c>
      <c r="R1416" s="1">
        <v>0</v>
      </c>
      <c r="S1416" s="1">
        <v>0</v>
      </c>
      <c r="T1416" s="1">
        <v>0</v>
      </c>
      <c r="U1416" s="1">
        <v>0</v>
      </c>
      <c r="V1416" s="1" t="s">
        <v>301</v>
      </c>
    </row>
    <row r="1417" spans="1:22">
      <c r="A1417" t="s">
        <v>196</v>
      </c>
      <c r="B1417" t="s">
        <v>57</v>
      </c>
      <c r="C1417" t="s">
        <v>63</v>
      </c>
      <c r="D1417" s="1">
        <v>0</v>
      </c>
      <c r="E1417" s="1">
        <v>0</v>
      </c>
      <c r="F1417" s="1">
        <v>0</v>
      </c>
      <c r="G1417" s="1">
        <v>0</v>
      </c>
      <c r="H1417" s="1">
        <v>0</v>
      </c>
      <c r="I1417" s="1">
        <v>0</v>
      </c>
      <c r="J1417" s="1">
        <v>0</v>
      </c>
      <c r="K1417" s="1">
        <v>0</v>
      </c>
      <c r="L1417" s="1">
        <v>0</v>
      </c>
      <c r="M1417" s="1">
        <v>0</v>
      </c>
      <c r="N1417" s="1">
        <v>0</v>
      </c>
      <c r="O1417" s="1">
        <v>0</v>
      </c>
      <c r="P1417" s="1">
        <v>0</v>
      </c>
      <c r="Q1417" s="1">
        <v>0</v>
      </c>
      <c r="R1417" s="1">
        <v>0</v>
      </c>
      <c r="S1417" s="1">
        <v>0</v>
      </c>
      <c r="T1417" s="1">
        <v>0</v>
      </c>
      <c r="U1417" s="1">
        <v>0</v>
      </c>
      <c r="V1417" s="1" t="s">
        <v>301</v>
      </c>
    </row>
    <row r="1418" spans="1:22">
      <c r="A1418" t="s">
        <v>196</v>
      </c>
      <c r="B1418" t="s">
        <v>57</v>
      </c>
      <c r="C1418" t="s">
        <v>64</v>
      </c>
      <c r="D1418" s="1">
        <v>0</v>
      </c>
      <c r="E1418" s="1">
        <v>0</v>
      </c>
      <c r="F1418" s="1">
        <v>0</v>
      </c>
      <c r="G1418" s="1">
        <v>0</v>
      </c>
      <c r="H1418" s="1">
        <v>1</v>
      </c>
      <c r="I1418" s="1">
        <v>0</v>
      </c>
      <c r="J1418" s="1">
        <v>1</v>
      </c>
      <c r="K1418" s="1">
        <v>0</v>
      </c>
      <c r="L1418" s="1">
        <v>0</v>
      </c>
      <c r="M1418" s="1">
        <v>0</v>
      </c>
      <c r="N1418" s="1">
        <v>0</v>
      </c>
      <c r="O1418" s="1">
        <v>0</v>
      </c>
      <c r="P1418" s="1">
        <v>1</v>
      </c>
      <c r="Q1418" s="1">
        <v>0</v>
      </c>
      <c r="R1418" s="1">
        <v>0</v>
      </c>
      <c r="S1418" s="1">
        <v>1</v>
      </c>
      <c r="T1418" s="1">
        <v>0</v>
      </c>
      <c r="U1418" s="1">
        <v>1</v>
      </c>
      <c r="V1418" s="1" t="s">
        <v>301</v>
      </c>
    </row>
    <row r="1419" spans="1:22">
      <c r="A1419" t="s">
        <v>196</v>
      </c>
      <c r="B1419" t="s">
        <v>57</v>
      </c>
      <c r="C1419" t="s">
        <v>65</v>
      </c>
      <c r="D1419" s="1">
        <v>0</v>
      </c>
      <c r="E1419" s="1">
        <v>0</v>
      </c>
      <c r="F1419" s="1">
        <v>0</v>
      </c>
      <c r="G1419" s="1">
        <v>0</v>
      </c>
      <c r="H1419" s="1">
        <v>0</v>
      </c>
      <c r="I1419" s="1">
        <v>0</v>
      </c>
      <c r="J1419" s="1">
        <v>0</v>
      </c>
      <c r="K1419" s="1">
        <v>0</v>
      </c>
      <c r="L1419" s="1">
        <v>0</v>
      </c>
      <c r="M1419" s="1">
        <v>0</v>
      </c>
      <c r="N1419" s="1">
        <v>0</v>
      </c>
      <c r="O1419" s="1">
        <v>0</v>
      </c>
      <c r="P1419" s="1">
        <v>0</v>
      </c>
      <c r="Q1419" s="1">
        <v>0</v>
      </c>
      <c r="R1419" s="1">
        <v>0</v>
      </c>
      <c r="S1419" s="1">
        <v>0</v>
      </c>
      <c r="T1419" s="1">
        <v>0</v>
      </c>
      <c r="U1419" s="1">
        <v>0</v>
      </c>
      <c r="V1419" s="1" t="s">
        <v>301</v>
      </c>
    </row>
    <row r="1420" spans="1:22">
      <c r="A1420" t="s">
        <v>55</v>
      </c>
      <c r="B1420" t="s">
        <v>57</v>
      </c>
      <c r="C1420" t="s">
        <v>58</v>
      </c>
      <c r="D1420" s="1">
        <v>0</v>
      </c>
      <c r="E1420" s="1">
        <v>0</v>
      </c>
      <c r="F1420" s="1">
        <v>0</v>
      </c>
      <c r="G1420" s="1">
        <v>0</v>
      </c>
      <c r="H1420" s="1">
        <v>0</v>
      </c>
      <c r="I1420" s="1">
        <v>0</v>
      </c>
      <c r="J1420" s="1">
        <v>0</v>
      </c>
      <c r="K1420" s="1">
        <v>0</v>
      </c>
      <c r="L1420" s="1">
        <v>0</v>
      </c>
      <c r="M1420" s="1">
        <v>0</v>
      </c>
      <c r="N1420" s="1">
        <v>0</v>
      </c>
      <c r="O1420" s="1">
        <v>0</v>
      </c>
      <c r="P1420" s="1">
        <v>0</v>
      </c>
      <c r="Q1420" s="1">
        <v>0</v>
      </c>
      <c r="R1420" s="1">
        <v>0</v>
      </c>
      <c r="S1420" s="1">
        <v>0</v>
      </c>
      <c r="T1420" s="1">
        <v>0</v>
      </c>
      <c r="U1420" s="1">
        <v>108</v>
      </c>
      <c r="V1420" s="1" t="s">
        <v>301</v>
      </c>
    </row>
    <row r="1421" spans="1:22">
      <c r="A1421" t="s">
        <v>55</v>
      </c>
      <c r="B1421" t="s">
        <v>57</v>
      </c>
      <c r="C1421" t="s">
        <v>59</v>
      </c>
      <c r="D1421" s="1">
        <v>3</v>
      </c>
      <c r="E1421" s="1">
        <v>4</v>
      </c>
      <c r="F1421" s="1">
        <v>5</v>
      </c>
      <c r="G1421" s="1">
        <v>1</v>
      </c>
      <c r="H1421" s="1">
        <v>3</v>
      </c>
      <c r="I1421" s="1">
        <v>1</v>
      </c>
      <c r="J1421" s="1">
        <v>5</v>
      </c>
      <c r="K1421" s="1">
        <v>0</v>
      </c>
      <c r="L1421" s="1">
        <v>2</v>
      </c>
      <c r="M1421" s="1">
        <v>8</v>
      </c>
      <c r="N1421" s="1">
        <v>4</v>
      </c>
      <c r="O1421" s="1">
        <v>2</v>
      </c>
      <c r="P1421" s="1">
        <v>8</v>
      </c>
      <c r="Q1421" s="1">
        <v>2</v>
      </c>
      <c r="R1421" s="1">
        <v>6</v>
      </c>
      <c r="S1421" s="1">
        <v>10</v>
      </c>
      <c r="T1421" s="1">
        <v>0</v>
      </c>
      <c r="U1421" s="1">
        <v>16</v>
      </c>
      <c r="V1421" s="1" t="s">
        <v>301</v>
      </c>
    </row>
    <row r="1422" spans="1:22">
      <c r="A1422" t="s">
        <v>55</v>
      </c>
      <c r="B1422" t="s">
        <v>57</v>
      </c>
      <c r="C1422" t="s">
        <v>60</v>
      </c>
      <c r="D1422" s="1">
        <v>0</v>
      </c>
      <c r="E1422" s="1">
        <v>0</v>
      </c>
      <c r="F1422" s="1">
        <v>0</v>
      </c>
      <c r="G1422" s="1">
        <v>0</v>
      </c>
      <c r="H1422" s="1">
        <v>0</v>
      </c>
      <c r="I1422" s="1">
        <v>0</v>
      </c>
      <c r="J1422" s="1">
        <v>0</v>
      </c>
      <c r="K1422" s="1">
        <v>0</v>
      </c>
      <c r="L1422" s="1">
        <v>0</v>
      </c>
      <c r="M1422" s="1">
        <v>0</v>
      </c>
      <c r="N1422" s="1">
        <v>0</v>
      </c>
      <c r="O1422" s="1">
        <v>0</v>
      </c>
      <c r="P1422" s="1">
        <v>0</v>
      </c>
      <c r="Q1422" s="1">
        <v>0</v>
      </c>
      <c r="R1422" s="1">
        <v>0</v>
      </c>
      <c r="S1422" s="1">
        <v>0</v>
      </c>
      <c r="T1422" s="1">
        <v>0</v>
      </c>
      <c r="U1422" s="1">
        <v>0</v>
      </c>
      <c r="V1422" s="1" t="s">
        <v>301</v>
      </c>
    </row>
    <row r="1423" spans="1:22">
      <c r="A1423" t="s">
        <v>55</v>
      </c>
      <c r="B1423" t="s">
        <v>57</v>
      </c>
      <c r="C1423" t="s">
        <v>61</v>
      </c>
      <c r="D1423" s="1">
        <v>0</v>
      </c>
      <c r="E1423" s="1">
        <v>0</v>
      </c>
      <c r="F1423" s="1">
        <v>0</v>
      </c>
      <c r="G1423" s="1">
        <v>0</v>
      </c>
      <c r="H1423" s="1">
        <v>0</v>
      </c>
      <c r="I1423" s="1">
        <v>0</v>
      </c>
      <c r="J1423" s="1">
        <v>0</v>
      </c>
      <c r="K1423" s="1">
        <v>0</v>
      </c>
      <c r="L1423" s="1">
        <v>0</v>
      </c>
      <c r="M1423" s="1">
        <v>0</v>
      </c>
      <c r="N1423" s="1">
        <v>0</v>
      </c>
      <c r="O1423" s="1">
        <v>0</v>
      </c>
      <c r="P1423" s="1">
        <v>0</v>
      </c>
      <c r="Q1423" s="1">
        <v>0</v>
      </c>
      <c r="R1423" s="1">
        <v>0</v>
      </c>
      <c r="S1423" s="1">
        <v>0</v>
      </c>
      <c r="T1423" s="1">
        <v>0</v>
      </c>
      <c r="U1423" s="1">
        <v>0</v>
      </c>
      <c r="V1423" s="1" t="s">
        <v>301</v>
      </c>
    </row>
    <row r="1424" spans="1:22">
      <c r="A1424" t="s">
        <v>55</v>
      </c>
      <c r="B1424" t="s">
        <v>57</v>
      </c>
      <c r="C1424" t="s">
        <v>62</v>
      </c>
      <c r="D1424" s="1">
        <v>0</v>
      </c>
      <c r="E1424" s="1">
        <v>2</v>
      </c>
      <c r="F1424" s="1">
        <v>0</v>
      </c>
      <c r="G1424" s="1">
        <v>1</v>
      </c>
      <c r="H1424" s="1">
        <v>0</v>
      </c>
      <c r="I1424" s="1">
        <v>0</v>
      </c>
      <c r="J1424" s="1">
        <v>0</v>
      </c>
      <c r="K1424" s="1">
        <v>1</v>
      </c>
      <c r="L1424" s="1">
        <v>0</v>
      </c>
      <c r="M1424" s="1">
        <v>2</v>
      </c>
      <c r="N1424" s="1">
        <v>1</v>
      </c>
      <c r="O1424" s="1">
        <v>0</v>
      </c>
      <c r="P1424" s="1">
        <v>1</v>
      </c>
      <c r="Q1424" s="1">
        <v>1</v>
      </c>
      <c r="R1424" s="1">
        <v>2</v>
      </c>
      <c r="S1424" s="1">
        <v>1</v>
      </c>
      <c r="T1424" s="1">
        <v>0</v>
      </c>
      <c r="U1424" s="1">
        <v>3</v>
      </c>
      <c r="V1424" s="1" t="s">
        <v>301</v>
      </c>
    </row>
    <row r="1425" spans="1:22">
      <c r="A1425" t="s">
        <v>55</v>
      </c>
      <c r="B1425" t="s">
        <v>57</v>
      </c>
      <c r="C1425" t="s">
        <v>63</v>
      </c>
      <c r="D1425" s="1">
        <v>0</v>
      </c>
      <c r="E1425" s="1">
        <v>0</v>
      </c>
      <c r="F1425" s="1">
        <v>0</v>
      </c>
      <c r="G1425" s="1">
        <v>0</v>
      </c>
      <c r="H1425" s="1">
        <v>0</v>
      </c>
      <c r="I1425" s="1">
        <v>0</v>
      </c>
      <c r="J1425" s="1">
        <v>0</v>
      </c>
      <c r="K1425" s="1">
        <v>0</v>
      </c>
      <c r="L1425" s="1">
        <v>0</v>
      </c>
      <c r="M1425" s="1">
        <v>0</v>
      </c>
      <c r="N1425" s="1">
        <v>0</v>
      </c>
      <c r="O1425" s="1">
        <v>0</v>
      </c>
      <c r="P1425" s="1">
        <v>0</v>
      </c>
      <c r="Q1425" s="1">
        <v>0</v>
      </c>
      <c r="R1425" s="1">
        <v>0</v>
      </c>
      <c r="S1425" s="1">
        <v>0</v>
      </c>
      <c r="T1425" s="1">
        <v>0</v>
      </c>
      <c r="U1425" s="1">
        <v>0</v>
      </c>
      <c r="V1425" s="1" t="s">
        <v>301</v>
      </c>
    </row>
    <row r="1426" spans="1:22">
      <c r="A1426" t="s">
        <v>55</v>
      </c>
      <c r="B1426" t="s">
        <v>57</v>
      </c>
      <c r="C1426" t="s">
        <v>64</v>
      </c>
      <c r="D1426" s="1">
        <v>3</v>
      </c>
      <c r="E1426" s="1">
        <v>6</v>
      </c>
      <c r="F1426" s="1">
        <v>5</v>
      </c>
      <c r="G1426" s="1">
        <v>2</v>
      </c>
      <c r="H1426" s="1">
        <v>3</v>
      </c>
      <c r="I1426" s="1">
        <v>1</v>
      </c>
      <c r="J1426" s="1">
        <v>5</v>
      </c>
      <c r="K1426" s="1">
        <v>1</v>
      </c>
      <c r="L1426" s="1">
        <v>2</v>
      </c>
      <c r="M1426" s="1">
        <v>10</v>
      </c>
      <c r="N1426" s="1">
        <v>5</v>
      </c>
      <c r="O1426" s="1">
        <v>2</v>
      </c>
      <c r="P1426" s="1">
        <v>9</v>
      </c>
      <c r="Q1426" s="1">
        <v>3</v>
      </c>
      <c r="R1426" s="1">
        <v>8</v>
      </c>
      <c r="S1426" s="1">
        <v>11</v>
      </c>
      <c r="T1426" s="1">
        <v>0</v>
      </c>
      <c r="U1426" s="1">
        <v>19</v>
      </c>
      <c r="V1426" s="1" t="s">
        <v>301</v>
      </c>
    </row>
    <row r="1427" spans="1:22">
      <c r="A1427" t="s">
        <v>55</v>
      </c>
      <c r="B1427" t="s">
        <v>57</v>
      </c>
      <c r="C1427" t="s">
        <v>65</v>
      </c>
      <c r="D1427" s="1">
        <v>0</v>
      </c>
      <c r="E1427" s="1">
        <v>0</v>
      </c>
      <c r="F1427" s="1">
        <v>0</v>
      </c>
      <c r="G1427" s="1">
        <v>0</v>
      </c>
      <c r="H1427" s="1">
        <v>0</v>
      </c>
      <c r="I1427" s="1">
        <v>0</v>
      </c>
      <c r="J1427" s="1">
        <v>0</v>
      </c>
      <c r="K1427" s="1">
        <v>0</v>
      </c>
      <c r="L1427" s="1">
        <v>0</v>
      </c>
      <c r="M1427" s="1">
        <v>0</v>
      </c>
      <c r="N1427" s="1">
        <v>0</v>
      </c>
      <c r="O1427" s="1">
        <v>0</v>
      </c>
      <c r="P1427" s="1">
        <v>0</v>
      </c>
      <c r="Q1427" s="1">
        <v>0</v>
      </c>
      <c r="R1427" s="1">
        <v>0</v>
      </c>
      <c r="S1427" s="1">
        <v>0</v>
      </c>
      <c r="T1427" s="1">
        <v>0</v>
      </c>
      <c r="U1427" s="1">
        <v>0</v>
      </c>
      <c r="V1427" s="1" t="s">
        <v>301</v>
      </c>
    </row>
    <row r="1428" spans="1:22">
      <c r="D1428" s="1"/>
      <c r="E1428" s="1"/>
      <c r="F1428" s="1"/>
      <c r="G1428" s="1"/>
      <c r="H1428" s="1"/>
      <c r="I1428" s="1"/>
      <c r="J1428" s="1"/>
      <c r="K1428" s="1"/>
      <c r="L1428" s="1"/>
      <c r="M1428" s="1"/>
      <c r="N1428" s="1"/>
      <c r="O1428" s="1"/>
      <c r="P1428" s="1"/>
      <c r="Q1428" s="1"/>
      <c r="R1428" s="1"/>
      <c r="S1428" s="1"/>
      <c r="T1428" s="1"/>
      <c r="U1428" s="1"/>
    </row>
    <row r="1429" spans="1:22">
      <c r="A1429">
        <f>setup!C29</f>
        <v>3835</v>
      </c>
    </row>
    <row r="1430" spans="1:22">
      <c r="A1430" t="str">
        <f>_xlfn.CONCAT(setup!D29," - ",setup!E29)</f>
        <v>OSEP – Specific Learning Disability - Digital - OSEP_SLD_D</v>
      </c>
      <c r="D1430" s="1"/>
      <c r="E1430" s="1"/>
      <c r="F1430" s="1"/>
      <c r="G1430" s="1"/>
      <c r="H1430" s="1"/>
      <c r="I1430" s="1"/>
      <c r="J1430" s="1"/>
      <c r="K1430" s="1"/>
      <c r="L1430" s="1"/>
      <c r="M1430" s="1"/>
      <c r="N1430" s="1"/>
      <c r="O1430" s="1"/>
      <c r="P1430" s="1"/>
      <c r="Q1430" s="1"/>
      <c r="R1430" s="1"/>
      <c r="S1430" s="1"/>
      <c r="T1430" s="1"/>
      <c r="U1430" s="1"/>
    </row>
    <row r="1431" spans="1:22">
      <c r="A1431" t="s">
        <v>35</v>
      </c>
      <c r="B1431" t="s">
        <v>36</v>
      </c>
      <c r="C1431" t="s">
        <v>37</v>
      </c>
      <c r="D1431" s="1" t="s">
        <v>38</v>
      </c>
      <c r="E1431" s="1" t="s">
        <v>39</v>
      </c>
      <c r="F1431" s="1" t="s">
        <v>40</v>
      </c>
      <c r="G1431" s="1" t="s">
        <v>41</v>
      </c>
      <c r="H1431" s="1" t="s">
        <v>42</v>
      </c>
      <c r="I1431" s="1" t="s">
        <v>43</v>
      </c>
      <c r="J1431" s="1" t="s">
        <v>44</v>
      </c>
      <c r="K1431" s="1" t="s">
        <v>45</v>
      </c>
      <c r="L1431" s="1" t="s">
        <v>46</v>
      </c>
      <c r="M1431" s="1" t="s">
        <v>47</v>
      </c>
      <c r="N1431" s="1" t="s">
        <v>48</v>
      </c>
      <c r="O1431" s="1" t="s">
        <v>49</v>
      </c>
      <c r="P1431" s="1" t="s">
        <v>50</v>
      </c>
      <c r="Q1431" s="1" t="s">
        <v>51</v>
      </c>
      <c r="R1431" s="1" t="s">
        <v>52</v>
      </c>
      <c r="S1431" s="1" t="s">
        <v>53</v>
      </c>
      <c r="T1431" t="s">
        <v>54</v>
      </c>
      <c r="U1431" s="1" t="s">
        <v>55</v>
      </c>
      <c r="V1431" t="s">
        <v>56</v>
      </c>
    </row>
    <row r="1432" spans="1:22">
      <c r="A1432" t="s">
        <v>187</v>
      </c>
      <c r="B1432" t="s">
        <v>57</v>
      </c>
      <c r="C1432" t="s">
        <v>58</v>
      </c>
      <c r="D1432" s="1">
        <v>0</v>
      </c>
      <c r="E1432" s="1">
        <v>0</v>
      </c>
      <c r="F1432" s="1">
        <v>0</v>
      </c>
      <c r="G1432" s="1">
        <v>0</v>
      </c>
      <c r="H1432" s="1">
        <v>0</v>
      </c>
      <c r="I1432" s="1">
        <v>0</v>
      </c>
      <c r="J1432" s="1">
        <v>0</v>
      </c>
      <c r="K1432" s="1">
        <v>0</v>
      </c>
      <c r="L1432" s="1">
        <v>0</v>
      </c>
      <c r="M1432" s="1">
        <v>0</v>
      </c>
      <c r="N1432" s="1">
        <v>0</v>
      </c>
      <c r="O1432" s="1">
        <v>0</v>
      </c>
      <c r="P1432" s="1">
        <v>0</v>
      </c>
      <c r="Q1432" s="1">
        <v>0</v>
      </c>
      <c r="R1432" s="1">
        <v>0</v>
      </c>
      <c r="S1432" s="1">
        <v>0</v>
      </c>
      <c r="T1432" s="1">
        <v>0</v>
      </c>
      <c r="U1432" s="1">
        <v>2</v>
      </c>
      <c r="V1432" s="1" t="s">
        <v>301</v>
      </c>
    </row>
    <row r="1433" spans="1:22">
      <c r="A1433" t="s">
        <v>187</v>
      </c>
      <c r="B1433" t="s">
        <v>57</v>
      </c>
      <c r="C1433" t="s">
        <v>59</v>
      </c>
      <c r="D1433" s="1">
        <v>0</v>
      </c>
      <c r="E1433" s="1">
        <v>0</v>
      </c>
      <c r="F1433" s="1">
        <v>0</v>
      </c>
      <c r="G1433" s="1">
        <v>0</v>
      </c>
      <c r="H1433" s="1">
        <v>0</v>
      </c>
      <c r="I1433" s="1">
        <v>0</v>
      </c>
      <c r="J1433" s="1">
        <v>0</v>
      </c>
      <c r="K1433" s="1">
        <v>0</v>
      </c>
      <c r="L1433" s="1">
        <v>0</v>
      </c>
      <c r="M1433" s="1">
        <v>0</v>
      </c>
      <c r="N1433" s="1">
        <v>0</v>
      </c>
      <c r="O1433" s="1">
        <v>0</v>
      </c>
      <c r="P1433" s="1">
        <v>0</v>
      </c>
      <c r="Q1433" s="1">
        <v>0</v>
      </c>
      <c r="R1433" s="1">
        <v>0</v>
      </c>
      <c r="S1433" s="1">
        <v>0</v>
      </c>
      <c r="T1433" s="1">
        <v>0</v>
      </c>
      <c r="U1433" s="1">
        <v>0</v>
      </c>
      <c r="V1433" s="1" t="s">
        <v>301</v>
      </c>
    </row>
    <row r="1434" spans="1:22">
      <c r="A1434" t="s">
        <v>187</v>
      </c>
      <c r="B1434" t="s">
        <v>57</v>
      </c>
      <c r="C1434" t="s">
        <v>60</v>
      </c>
      <c r="D1434" s="1">
        <v>0</v>
      </c>
      <c r="E1434" s="1">
        <v>0</v>
      </c>
      <c r="F1434" s="1">
        <v>0</v>
      </c>
      <c r="G1434" s="1">
        <v>0</v>
      </c>
      <c r="H1434" s="1">
        <v>0</v>
      </c>
      <c r="I1434" s="1">
        <v>0</v>
      </c>
      <c r="J1434" s="1">
        <v>0</v>
      </c>
      <c r="K1434" s="1">
        <v>0</v>
      </c>
      <c r="L1434" s="1">
        <v>0</v>
      </c>
      <c r="M1434" s="1">
        <v>0</v>
      </c>
      <c r="N1434" s="1">
        <v>0</v>
      </c>
      <c r="O1434" s="1">
        <v>0</v>
      </c>
      <c r="P1434" s="1">
        <v>0</v>
      </c>
      <c r="Q1434" s="1">
        <v>0</v>
      </c>
      <c r="R1434" s="1">
        <v>0</v>
      </c>
      <c r="S1434" s="1">
        <v>0</v>
      </c>
      <c r="T1434" s="1">
        <v>0</v>
      </c>
      <c r="U1434" s="1">
        <v>0</v>
      </c>
      <c r="V1434" s="1" t="s">
        <v>301</v>
      </c>
    </row>
    <row r="1435" spans="1:22">
      <c r="A1435" t="s">
        <v>187</v>
      </c>
      <c r="B1435" t="s">
        <v>57</v>
      </c>
      <c r="C1435" t="s">
        <v>61</v>
      </c>
      <c r="D1435" s="1">
        <v>0</v>
      </c>
      <c r="E1435" s="1">
        <v>0</v>
      </c>
      <c r="F1435" s="1">
        <v>0</v>
      </c>
      <c r="G1435" s="1">
        <v>0</v>
      </c>
      <c r="H1435" s="1">
        <v>0</v>
      </c>
      <c r="I1435" s="1">
        <v>0</v>
      </c>
      <c r="J1435" s="1">
        <v>0</v>
      </c>
      <c r="K1435" s="1">
        <v>0</v>
      </c>
      <c r="L1435" s="1">
        <v>0</v>
      </c>
      <c r="M1435" s="1">
        <v>0</v>
      </c>
      <c r="N1435" s="1">
        <v>0</v>
      </c>
      <c r="O1435" s="1">
        <v>0</v>
      </c>
      <c r="P1435" s="1">
        <v>0</v>
      </c>
      <c r="Q1435" s="1">
        <v>0</v>
      </c>
      <c r="R1435" s="1">
        <v>0</v>
      </c>
      <c r="S1435" s="1">
        <v>0</v>
      </c>
      <c r="T1435" s="1">
        <v>0</v>
      </c>
      <c r="U1435" s="1">
        <v>0</v>
      </c>
      <c r="V1435" s="1" t="s">
        <v>301</v>
      </c>
    </row>
    <row r="1436" spans="1:22">
      <c r="A1436" t="s">
        <v>187</v>
      </c>
      <c r="B1436" t="s">
        <v>57</v>
      </c>
      <c r="C1436" t="s">
        <v>62</v>
      </c>
      <c r="D1436" s="1">
        <v>0</v>
      </c>
      <c r="E1436" s="1">
        <v>0</v>
      </c>
      <c r="F1436" s="1">
        <v>0</v>
      </c>
      <c r="G1436" s="1">
        <v>0</v>
      </c>
      <c r="H1436" s="1">
        <v>0</v>
      </c>
      <c r="I1436" s="1">
        <v>0</v>
      </c>
      <c r="J1436" s="1">
        <v>0</v>
      </c>
      <c r="K1436" s="1">
        <v>0</v>
      </c>
      <c r="L1436" s="1">
        <v>0</v>
      </c>
      <c r="M1436" s="1">
        <v>0</v>
      </c>
      <c r="N1436" s="1">
        <v>0</v>
      </c>
      <c r="O1436" s="1">
        <v>0</v>
      </c>
      <c r="P1436" s="1">
        <v>0</v>
      </c>
      <c r="Q1436" s="1">
        <v>0</v>
      </c>
      <c r="R1436" s="1">
        <v>0</v>
      </c>
      <c r="S1436" s="1">
        <v>0</v>
      </c>
      <c r="T1436" s="1">
        <v>0</v>
      </c>
      <c r="U1436" s="1">
        <v>0</v>
      </c>
      <c r="V1436" s="1" t="s">
        <v>301</v>
      </c>
    </row>
    <row r="1437" spans="1:22">
      <c r="A1437" t="s">
        <v>187</v>
      </c>
      <c r="B1437" t="s">
        <v>57</v>
      </c>
      <c r="C1437" t="s">
        <v>63</v>
      </c>
      <c r="D1437" s="1">
        <v>0</v>
      </c>
      <c r="E1437" s="1">
        <v>0</v>
      </c>
      <c r="F1437" s="1">
        <v>0</v>
      </c>
      <c r="G1437" s="1">
        <v>0</v>
      </c>
      <c r="H1437" s="1">
        <v>0</v>
      </c>
      <c r="I1437" s="1">
        <v>0</v>
      </c>
      <c r="J1437" s="1">
        <v>0</v>
      </c>
      <c r="K1437" s="1">
        <v>0</v>
      </c>
      <c r="L1437" s="1">
        <v>0</v>
      </c>
      <c r="M1437" s="1">
        <v>0</v>
      </c>
      <c r="N1437" s="1">
        <v>0</v>
      </c>
      <c r="O1437" s="1">
        <v>0</v>
      </c>
      <c r="P1437" s="1">
        <v>0</v>
      </c>
      <c r="Q1437" s="1">
        <v>0</v>
      </c>
      <c r="R1437" s="1">
        <v>0</v>
      </c>
      <c r="S1437" s="1">
        <v>0</v>
      </c>
      <c r="T1437" s="1">
        <v>0</v>
      </c>
      <c r="U1437" s="1">
        <v>0</v>
      </c>
      <c r="V1437" s="1" t="s">
        <v>301</v>
      </c>
    </row>
    <row r="1438" spans="1:22">
      <c r="A1438" t="s">
        <v>187</v>
      </c>
      <c r="B1438" t="s">
        <v>57</v>
      </c>
      <c r="C1438" t="s">
        <v>64</v>
      </c>
      <c r="D1438" s="1">
        <v>0</v>
      </c>
      <c r="E1438" s="1">
        <v>0</v>
      </c>
      <c r="F1438" s="1">
        <v>0</v>
      </c>
      <c r="G1438" s="1">
        <v>0</v>
      </c>
      <c r="H1438" s="1">
        <v>0</v>
      </c>
      <c r="I1438" s="1">
        <v>0</v>
      </c>
      <c r="J1438" s="1">
        <v>0</v>
      </c>
      <c r="K1438" s="1">
        <v>0</v>
      </c>
      <c r="L1438" s="1">
        <v>0</v>
      </c>
      <c r="M1438" s="1">
        <v>0</v>
      </c>
      <c r="N1438" s="1">
        <v>0</v>
      </c>
      <c r="O1438" s="1">
        <v>0</v>
      </c>
      <c r="P1438" s="1">
        <v>0</v>
      </c>
      <c r="Q1438" s="1">
        <v>0</v>
      </c>
      <c r="R1438" s="1">
        <v>0</v>
      </c>
      <c r="S1438" s="1">
        <v>0</v>
      </c>
      <c r="T1438" s="1">
        <v>0</v>
      </c>
      <c r="U1438" s="1">
        <v>0</v>
      </c>
      <c r="V1438" s="1" t="s">
        <v>301</v>
      </c>
    </row>
    <row r="1439" spans="1:22">
      <c r="A1439" t="s">
        <v>187</v>
      </c>
      <c r="B1439" t="s">
        <v>57</v>
      </c>
      <c r="C1439" t="s">
        <v>65</v>
      </c>
      <c r="D1439" s="1">
        <v>0</v>
      </c>
      <c r="E1439" s="1">
        <v>0</v>
      </c>
      <c r="F1439" s="1">
        <v>0</v>
      </c>
      <c r="G1439" s="1">
        <v>0</v>
      </c>
      <c r="H1439" s="1">
        <v>0</v>
      </c>
      <c r="I1439" s="1">
        <v>0</v>
      </c>
      <c r="J1439" s="1">
        <v>0</v>
      </c>
      <c r="K1439" s="1">
        <v>0</v>
      </c>
      <c r="L1439" s="1">
        <v>0</v>
      </c>
      <c r="M1439" s="1">
        <v>0</v>
      </c>
      <c r="N1439" s="1">
        <v>0</v>
      </c>
      <c r="O1439" s="1">
        <v>0</v>
      </c>
      <c r="P1439" s="1">
        <v>0</v>
      </c>
      <c r="Q1439" s="1">
        <v>0</v>
      </c>
      <c r="R1439" s="1">
        <v>0</v>
      </c>
      <c r="S1439" s="1">
        <v>0</v>
      </c>
      <c r="T1439" s="1">
        <v>0</v>
      </c>
      <c r="U1439" s="1">
        <v>0</v>
      </c>
      <c r="V1439" s="1" t="s">
        <v>301</v>
      </c>
    </row>
    <row r="1440" spans="1:22">
      <c r="A1440" t="s">
        <v>188</v>
      </c>
      <c r="B1440" t="s">
        <v>57</v>
      </c>
      <c r="C1440" t="s">
        <v>58</v>
      </c>
      <c r="D1440" s="1">
        <v>0</v>
      </c>
      <c r="E1440" s="1">
        <v>0</v>
      </c>
      <c r="F1440" s="1">
        <v>0</v>
      </c>
      <c r="G1440" s="1">
        <v>0</v>
      </c>
      <c r="H1440" s="1">
        <v>0</v>
      </c>
      <c r="I1440" s="1">
        <v>0</v>
      </c>
      <c r="J1440" s="1">
        <v>0</v>
      </c>
      <c r="K1440" s="1">
        <v>0</v>
      </c>
      <c r="L1440" s="1">
        <v>0</v>
      </c>
      <c r="M1440" s="1">
        <v>0</v>
      </c>
      <c r="N1440" s="1">
        <v>0</v>
      </c>
      <c r="O1440" s="1">
        <v>0</v>
      </c>
      <c r="P1440" s="1">
        <v>0</v>
      </c>
      <c r="Q1440" s="1">
        <v>0</v>
      </c>
      <c r="R1440" s="1">
        <v>0</v>
      </c>
      <c r="S1440" s="1">
        <v>0</v>
      </c>
      <c r="T1440" s="1">
        <v>0</v>
      </c>
      <c r="U1440" s="1">
        <v>2</v>
      </c>
      <c r="V1440" s="1" t="s">
        <v>301</v>
      </c>
    </row>
    <row r="1441" spans="1:22">
      <c r="A1441" t="s">
        <v>188</v>
      </c>
      <c r="B1441" t="s">
        <v>57</v>
      </c>
      <c r="C1441" t="s">
        <v>59</v>
      </c>
      <c r="D1441" s="1">
        <v>0</v>
      </c>
      <c r="E1441" s="1">
        <v>0</v>
      </c>
      <c r="F1441" s="1">
        <v>0</v>
      </c>
      <c r="G1441" s="1">
        <v>0</v>
      </c>
      <c r="H1441" s="1">
        <v>0</v>
      </c>
      <c r="I1441" s="1">
        <v>0</v>
      </c>
      <c r="J1441" s="1">
        <v>0</v>
      </c>
      <c r="K1441" s="1">
        <v>0</v>
      </c>
      <c r="L1441" s="1">
        <v>0</v>
      </c>
      <c r="M1441" s="1">
        <v>0</v>
      </c>
      <c r="N1441" s="1">
        <v>0</v>
      </c>
      <c r="O1441" s="1">
        <v>0</v>
      </c>
      <c r="P1441" s="1">
        <v>0</v>
      </c>
      <c r="Q1441" s="1">
        <v>0</v>
      </c>
      <c r="R1441" s="1">
        <v>0</v>
      </c>
      <c r="S1441" s="1">
        <v>0</v>
      </c>
      <c r="T1441" s="1">
        <v>0</v>
      </c>
      <c r="U1441" s="1">
        <v>0</v>
      </c>
      <c r="V1441" s="1" t="s">
        <v>301</v>
      </c>
    </row>
    <row r="1442" spans="1:22">
      <c r="A1442" t="s">
        <v>188</v>
      </c>
      <c r="B1442" t="s">
        <v>57</v>
      </c>
      <c r="C1442" t="s">
        <v>60</v>
      </c>
      <c r="D1442" s="1">
        <v>0</v>
      </c>
      <c r="E1442" s="1">
        <v>0</v>
      </c>
      <c r="F1442" s="1">
        <v>0</v>
      </c>
      <c r="G1442" s="1">
        <v>0</v>
      </c>
      <c r="H1442" s="1">
        <v>0</v>
      </c>
      <c r="I1442" s="1">
        <v>0</v>
      </c>
      <c r="J1442" s="1">
        <v>0</v>
      </c>
      <c r="K1442" s="1">
        <v>0</v>
      </c>
      <c r="L1442" s="1">
        <v>0</v>
      </c>
      <c r="M1442" s="1">
        <v>0</v>
      </c>
      <c r="N1442" s="1">
        <v>0</v>
      </c>
      <c r="O1442" s="1">
        <v>0</v>
      </c>
      <c r="P1442" s="1">
        <v>0</v>
      </c>
      <c r="Q1442" s="1">
        <v>0</v>
      </c>
      <c r="R1442" s="1">
        <v>0</v>
      </c>
      <c r="S1442" s="1">
        <v>0</v>
      </c>
      <c r="T1442" s="1">
        <v>0</v>
      </c>
      <c r="U1442" s="1">
        <v>0</v>
      </c>
      <c r="V1442" s="1" t="s">
        <v>301</v>
      </c>
    </row>
    <row r="1443" spans="1:22">
      <c r="A1443" t="s">
        <v>188</v>
      </c>
      <c r="B1443" t="s">
        <v>57</v>
      </c>
      <c r="C1443" t="s">
        <v>61</v>
      </c>
      <c r="D1443" s="1">
        <v>0</v>
      </c>
      <c r="E1443" s="1">
        <v>0</v>
      </c>
      <c r="F1443" s="1">
        <v>0</v>
      </c>
      <c r="G1443" s="1">
        <v>0</v>
      </c>
      <c r="H1443" s="1">
        <v>0</v>
      </c>
      <c r="I1443" s="1">
        <v>0</v>
      </c>
      <c r="J1443" s="1">
        <v>0</v>
      </c>
      <c r="K1443" s="1">
        <v>0</v>
      </c>
      <c r="L1443" s="1">
        <v>0</v>
      </c>
      <c r="M1443" s="1">
        <v>0</v>
      </c>
      <c r="N1443" s="1">
        <v>0</v>
      </c>
      <c r="O1443" s="1">
        <v>0</v>
      </c>
      <c r="P1443" s="1">
        <v>0</v>
      </c>
      <c r="Q1443" s="1">
        <v>0</v>
      </c>
      <c r="R1443" s="1">
        <v>0</v>
      </c>
      <c r="S1443" s="1">
        <v>0</v>
      </c>
      <c r="T1443" s="1">
        <v>0</v>
      </c>
      <c r="U1443" s="1">
        <v>0</v>
      </c>
      <c r="V1443" s="1" t="s">
        <v>301</v>
      </c>
    </row>
    <row r="1444" spans="1:22">
      <c r="A1444" t="s">
        <v>188</v>
      </c>
      <c r="B1444" t="s">
        <v>57</v>
      </c>
      <c r="C1444" t="s">
        <v>62</v>
      </c>
      <c r="D1444" s="1">
        <v>0</v>
      </c>
      <c r="E1444" s="1">
        <v>0</v>
      </c>
      <c r="F1444" s="1">
        <v>0</v>
      </c>
      <c r="G1444" s="1">
        <v>0</v>
      </c>
      <c r="H1444" s="1">
        <v>0</v>
      </c>
      <c r="I1444" s="1">
        <v>0</v>
      </c>
      <c r="J1444" s="1">
        <v>0</v>
      </c>
      <c r="K1444" s="1">
        <v>0</v>
      </c>
      <c r="L1444" s="1">
        <v>0</v>
      </c>
      <c r="M1444" s="1">
        <v>0</v>
      </c>
      <c r="N1444" s="1">
        <v>0</v>
      </c>
      <c r="O1444" s="1">
        <v>0</v>
      </c>
      <c r="P1444" s="1">
        <v>0</v>
      </c>
      <c r="Q1444" s="1">
        <v>0</v>
      </c>
      <c r="R1444" s="1">
        <v>0</v>
      </c>
      <c r="S1444" s="1">
        <v>0</v>
      </c>
      <c r="T1444" s="1">
        <v>0</v>
      </c>
      <c r="U1444" s="1">
        <v>0</v>
      </c>
      <c r="V1444" s="1" t="s">
        <v>301</v>
      </c>
    </row>
    <row r="1445" spans="1:22">
      <c r="A1445" t="s">
        <v>188</v>
      </c>
      <c r="B1445" t="s">
        <v>57</v>
      </c>
      <c r="C1445" t="s">
        <v>63</v>
      </c>
      <c r="D1445" s="1">
        <v>0</v>
      </c>
      <c r="E1445" s="1">
        <v>0</v>
      </c>
      <c r="F1445" s="1">
        <v>0</v>
      </c>
      <c r="G1445" s="1">
        <v>0</v>
      </c>
      <c r="H1445" s="1">
        <v>0</v>
      </c>
      <c r="I1445" s="1">
        <v>0</v>
      </c>
      <c r="J1445" s="1">
        <v>0</v>
      </c>
      <c r="K1445" s="1">
        <v>0</v>
      </c>
      <c r="L1445" s="1">
        <v>0</v>
      </c>
      <c r="M1445" s="1">
        <v>0</v>
      </c>
      <c r="N1445" s="1">
        <v>0</v>
      </c>
      <c r="O1445" s="1">
        <v>0</v>
      </c>
      <c r="P1445" s="1">
        <v>0</v>
      </c>
      <c r="Q1445" s="1">
        <v>0</v>
      </c>
      <c r="R1445" s="1">
        <v>0</v>
      </c>
      <c r="S1445" s="1">
        <v>0</v>
      </c>
      <c r="T1445" s="1">
        <v>0</v>
      </c>
      <c r="U1445" s="1">
        <v>0</v>
      </c>
      <c r="V1445" s="1" t="s">
        <v>301</v>
      </c>
    </row>
    <row r="1446" spans="1:22">
      <c r="A1446" t="s">
        <v>188</v>
      </c>
      <c r="B1446" t="s">
        <v>57</v>
      </c>
      <c r="C1446" t="s">
        <v>64</v>
      </c>
      <c r="D1446" s="1">
        <v>0</v>
      </c>
      <c r="E1446" s="1">
        <v>0</v>
      </c>
      <c r="F1446" s="1">
        <v>0</v>
      </c>
      <c r="G1446" s="1">
        <v>0</v>
      </c>
      <c r="H1446" s="1">
        <v>0</v>
      </c>
      <c r="I1446" s="1">
        <v>0</v>
      </c>
      <c r="J1446" s="1">
        <v>0</v>
      </c>
      <c r="K1446" s="1">
        <v>0</v>
      </c>
      <c r="L1446" s="1">
        <v>0</v>
      </c>
      <c r="M1446" s="1">
        <v>0</v>
      </c>
      <c r="N1446" s="1">
        <v>0</v>
      </c>
      <c r="O1446" s="1">
        <v>0</v>
      </c>
      <c r="P1446" s="1">
        <v>0</v>
      </c>
      <c r="Q1446" s="1">
        <v>0</v>
      </c>
      <c r="R1446" s="1">
        <v>0</v>
      </c>
      <c r="S1446" s="1">
        <v>0</v>
      </c>
      <c r="T1446" s="1">
        <v>0</v>
      </c>
      <c r="U1446" s="1">
        <v>0</v>
      </c>
      <c r="V1446" s="1" t="s">
        <v>301</v>
      </c>
    </row>
    <row r="1447" spans="1:22">
      <c r="A1447" t="s">
        <v>188</v>
      </c>
      <c r="B1447" t="s">
        <v>57</v>
      </c>
      <c r="C1447" t="s">
        <v>65</v>
      </c>
      <c r="D1447" s="1">
        <v>0</v>
      </c>
      <c r="E1447" s="1">
        <v>0</v>
      </c>
      <c r="F1447" s="1">
        <v>0</v>
      </c>
      <c r="G1447" s="1">
        <v>0</v>
      </c>
      <c r="H1447" s="1">
        <v>0</v>
      </c>
      <c r="I1447" s="1">
        <v>0</v>
      </c>
      <c r="J1447" s="1">
        <v>0</v>
      </c>
      <c r="K1447" s="1">
        <v>0</v>
      </c>
      <c r="L1447" s="1">
        <v>0</v>
      </c>
      <c r="M1447" s="1">
        <v>0</v>
      </c>
      <c r="N1447" s="1">
        <v>0</v>
      </c>
      <c r="O1447" s="1">
        <v>0</v>
      </c>
      <c r="P1447" s="1">
        <v>0</v>
      </c>
      <c r="Q1447" s="1">
        <v>0</v>
      </c>
      <c r="R1447" s="1">
        <v>0</v>
      </c>
      <c r="S1447" s="1">
        <v>0</v>
      </c>
      <c r="T1447" s="1">
        <v>0</v>
      </c>
      <c r="U1447" s="1">
        <v>0</v>
      </c>
      <c r="V1447" s="1" t="s">
        <v>301</v>
      </c>
    </row>
    <row r="1448" spans="1:22">
      <c r="A1448" t="s">
        <v>66</v>
      </c>
      <c r="B1448" t="s">
        <v>57</v>
      </c>
      <c r="C1448" t="s">
        <v>58</v>
      </c>
      <c r="D1448" s="1">
        <v>0</v>
      </c>
      <c r="E1448" s="1">
        <v>0</v>
      </c>
      <c r="F1448" s="1">
        <v>0</v>
      </c>
      <c r="G1448" s="1">
        <v>0</v>
      </c>
      <c r="H1448" s="1">
        <v>0</v>
      </c>
      <c r="I1448" s="1">
        <v>0</v>
      </c>
      <c r="J1448" s="1">
        <v>0</v>
      </c>
      <c r="K1448" s="1">
        <v>0</v>
      </c>
      <c r="L1448" s="1">
        <v>0</v>
      </c>
      <c r="M1448" s="1">
        <v>0</v>
      </c>
      <c r="N1448" s="1">
        <v>0</v>
      </c>
      <c r="O1448" s="1">
        <v>0</v>
      </c>
      <c r="P1448" s="1">
        <v>0</v>
      </c>
      <c r="Q1448" s="1">
        <v>0</v>
      </c>
      <c r="R1448" s="1">
        <v>0</v>
      </c>
      <c r="S1448" s="1">
        <v>0</v>
      </c>
      <c r="T1448" s="1">
        <v>0</v>
      </c>
      <c r="U1448" s="1">
        <v>3</v>
      </c>
      <c r="V1448" s="1" t="s">
        <v>301</v>
      </c>
    </row>
    <row r="1449" spans="1:22">
      <c r="A1449" t="s">
        <v>66</v>
      </c>
      <c r="B1449" t="s">
        <v>57</v>
      </c>
      <c r="C1449" t="s">
        <v>59</v>
      </c>
      <c r="D1449" s="1">
        <v>0</v>
      </c>
      <c r="E1449" s="1">
        <v>0</v>
      </c>
      <c r="F1449" s="1">
        <v>0</v>
      </c>
      <c r="G1449" s="1">
        <v>0</v>
      </c>
      <c r="H1449" s="1">
        <v>0</v>
      </c>
      <c r="I1449" s="1">
        <v>0</v>
      </c>
      <c r="J1449" s="1">
        <v>0</v>
      </c>
      <c r="K1449" s="1">
        <v>0</v>
      </c>
      <c r="L1449" s="1">
        <v>0</v>
      </c>
      <c r="M1449" s="1">
        <v>0</v>
      </c>
      <c r="N1449" s="1">
        <v>0</v>
      </c>
      <c r="O1449" s="1">
        <v>0</v>
      </c>
      <c r="P1449" s="1">
        <v>0</v>
      </c>
      <c r="Q1449" s="1">
        <v>0</v>
      </c>
      <c r="R1449" s="1">
        <v>0</v>
      </c>
      <c r="S1449" s="1">
        <v>0</v>
      </c>
      <c r="T1449" s="1">
        <v>0</v>
      </c>
      <c r="U1449" s="1">
        <v>0</v>
      </c>
      <c r="V1449" s="1" t="s">
        <v>301</v>
      </c>
    </row>
    <row r="1450" spans="1:22">
      <c r="A1450" t="s">
        <v>66</v>
      </c>
      <c r="B1450" t="s">
        <v>57</v>
      </c>
      <c r="C1450" t="s">
        <v>60</v>
      </c>
      <c r="D1450" s="1">
        <v>0</v>
      </c>
      <c r="E1450" s="1">
        <v>0</v>
      </c>
      <c r="F1450" s="1">
        <v>0</v>
      </c>
      <c r="G1450" s="1">
        <v>0</v>
      </c>
      <c r="H1450" s="1">
        <v>0</v>
      </c>
      <c r="I1450" s="1">
        <v>0</v>
      </c>
      <c r="J1450" s="1">
        <v>0</v>
      </c>
      <c r="K1450" s="1">
        <v>0</v>
      </c>
      <c r="L1450" s="1">
        <v>0</v>
      </c>
      <c r="M1450" s="1">
        <v>0</v>
      </c>
      <c r="N1450" s="1">
        <v>0</v>
      </c>
      <c r="O1450" s="1">
        <v>0</v>
      </c>
      <c r="P1450" s="1">
        <v>0</v>
      </c>
      <c r="Q1450" s="1">
        <v>0</v>
      </c>
      <c r="R1450" s="1">
        <v>0</v>
      </c>
      <c r="S1450" s="1">
        <v>0</v>
      </c>
      <c r="T1450" s="1">
        <v>0</v>
      </c>
      <c r="U1450" s="1">
        <v>0</v>
      </c>
      <c r="V1450" s="1" t="s">
        <v>301</v>
      </c>
    </row>
    <row r="1451" spans="1:22">
      <c r="A1451" t="s">
        <v>66</v>
      </c>
      <c r="B1451" t="s">
        <v>57</v>
      </c>
      <c r="C1451" t="s">
        <v>61</v>
      </c>
      <c r="D1451" s="1">
        <v>0</v>
      </c>
      <c r="E1451" s="1">
        <v>0</v>
      </c>
      <c r="F1451" s="1">
        <v>0</v>
      </c>
      <c r="G1451" s="1">
        <v>0</v>
      </c>
      <c r="H1451" s="1">
        <v>0</v>
      </c>
      <c r="I1451" s="1">
        <v>0</v>
      </c>
      <c r="J1451" s="1">
        <v>0</v>
      </c>
      <c r="K1451" s="1">
        <v>0</v>
      </c>
      <c r="L1451" s="1">
        <v>0</v>
      </c>
      <c r="M1451" s="1">
        <v>0</v>
      </c>
      <c r="N1451" s="1">
        <v>0</v>
      </c>
      <c r="O1451" s="1">
        <v>0</v>
      </c>
      <c r="P1451" s="1">
        <v>0</v>
      </c>
      <c r="Q1451" s="1">
        <v>0</v>
      </c>
      <c r="R1451" s="1">
        <v>0</v>
      </c>
      <c r="S1451" s="1">
        <v>0</v>
      </c>
      <c r="T1451" s="1">
        <v>0</v>
      </c>
      <c r="U1451" s="1">
        <v>0</v>
      </c>
      <c r="V1451" s="1" t="s">
        <v>301</v>
      </c>
    </row>
    <row r="1452" spans="1:22">
      <c r="A1452" t="s">
        <v>66</v>
      </c>
      <c r="B1452" t="s">
        <v>57</v>
      </c>
      <c r="C1452" t="s">
        <v>62</v>
      </c>
      <c r="D1452" s="1">
        <v>0</v>
      </c>
      <c r="E1452" s="1">
        <v>0</v>
      </c>
      <c r="F1452" s="1">
        <v>0</v>
      </c>
      <c r="G1452" s="1">
        <v>0</v>
      </c>
      <c r="H1452" s="1">
        <v>0</v>
      </c>
      <c r="I1452" s="1">
        <v>0</v>
      </c>
      <c r="J1452" s="1">
        <v>0</v>
      </c>
      <c r="K1452" s="1">
        <v>0</v>
      </c>
      <c r="L1452" s="1">
        <v>0</v>
      </c>
      <c r="M1452" s="1">
        <v>0</v>
      </c>
      <c r="N1452" s="1">
        <v>0</v>
      </c>
      <c r="O1452" s="1">
        <v>0</v>
      </c>
      <c r="P1452" s="1">
        <v>0</v>
      </c>
      <c r="Q1452" s="1">
        <v>0</v>
      </c>
      <c r="R1452" s="1">
        <v>0</v>
      </c>
      <c r="S1452" s="1">
        <v>0</v>
      </c>
      <c r="T1452" s="1">
        <v>0</v>
      </c>
      <c r="U1452" s="1">
        <v>0</v>
      </c>
      <c r="V1452" s="1" t="s">
        <v>301</v>
      </c>
    </row>
    <row r="1453" spans="1:22">
      <c r="A1453" t="s">
        <v>66</v>
      </c>
      <c r="B1453" t="s">
        <v>57</v>
      </c>
      <c r="C1453" t="s">
        <v>63</v>
      </c>
      <c r="D1453" s="1">
        <v>0</v>
      </c>
      <c r="E1453" s="1">
        <v>0</v>
      </c>
      <c r="F1453" s="1">
        <v>0</v>
      </c>
      <c r="G1453" s="1">
        <v>0</v>
      </c>
      <c r="H1453" s="1">
        <v>0</v>
      </c>
      <c r="I1453" s="1">
        <v>0</v>
      </c>
      <c r="J1453" s="1">
        <v>0</v>
      </c>
      <c r="K1453" s="1">
        <v>0</v>
      </c>
      <c r="L1453" s="1">
        <v>0</v>
      </c>
      <c r="M1453" s="1">
        <v>0</v>
      </c>
      <c r="N1453" s="1">
        <v>0</v>
      </c>
      <c r="O1453" s="1">
        <v>0</v>
      </c>
      <c r="P1453" s="1">
        <v>0</v>
      </c>
      <c r="Q1453" s="1">
        <v>0</v>
      </c>
      <c r="R1453" s="1">
        <v>0</v>
      </c>
      <c r="S1453" s="1">
        <v>0</v>
      </c>
      <c r="T1453" s="1">
        <v>0</v>
      </c>
      <c r="U1453" s="1">
        <v>0</v>
      </c>
      <c r="V1453" s="1" t="s">
        <v>301</v>
      </c>
    </row>
    <row r="1454" spans="1:22">
      <c r="A1454" t="s">
        <v>66</v>
      </c>
      <c r="B1454" t="s">
        <v>57</v>
      </c>
      <c r="C1454" t="s">
        <v>64</v>
      </c>
      <c r="D1454" s="1">
        <v>0</v>
      </c>
      <c r="E1454" s="1">
        <v>0</v>
      </c>
      <c r="F1454" s="1">
        <v>0</v>
      </c>
      <c r="G1454" s="1">
        <v>0</v>
      </c>
      <c r="H1454" s="1">
        <v>0</v>
      </c>
      <c r="I1454" s="1">
        <v>0</v>
      </c>
      <c r="J1454" s="1">
        <v>0</v>
      </c>
      <c r="K1454" s="1">
        <v>0</v>
      </c>
      <c r="L1454" s="1">
        <v>0</v>
      </c>
      <c r="M1454" s="1">
        <v>0</v>
      </c>
      <c r="N1454" s="1">
        <v>0</v>
      </c>
      <c r="O1454" s="1">
        <v>0</v>
      </c>
      <c r="P1454" s="1">
        <v>0</v>
      </c>
      <c r="Q1454" s="1">
        <v>0</v>
      </c>
      <c r="R1454" s="1">
        <v>0</v>
      </c>
      <c r="S1454" s="1">
        <v>0</v>
      </c>
      <c r="T1454" s="1">
        <v>0</v>
      </c>
      <c r="U1454" s="1">
        <v>0</v>
      </c>
      <c r="V1454" s="1" t="s">
        <v>301</v>
      </c>
    </row>
    <row r="1455" spans="1:22">
      <c r="A1455" t="s">
        <v>66</v>
      </c>
      <c r="B1455" t="s">
        <v>57</v>
      </c>
      <c r="C1455" t="s">
        <v>65</v>
      </c>
      <c r="D1455" s="1">
        <v>0</v>
      </c>
      <c r="E1455" s="1">
        <v>0</v>
      </c>
      <c r="F1455" s="1">
        <v>0</v>
      </c>
      <c r="G1455" s="1">
        <v>0</v>
      </c>
      <c r="H1455" s="1">
        <v>0</v>
      </c>
      <c r="I1455" s="1">
        <v>0</v>
      </c>
      <c r="J1455" s="1">
        <v>0</v>
      </c>
      <c r="K1455" s="1">
        <v>0</v>
      </c>
      <c r="L1455" s="1">
        <v>0</v>
      </c>
      <c r="M1455" s="1">
        <v>0</v>
      </c>
      <c r="N1455" s="1">
        <v>0</v>
      </c>
      <c r="O1455" s="1">
        <v>0</v>
      </c>
      <c r="P1455" s="1">
        <v>0</v>
      </c>
      <c r="Q1455" s="1">
        <v>0</v>
      </c>
      <c r="R1455" s="1">
        <v>0</v>
      </c>
      <c r="S1455" s="1">
        <v>0</v>
      </c>
      <c r="T1455" s="1">
        <v>0</v>
      </c>
      <c r="U1455" s="1">
        <v>0</v>
      </c>
      <c r="V1455" s="1" t="s">
        <v>301</v>
      </c>
    </row>
    <row r="1456" spans="1:22">
      <c r="A1456" t="s">
        <v>189</v>
      </c>
      <c r="B1456" t="s">
        <v>57</v>
      </c>
      <c r="C1456" t="s">
        <v>58</v>
      </c>
      <c r="D1456" s="1">
        <v>0</v>
      </c>
      <c r="E1456" s="1">
        <v>0</v>
      </c>
      <c r="F1456" s="1">
        <v>0</v>
      </c>
      <c r="G1456" s="1">
        <v>0</v>
      </c>
      <c r="H1456" s="1">
        <v>0</v>
      </c>
      <c r="I1456" s="1">
        <v>0</v>
      </c>
      <c r="J1456" s="1">
        <v>0</v>
      </c>
      <c r="K1456" s="1">
        <v>0</v>
      </c>
      <c r="L1456" s="1">
        <v>0</v>
      </c>
      <c r="M1456" s="1">
        <v>0</v>
      </c>
      <c r="N1456" s="1">
        <v>0</v>
      </c>
      <c r="O1456" s="1">
        <v>0</v>
      </c>
      <c r="P1456" s="1">
        <v>0</v>
      </c>
      <c r="Q1456" s="1">
        <v>0</v>
      </c>
      <c r="R1456" s="1">
        <v>0</v>
      </c>
      <c r="S1456" s="1">
        <v>0</v>
      </c>
      <c r="T1456" s="1">
        <v>0</v>
      </c>
      <c r="U1456" s="1">
        <v>2</v>
      </c>
      <c r="V1456" s="1" t="s">
        <v>301</v>
      </c>
    </row>
    <row r="1457" spans="1:22">
      <c r="A1457" t="s">
        <v>189</v>
      </c>
      <c r="B1457" t="s">
        <v>57</v>
      </c>
      <c r="C1457" t="s">
        <v>59</v>
      </c>
      <c r="D1457" s="1">
        <v>0</v>
      </c>
      <c r="E1457" s="1">
        <v>0</v>
      </c>
      <c r="F1457" s="1">
        <v>0</v>
      </c>
      <c r="G1457" s="1">
        <v>0</v>
      </c>
      <c r="H1457" s="1">
        <v>0</v>
      </c>
      <c r="I1457" s="1">
        <v>0</v>
      </c>
      <c r="J1457" s="1">
        <v>0</v>
      </c>
      <c r="K1457" s="1">
        <v>0</v>
      </c>
      <c r="L1457" s="1">
        <v>0</v>
      </c>
      <c r="M1457" s="1">
        <v>0</v>
      </c>
      <c r="N1457" s="1">
        <v>0</v>
      </c>
      <c r="O1457" s="1">
        <v>0</v>
      </c>
      <c r="P1457" s="1">
        <v>0</v>
      </c>
      <c r="Q1457" s="1">
        <v>0</v>
      </c>
      <c r="R1457" s="1">
        <v>0</v>
      </c>
      <c r="S1457" s="1">
        <v>0</v>
      </c>
      <c r="T1457" s="1">
        <v>0</v>
      </c>
      <c r="U1457" s="1">
        <v>0</v>
      </c>
      <c r="V1457" s="1" t="s">
        <v>301</v>
      </c>
    </row>
    <row r="1458" spans="1:22">
      <c r="A1458" t="s">
        <v>189</v>
      </c>
      <c r="B1458" t="s">
        <v>57</v>
      </c>
      <c r="C1458" t="s">
        <v>60</v>
      </c>
      <c r="D1458" s="1">
        <v>0</v>
      </c>
      <c r="E1458" s="1">
        <v>0</v>
      </c>
      <c r="F1458" s="1">
        <v>0</v>
      </c>
      <c r="G1458" s="1">
        <v>0</v>
      </c>
      <c r="H1458" s="1">
        <v>0</v>
      </c>
      <c r="I1458" s="1">
        <v>0</v>
      </c>
      <c r="J1458" s="1">
        <v>0</v>
      </c>
      <c r="K1458" s="1">
        <v>0</v>
      </c>
      <c r="L1458" s="1">
        <v>0</v>
      </c>
      <c r="M1458" s="1">
        <v>0</v>
      </c>
      <c r="N1458" s="1">
        <v>0</v>
      </c>
      <c r="O1458" s="1">
        <v>0</v>
      </c>
      <c r="P1458" s="1">
        <v>0</v>
      </c>
      <c r="Q1458" s="1">
        <v>0</v>
      </c>
      <c r="R1458" s="1">
        <v>0</v>
      </c>
      <c r="S1458" s="1">
        <v>0</v>
      </c>
      <c r="T1458" s="1">
        <v>0</v>
      </c>
      <c r="U1458" s="1">
        <v>0</v>
      </c>
      <c r="V1458" s="1" t="s">
        <v>301</v>
      </c>
    </row>
    <row r="1459" spans="1:22">
      <c r="A1459" t="s">
        <v>189</v>
      </c>
      <c r="B1459" t="s">
        <v>57</v>
      </c>
      <c r="C1459" t="s">
        <v>61</v>
      </c>
      <c r="D1459" s="1">
        <v>0</v>
      </c>
      <c r="E1459" s="1">
        <v>0</v>
      </c>
      <c r="F1459" s="1">
        <v>0</v>
      </c>
      <c r="G1459" s="1">
        <v>0</v>
      </c>
      <c r="H1459" s="1">
        <v>0</v>
      </c>
      <c r="I1459" s="1">
        <v>0</v>
      </c>
      <c r="J1459" s="1">
        <v>0</v>
      </c>
      <c r="K1459" s="1">
        <v>0</v>
      </c>
      <c r="L1459" s="1">
        <v>0</v>
      </c>
      <c r="M1459" s="1">
        <v>0</v>
      </c>
      <c r="N1459" s="1">
        <v>0</v>
      </c>
      <c r="O1459" s="1">
        <v>0</v>
      </c>
      <c r="P1459" s="1">
        <v>0</v>
      </c>
      <c r="Q1459" s="1">
        <v>0</v>
      </c>
      <c r="R1459" s="1">
        <v>0</v>
      </c>
      <c r="S1459" s="1">
        <v>0</v>
      </c>
      <c r="T1459" s="1">
        <v>0</v>
      </c>
      <c r="U1459" s="1">
        <v>0</v>
      </c>
      <c r="V1459" s="1" t="s">
        <v>301</v>
      </c>
    </row>
    <row r="1460" spans="1:22">
      <c r="A1460" t="s">
        <v>189</v>
      </c>
      <c r="B1460" t="s">
        <v>57</v>
      </c>
      <c r="C1460" t="s">
        <v>62</v>
      </c>
      <c r="D1460" s="1">
        <v>0</v>
      </c>
      <c r="E1460" s="1">
        <v>0</v>
      </c>
      <c r="F1460" s="1">
        <v>0</v>
      </c>
      <c r="G1460" s="1">
        <v>0</v>
      </c>
      <c r="H1460" s="1">
        <v>0</v>
      </c>
      <c r="I1460" s="1">
        <v>0</v>
      </c>
      <c r="J1460" s="1">
        <v>0</v>
      </c>
      <c r="K1460" s="1">
        <v>0</v>
      </c>
      <c r="L1460" s="1">
        <v>0</v>
      </c>
      <c r="M1460" s="1">
        <v>0</v>
      </c>
      <c r="N1460" s="1">
        <v>0</v>
      </c>
      <c r="O1460" s="1">
        <v>0</v>
      </c>
      <c r="P1460" s="1">
        <v>0</v>
      </c>
      <c r="Q1460" s="1">
        <v>0</v>
      </c>
      <c r="R1460" s="1">
        <v>0</v>
      </c>
      <c r="S1460" s="1">
        <v>0</v>
      </c>
      <c r="T1460" s="1">
        <v>0</v>
      </c>
      <c r="U1460" s="1">
        <v>0</v>
      </c>
      <c r="V1460" s="1" t="s">
        <v>301</v>
      </c>
    </row>
    <row r="1461" spans="1:22">
      <c r="A1461" t="s">
        <v>189</v>
      </c>
      <c r="B1461" t="s">
        <v>57</v>
      </c>
      <c r="C1461" t="s">
        <v>63</v>
      </c>
      <c r="D1461" s="1">
        <v>0</v>
      </c>
      <c r="E1461" s="1">
        <v>0</v>
      </c>
      <c r="F1461" s="1">
        <v>0</v>
      </c>
      <c r="G1461" s="1">
        <v>0</v>
      </c>
      <c r="H1461" s="1">
        <v>0</v>
      </c>
      <c r="I1461" s="1">
        <v>0</v>
      </c>
      <c r="J1461" s="1">
        <v>0</v>
      </c>
      <c r="K1461" s="1">
        <v>0</v>
      </c>
      <c r="L1461" s="1">
        <v>0</v>
      </c>
      <c r="M1461" s="1">
        <v>0</v>
      </c>
      <c r="N1461" s="1">
        <v>0</v>
      </c>
      <c r="O1461" s="1">
        <v>0</v>
      </c>
      <c r="P1461" s="1">
        <v>0</v>
      </c>
      <c r="Q1461" s="1">
        <v>0</v>
      </c>
      <c r="R1461" s="1">
        <v>0</v>
      </c>
      <c r="S1461" s="1">
        <v>0</v>
      </c>
      <c r="T1461" s="1">
        <v>0</v>
      </c>
      <c r="U1461" s="1">
        <v>0</v>
      </c>
      <c r="V1461" s="1" t="s">
        <v>301</v>
      </c>
    </row>
    <row r="1462" spans="1:22">
      <c r="A1462" t="s">
        <v>189</v>
      </c>
      <c r="B1462" t="s">
        <v>57</v>
      </c>
      <c r="C1462" t="s">
        <v>64</v>
      </c>
      <c r="D1462" s="1">
        <v>0</v>
      </c>
      <c r="E1462" s="1">
        <v>0</v>
      </c>
      <c r="F1462" s="1">
        <v>0</v>
      </c>
      <c r="G1462" s="1">
        <v>0</v>
      </c>
      <c r="H1462" s="1">
        <v>0</v>
      </c>
      <c r="I1462" s="1">
        <v>0</v>
      </c>
      <c r="J1462" s="1">
        <v>0</v>
      </c>
      <c r="K1462" s="1">
        <v>0</v>
      </c>
      <c r="L1462" s="1">
        <v>0</v>
      </c>
      <c r="M1462" s="1">
        <v>0</v>
      </c>
      <c r="N1462" s="1">
        <v>0</v>
      </c>
      <c r="O1462" s="1">
        <v>0</v>
      </c>
      <c r="P1462" s="1">
        <v>0</v>
      </c>
      <c r="Q1462" s="1">
        <v>0</v>
      </c>
      <c r="R1462" s="1">
        <v>0</v>
      </c>
      <c r="S1462" s="1">
        <v>0</v>
      </c>
      <c r="T1462" s="1">
        <v>0</v>
      </c>
      <c r="U1462" s="1">
        <v>0</v>
      </c>
      <c r="V1462" s="1" t="s">
        <v>301</v>
      </c>
    </row>
    <row r="1463" spans="1:22">
      <c r="A1463" t="s">
        <v>189</v>
      </c>
      <c r="B1463" t="s">
        <v>57</v>
      </c>
      <c r="C1463" t="s">
        <v>65</v>
      </c>
      <c r="D1463" s="1">
        <v>0</v>
      </c>
      <c r="E1463" s="1">
        <v>0</v>
      </c>
      <c r="F1463" s="1">
        <v>0</v>
      </c>
      <c r="G1463" s="1">
        <v>0</v>
      </c>
      <c r="H1463" s="1">
        <v>0</v>
      </c>
      <c r="I1463" s="1">
        <v>0</v>
      </c>
      <c r="J1463" s="1">
        <v>0</v>
      </c>
      <c r="K1463" s="1">
        <v>0</v>
      </c>
      <c r="L1463" s="1">
        <v>0</v>
      </c>
      <c r="M1463" s="1">
        <v>0</v>
      </c>
      <c r="N1463" s="1">
        <v>0</v>
      </c>
      <c r="O1463" s="1">
        <v>0</v>
      </c>
      <c r="P1463" s="1">
        <v>0</v>
      </c>
      <c r="Q1463" s="1">
        <v>0</v>
      </c>
      <c r="R1463" s="1">
        <v>0</v>
      </c>
      <c r="S1463" s="1">
        <v>0</v>
      </c>
      <c r="T1463" s="1">
        <v>0</v>
      </c>
      <c r="U1463" s="1">
        <v>0</v>
      </c>
      <c r="V1463" s="1" t="s">
        <v>301</v>
      </c>
    </row>
    <row r="1464" spans="1:22">
      <c r="A1464" t="s">
        <v>190</v>
      </c>
      <c r="B1464" t="s">
        <v>57</v>
      </c>
      <c r="C1464" t="s">
        <v>58</v>
      </c>
      <c r="D1464" s="1">
        <v>0</v>
      </c>
      <c r="E1464" s="1">
        <v>0</v>
      </c>
      <c r="F1464" s="1">
        <v>0</v>
      </c>
      <c r="G1464" s="1">
        <v>0</v>
      </c>
      <c r="H1464" s="1">
        <v>0</v>
      </c>
      <c r="I1464" s="1">
        <v>0</v>
      </c>
      <c r="J1464" s="1">
        <v>0</v>
      </c>
      <c r="K1464" s="1">
        <v>0</v>
      </c>
      <c r="L1464" s="1">
        <v>0</v>
      </c>
      <c r="M1464" s="1">
        <v>0</v>
      </c>
      <c r="N1464" s="1">
        <v>0</v>
      </c>
      <c r="O1464" s="1">
        <v>0</v>
      </c>
      <c r="P1464" s="1">
        <v>0</v>
      </c>
      <c r="Q1464" s="1">
        <v>0</v>
      </c>
      <c r="R1464" s="1">
        <v>0</v>
      </c>
      <c r="S1464" s="1">
        <v>0</v>
      </c>
      <c r="T1464" s="1">
        <v>0</v>
      </c>
      <c r="U1464" s="1">
        <v>3</v>
      </c>
      <c r="V1464" s="1" t="s">
        <v>301</v>
      </c>
    </row>
    <row r="1465" spans="1:22">
      <c r="A1465" t="s">
        <v>190</v>
      </c>
      <c r="B1465" t="s">
        <v>57</v>
      </c>
      <c r="C1465" t="s">
        <v>59</v>
      </c>
      <c r="D1465" s="1">
        <v>0</v>
      </c>
      <c r="E1465" s="1">
        <v>0</v>
      </c>
      <c r="F1465" s="1">
        <v>0</v>
      </c>
      <c r="G1465" s="1">
        <v>0</v>
      </c>
      <c r="H1465" s="1">
        <v>0</v>
      </c>
      <c r="I1465" s="1">
        <v>0</v>
      </c>
      <c r="J1465" s="1">
        <v>0</v>
      </c>
      <c r="K1465" s="1">
        <v>0</v>
      </c>
      <c r="L1465" s="1">
        <v>0</v>
      </c>
      <c r="M1465" s="1">
        <v>0</v>
      </c>
      <c r="N1465" s="1">
        <v>0</v>
      </c>
      <c r="O1465" s="1">
        <v>0</v>
      </c>
      <c r="P1465" s="1">
        <v>0</v>
      </c>
      <c r="Q1465" s="1">
        <v>0</v>
      </c>
      <c r="R1465" s="1">
        <v>0</v>
      </c>
      <c r="S1465" s="1">
        <v>0</v>
      </c>
      <c r="T1465" s="1">
        <v>0</v>
      </c>
      <c r="U1465" s="1">
        <v>0</v>
      </c>
      <c r="V1465" s="1" t="s">
        <v>301</v>
      </c>
    </row>
    <row r="1466" spans="1:22">
      <c r="A1466" t="s">
        <v>190</v>
      </c>
      <c r="B1466" t="s">
        <v>57</v>
      </c>
      <c r="C1466" t="s">
        <v>60</v>
      </c>
      <c r="D1466" s="1">
        <v>0</v>
      </c>
      <c r="E1466" s="1">
        <v>0</v>
      </c>
      <c r="F1466" s="1">
        <v>0</v>
      </c>
      <c r="G1466" s="1">
        <v>0</v>
      </c>
      <c r="H1466" s="1">
        <v>0</v>
      </c>
      <c r="I1466" s="1">
        <v>0</v>
      </c>
      <c r="J1466" s="1">
        <v>0</v>
      </c>
      <c r="K1466" s="1">
        <v>0</v>
      </c>
      <c r="L1466" s="1">
        <v>0</v>
      </c>
      <c r="M1466" s="1">
        <v>0</v>
      </c>
      <c r="N1466" s="1">
        <v>0</v>
      </c>
      <c r="O1466" s="1">
        <v>0</v>
      </c>
      <c r="P1466" s="1">
        <v>0</v>
      </c>
      <c r="Q1466" s="1">
        <v>0</v>
      </c>
      <c r="R1466" s="1">
        <v>0</v>
      </c>
      <c r="S1466" s="1">
        <v>0</v>
      </c>
      <c r="T1466" s="1">
        <v>0</v>
      </c>
      <c r="U1466" s="1">
        <v>0</v>
      </c>
      <c r="V1466" s="1" t="s">
        <v>301</v>
      </c>
    </row>
    <row r="1467" spans="1:22">
      <c r="A1467" t="s">
        <v>190</v>
      </c>
      <c r="B1467" t="s">
        <v>57</v>
      </c>
      <c r="C1467" t="s">
        <v>61</v>
      </c>
      <c r="D1467" s="1">
        <v>0</v>
      </c>
      <c r="E1467" s="1">
        <v>0</v>
      </c>
      <c r="F1467" s="1">
        <v>0</v>
      </c>
      <c r="G1467" s="1">
        <v>0</v>
      </c>
      <c r="H1467" s="1">
        <v>0</v>
      </c>
      <c r="I1467" s="1">
        <v>0</v>
      </c>
      <c r="J1467" s="1">
        <v>0</v>
      </c>
      <c r="K1467" s="1">
        <v>0</v>
      </c>
      <c r="L1467" s="1">
        <v>0</v>
      </c>
      <c r="M1467" s="1">
        <v>0</v>
      </c>
      <c r="N1467" s="1">
        <v>0</v>
      </c>
      <c r="O1467" s="1">
        <v>0</v>
      </c>
      <c r="P1467" s="1">
        <v>0</v>
      </c>
      <c r="Q1467" s="1">
        <v>0</v>
      </c>
      <c r="R1467" s="1">
        <v>0</v>
      </c>
      <c r="S1467" s="1">
        <v>0</v>
      </c>
      <c r="T1467" s="1">
        <v>0</v>
      </c>
      <c r="U1467" s="1">
        <v>0</v>
      </c>
      <c r="V1467" s="1" t="s">
        <v>301</v>
      </c>
    </row>
    <row r="1468" spans="1:22">
      <c r="A1468" t="s">
        <v>190</v>
      </c>
      <c r="B1468" t="s">
        <v>57</v>
      </c>
      <c r="C1468" t="s">
        <v>62</v>
      </c>
      <c r="D1468" s="1">
        <v>0</v>
      </c>
      <c r="E1468" s="1">
        <v>0</v>
      </c>
      <c r="F1468" s="1">
        <v>0</v>
      </c>
      <c r="G1468" s="1">
        <v>0</v>
      </c>
      <c r="H1468" s="1">
        <v>0</v>
      </c>
      <c r="I1468" s="1">
        <v>0</v>
      </c>
      <c r="J1468" s="1">
        <v>0</v>
      </c>
      <c r="K1468" s="1">
        <v>0</v>
      </c>
      <c r="L1468" s="1">
        <v>0</v>
      </c>
      <c r="M1468" s="1">
        <v>0</v>
      </c>
      <c r="N1468" s="1">
        <v>0</v>
      </c>
      <c r="O1468" s="1">
        <v>0</v>
      </c>
      <c r="P1468" s="1">
        <v>0</v>
      </c>
      <c r="Q1468" s="1">
        <v>0</v>
      </c>
      <c r="R1468" s="1">
        <v>0</v>
      </c>
      <c r="S1468" s="1">
        <v>0</v>
      </c>
      <c r="T1468" s="1">
        <v>0</v>
      </c>
      <c r="U1468" s="1">
        <v>0</v>
      </c>
      <c r="V1468" s="1" t="s">
        <v>301</v>
      </c>
    </row>
    <row r="1469" spans="1:22">
      <c r="A1469" t="s">
        <v>190</v>
      </c>
      <c r="B1469" t="s">
        <v>57</v>
      </c>
      <c r="C1469" t="s">
        <v>63</v>
      </c>
      <c r="D1469" s="1">
        <v>0</v>
      </c>
      <c r="E1469" s="1">
        <v>0</v>
      </c>
      <c r="F1469" s="1">
        <v>0</v>
      </c>
      <c r="G1469" s="1">
        <v>0</v>
      </c>
      <c r="H1469" s="1">
        <v>0</v>
      </c>
      <c r="I1469" s="1">
        <v>0</v>
      </c>
      <c r="J1469" s="1">
        <v>0</v>
      </c>
      <c r="K1469" s="1">
        <v>0</v>
      </c>
      <c r="L1469" s="1">
        <v>0</v>
      </c>
      <c r="M1469" s="1">
        <v>0</v>
      </c>
      <c r="N1469" s="1">
        <v>0</v>
      </c>
      <c r="O1469" s="1">
        <v>0</v>
      </c>
      <c r="P1469" s="1">
        <v>0</v>
      </c>
      <c r="Q1469" s="1">
        <v>0</v>
      </c>
      <c r="R1469" s="1">
        <v>0</v>
      </c>
      <c r="S1469" s="1">
        <v>0</v>
      </c>
      <c r="T1469" s="1">
        <v>0</v>
      </c>
      <c r="U1469" s="1">
        <v>0</v>
      </c>
      <c r="V1469" s="1" t="s">
        <v>301</v>
      </c>
    </row>
    <row r="1470" spans="1:22">
      <c r="A1470" t="s">
        <v>190</v>
      </c>
      <c r="B1470" t="s">
        <v>57</v>
      </c>
      <c r="C1470" t="s">
        <v>64</v>
      </c>
      <c r="D1470" s="1">
        <v>0</v>
      </c>
      <c r="E1470" s="1">
        <v>0</v>
      </c>
      <c r="F1470" s="1">
        <v>0</v>
      </c>
      <c r="G1470" s="1">
        <v>0</v>
      </c>
      <c r="H1470" s="1">
        <v>0</v>
      </c>
      <c r="I1470" s="1">
        <v>0</v>
      </c>
      <c r="J1470" s="1">
        <v>0</v>
      </c>
      <c r="K1470" s="1">
        <v>0</v>
      </c>
      <c r="L1470" s="1">
        <v>0</v>
      </c>
      <c r="M1470" s="1">
        <v>0</v>
      </c>
      <c r="N1470" s="1">
        <v>0</v>
      </c>
      <c r="O1470" s="1">
        <v>0</v>
      </c>
      <c r="P1470" s="1">
        <v>0</v>
      </c>
      <c r="Q1470" s="1">
        <v>0</v>
      </c>
      <c r="R1470" s="1">
        <v>0</v>
      </c>
      <c r="S1470" s="1">
        <v>0</v>
      </c>
      <c r="T1470" s="1">
        <v>0</v>
      </c>
      <c r="U1470" s="1">
        <v>0</v>
      </c>
      <c r="V1470" s="1" t="s">
        <v>301</v>
      </c>
    </row>
    <row r="1471" spans="1:22">
      <c r="A1471" t="s">
        <v>190</v>
      </c>
      <c r="B1471" t="s">
        <v>57</v>
      </c>
      <c r="C1471" t="s">
        <v>65</v>
      </c>
      <c r="D1471" s="1">
        <v>0</v>
      </c>
      <c r="E1471" s="1">
        <v>0</v>
      </c>
      <c r="F1471" s="1">
        <v>0</v>
      </c>
      <c r="G1471" s="1">
        <v>0</v>
      </c>
      <c r="H1471" s="1">
        <v>0</v>
      </c>
      <c r="I1471" s="1">
        <v>0</v>
      </c>
      <c r="J1471" s="1">
        <v>0</v>
      </c>
      <c r="K1471" s="1">
        <v>0</v>
      </c>
      <c r="L1471" s="1">
        <v>0</v>
      </c>
      <c r="M1471" s="1">
        <v>0</v>
      </c>
      <c r="N1471" s="1">
        <v>0</v>
      </c>
      <c r="O1471" s="1">
        <v>0</v>
      </c>
      <c r="P1471" s="1">
        <v>0</v>
      </c>
      <c r="Q1471" s="1">
        <v>0</v>
      </c>
      <c r="R1471" s="1">
        <v>0</v>
      </c>
      <c r="S1471" s="1">
        <v>0</v>
      </c>
      <c r="T1471" s="1">
        <v>0</v>
      </c>
      <c r="U1471" s="1">
        <v>0</v>
      </c>
      <c r="V1471" s="1" t="s">
        <v>301</v>
      </c>
    </row>
    <row r="1472" spans="1:22">
      <c r="A1472" t="s">
        <v>191</v>
      </c>
      <c r="B1472" t="s">
        <v>57</v>
      </c>
      <c r="C1472" t="s">
        <v>58</v>
      </c>
      <c r="D1472" s="1">
        <v>0</v>
      </c>
      <c r="E1472" s="1">
        <v>0</v>
      </c>
      <c r="F1472" s="1">
        <v>0</v>
      </c>
      <c r="G1472" s="1">
        <v>0</v>
      </c>
      <c r="H1472" s="1">
        <v>0</v>
      </c>
      <c r="I1472" s="1">
        <v>0</v>
      </c>
      <c r="J1472" s="1">
        <v>0</v>
      </c>
      <c r="K1472" s="1">
        <v>0</v>
      </c>
      <c r="L1472" s="1">
        <v>0</v>
      </c>
      <c r="M1472" s="1">
        <v>0</v>
      </c>
      <c r="N1472" s="1">
        <v>0</v>
      </c>
      <c r="O1472" s="1">
        <v>0</v>
      </c>
      <c r="P1472" s="1">
        <v>0</v>
      </c>
      <c r="Q1472" s="1">
        <v>0</v>
      </c>
      <c r="R1472" s="1">
        <v>0</v>
      </c>
      <c r="S1472" s="1">
        <v>0</v>
      </c>
      <c r="T1472" s="1">
        <v>0</v>
      </c>
      <c r="U1472" s="1">
        <v>2</v>
      </c>
      <c r="V1472" s="1" t="s">
        <v>301</v>
      </c>
    </row>
    <row r="1473" spans="1:22">
      <c r="A1473" t="s">
        <v>191</v>
      </c>
      <c r="B1473" t="s">
        <v>57</v>
      </c>
      <c r="C1473" t="s">
        <v>59</v>
      </c>
      <c r="D1473" s="1">
        <v>0</v>
      </c>
      <c r="E1473" s="1">
        <v>0</v>
      </c>
      <c r="F1473" s="1">
        <v>0</v>
      </c>
      <c r="G1473" s="1">
        <v>0</v>
      </c>
      <c r="H1473" s="1">
        <v>0</v>
      </c>
      <c r="I1473" s="1">
        <v>0</v>
      </c>
      <c r="J1473" s="1">
        <v>0</v>
      </c>
      <c r="K1473" s="1">
        <v>0</v>
      </c>
      <c r="L1473" s="1">
        <v>0</v>
      </c>
      <c r="M1473" s="1">
        <v>0</v>
      </c>
      <c r="N1473" s="1">
        <v>0</v>
      </c>
      <c r="O1473" s="1">
        <v>0</v>
      </c>
      <c r="P1473" s="1">
        <v>0</v>
      </c>
      <c r="Q1473" s="1">
        <v>0</v>
      </c>
      <c r="R1473" s="1">
        <v>0</v>
      </c>
      <c r="S1473" s="1">
        <v>0</v>
      </c>
      <c r="T1473" s="1">
        <v>0</v>
      </c>
      <c r="U1473" s="1">
        <v>0</v>
      </c>
      <c r="V1473" s="1" t="s">
        <v>301</v>
      </c>
    </row>
    <row r="1474" spans="1:22">
      <c r="A1474" t="s">
        <v>191</v>
      </c>
      <c r="B1474" t="s">
        <v>57</v>
      </c>
      <c r="C1474" t="s">
        <v>60</v>
      </c>
      <c r="D1474" s="1">
        <v>0</v>
      </c>
      <c r="E1474" s="1">
        <v>0</v>
      </c>
      <c r="F1474" s="1">
        <v>0</v>
      </c>
      <c r="G1474" s="1">
        <v>0</v>
      </c>
      <c r="H1474" s="1">
        <v>0</v>
      </c>
      <c r="I1474" s="1">
        <v>0</v>
      </c>
      <c r="J1474" s="1">
        <v>0</v>
      </c>
      <c r="K1474" s="1">
        <v>0</v>
      </c>
      <c r="L1474" s="1">
        <v>0</v>
      </c>
      <c r="M1474" s="1">
        <v>0</v>
      </c>
      <c r="N1474" s="1">
        <v>0</v>
      </c>
      <c r="O1474" s="1">
        <v>0</v>
      </c>
      <c r="P1474" s="1">
        <v>0</v>
      </c>
      <c r="Q1474" s="1">
        <v>0</v>
      </c>
      <c r="R1474" s="1">
        <v>0</v>
      </c>
      <c r="S1474" s="1">
        <v>0</v>
      </c>
      <c r="T1474" s="1">
        <v>0</v>
      </c>
      <c r="U1474" s="1">
        <v>0</v>
      </c>
      <c r="V1474" s="1" t="s">
        <v>301</v>
      </c>
    </row>
    <row r="1475" spans="1:22">
      <c r="A1475" t="s">
        <v>191</v>
      </c>
      <c r="B1475" t="s">
        <v>57</v>
      </c>
      <c r="C1475" t="s">
        <v>61</v>
      </c>
      <c r="D1475" s="1">
        <v>0</v>
      </c>
      <c r="E1475" s="1">
        <v>0</v>
      </c>
      <c r="F1475" s="1">
        <v>0</v>
      </c>
      <c r="G1475" s="1">
        <v>0</v>
      </c>
      <c r="H1475" s="1">
        <v>0</v>
      </c>
      <c r="I1475" s="1">
        <v>0</v>
      </c>
      <c r="J1475" s="1">
        <v>0</v>
      </c>
      <c r="K1475" s="1">
        <v>0</v>
      </c>
      <c r="L1475" s="1">
        <v>0</v>
      </c>
      <c r="M1475" s="1">
        <v>0</v>
      </c>
      <c r="N1475" s="1">
        <v>0</v>
      </c>
      <c r="O1475" s="1">
        <v>0</v>
      </c>
      <c r="P1475" s="1">
        <v>0</v>
      </c>
      <c r="Q1475" s="1">
        <v>0</v>
      </c>
      <c r="R1475" s="1">
        <v>0</v>
      </c>
      <c r="S1475" s="1">
        <v>0</v>
      </c>
      <c r="T1475" s="1">
        <v>0</v>
      </c>
      <c r="U1475" s="1">
        <v>0</v>
      </c>
      <c r="V1475" s="1" t="s">
        <v>301</v>
      </c>
    </row>
    <row r="1476" spans="1:22">
      <c r="A1476" t="s">
        <v>191</v>
      </c>
      <c r="B1476" t="s">
        <v>57</v>
      </c>
      <c r="C1476" t="s">
        <v>62</v>
      </c>
      <c r="D1476" s="1">
        <v>0</v>
      </c>
      <c r="E1476" s="1">
        <v>0</v>
      </c>
      <c r="F1476" s="1">
        <v>0</v>
      </c>
      <c r="G1476" s="1">
        <v>0</v>
      </c>
      <c r="H1476" s="1">
        <v>0</v>
      </c>
      <c r="I1476" s="1">
        <v>0</v>
      </c>
      <c r="J1476" s="1">
        <v>0</v>
      </c>
      <c r="K1476" s="1">
        <v>0</v>
      </c>
      <c r="L1476" s="1">
        <v>0</v>
      </c>
      <c r="M1476" s="1">
        <v>0</v>
      </c>
      <c r="N1476" s="1">
        <v>0</v>
      </c>
      <c r="O1476" s="1">
        <v>0</v>
      </c>
      <c r="P1476" s="1">
        <v>0</v>
      </c>
      <c r="Q1476" s="1">
        <v>0</v>
      </c>
      <c r="R1476" s="1">
        <v>0</v>
      </c>
      <c r="S1476" s="1">
        <v>0</v>
      </c>
      <c r="T1476" s="1">
        <v>0</v>
      </c>
      <c r="U1476" s="1">
        <v>0</v>
      </c>
      <c r="V1476" s="1" t="s">
        <v>301</v>
      </c>
    </row>
    <row r="1477" spans="1:22">
      <c r="A1477" t="s">
        <v>191</v>
      </c>
      <c r="B1477" t="s">
        <v>57</v>
      </c>
      <c r="C1477" t="s">
        <v>63</v>
      </c>
      <c r="D1477" s="1">
        <v>0</v>
      </c>
      <c r="E1477" s="1">
        <v>0</v>
      </c>
      <c r="F1477" s="1">
        <v>0</v>
      </c>
      <c r="G1477" s="1">
        <v>0</v>
      </c>
      <c r="H1477" s="1">
        <v>0</v>
      </c>
      <c r="I1477" s="1">
        <v>0</v>
      </c>
      <c r="J1477" s="1">
        <v>0</v>
      </c>
      <c r="K1477" s="1">
        <v>0</v>
      </c>
      <c r="L1477" s="1">
        <v>0</v>
      </c>
      <c r="M1477" s="1">
        <v>0</v>
      </c>
      <c r="N1477" s="1">
        <v>0</v>
      </c>
      <c r="O1477" s="1">
        <v>0</v>
      </c>
      <c r="P1477" s="1">
        <v>0</v>
      </c>
      <c r="Q1477" s="1">
        <v>0</v>
      </c>
      <c r="R1477" s="1">
        <v>0</v>
      </c>
      <c r="S1477" s="1">
        <v>0</v>
      </c>
      <c r="T1477" s="1">
        <v>0</v>
      </c>
      <c r="U1477" s="1">
        <v>0</v>
      </c>
      <c r="V1477" s="1" t="s">
        <v>301</v>
      </c>
    </row>
    <row r="1478" spans="1:22">
      <c r="A1478" t="s">
        <v>191</v>
      </c>
      <c r="B1478" t="s">
        <v>57</v>
      </c>
      <c r="C1478" t="s">
        <v>64</v>
      </c>
      <c r="D1478" s="1">
        <v>0</v>
      </c>
      <c r="E1478" s="1">
        <v>0</v>
      </c>
      <c r="F1478" s="1">
        <v>0</v>
      </c>
      <c r="G1478" s="1">
        <v>0</v>
      </c>
      <c r="H1478" s="1">
        <v>0</v>
      </c>
      <c r="I1478" s="1">
        <v>0</v>
      </c>
      <c r="J1478" s="1">
        <v>0</v>
      </c>
      <c r="K1478" s="1">
        <v>0</v>
      </c>
      <c r="L1478" s="1">
        <v>0</v>
      </c>
      <c r="M1478" s="1">
        <v>0</v>
      </c>
      <c r="N1478" s="1">
        <v>0</v>
      </c>
      <c r="O1478" s="1">
        <v>0</v>
      </c>
      <c r="P1478" s="1">
        <v>0</v>
      </c>
      <c r="Q1478" s="1">
        <v>0</v>
      </c>
      <c r="R1478" s="1">
        <v>0</v>
      </c>
      <c r="S1478" s="1">
        <v>0</v>
      </c>
      <c r="T1478" s="1">
        <v>0</v>
      </c>
      <c r="U1478" s="1">
        <v>0</v>
      </c>
      <c r="V1478" s="1" t="s">
        <v>301</v>
      </c>
    </row>
    <row r="1479" spans="1:22">
      <c r="A1479" t="s">
        <v>191</v>
      </c>
      <c r="B1479" t="s">
        <v>57</v>
      </c>
      <c r="C1479" t="s">
        <v>65</v>
      </c>
      <c r="D1479" s="1">
        <v>0</v>
      </c>
      <c r="E1479" s="1">
        <v>0</v>
      </c>
      <c r="F1479" s="1">
        <v>0</v>
      </c>
      <c r="G1479" s="1">
        <v>0</v>
      </c>
      <c r="H1479" s="1">
        <v>0</v>
      </c>
      <c r="I1479" s="1">
        <v>0</v>
      </c>
      <c r="J1479" s="1">
        <v>0</v>
      </c>
      <c r="K1479" s="1">
        <v>0</v>
      </c>
      <c r="L1479" s="1">
        <v>0</v>
      </c>
      <c r="M1479" s="1">
        <v>0</v>
      </c>
      <c r="N1479" s="1">
        <v>0</v>
      </c>
      <c r="O1479" s="1">
        <v>0</v>
      </c>
      <c r="P1479" s="1">
        <v>0</v>
      </c>
      <c r="Q1479" s="1">
        <v>0</v>
      </c>
      <c r="R1479" s="1">
        <v>0</v>
      </c>
      <c r="S1479" s="1">
        <v>0</v>
      </c>
      <c r="T1479" s="1">
        <v>0</v>
      </c>
      <c r="U1479" s="1">
        <v>0</v>
      </c>
      <c r="V1479" s="1" t="s">
        <v>301</v>
      </c>
    </row>
    <row r="1480" spans="1:22">
      <c r="A1480" t="s">
        <v>192</v>
      </c>
      <c r="B1480" t="s">
        <v>57</v>
      </c>
      <c r="C1480" t="s">
        <v>58</v>
      </c>
      <c r="D1480" s="1">
        <v>0</v>
      </c>
      <c r="E1480" s="1">
        <v>0</v>
      </c>
      <c r="F1480" s="1">
        <v>0</v>
      </c>
      <c r="G1480" s="1">
        <v>0</v>
      </c>
      <c r="H1480" s="1">
        <v>0</v>
      </c>
      <c r="I1480" s="1">
        <v>0</v>
      </c>
      <c r="J1480" s="1">
        <v>0</v>
      </c>
      <c r="K1480" s="1">
        <v>0</v>
      </c>
      <c r="L1480" s="1">
        <v>0</v>
      </c>
      <c r="M1480" s="1">
        <v>0</v>
      </c>
      <c r="N1480" s="1">
        <v>0</v>
      </c>
      <c r="O1480" s="1">
        <v>0</v>
      </c>
      <c r="P1480" s="1">
        <v>0</v>
      </c>
      <c r="Q1480" s="1">
        <v>0</v>
      </c>
      <c r="R1480" s="1">
        <v>0</v>
      </c>
      <c r="S1480" s="1">
        <v>0</v>
      </c>
      <c r="T1480" s="1">
        <v>0</v>
      </c>
      <c r="U1480" s="1">
        <v>3</v>
      </c>
      <c r="V1480" s="1" t="s">
        <v>301</v>
      </c>
    </row>
    <row r="1481" spans="1:22">
      <c r="A1481" t="s">
        <v>192</v>
      </c>
      <c r="B1481" t="s">
        <v>57</v>
      </c>
      <c r="C1481" t="s">
        <v>59</v>
      </c>
      <c r="D1481" s="1">
        <v>0</v>
      </c>
      <c r="E1481" s="1">
        <v>0</v>
      </c>
      <c r="F1481" s="1">
        <v>0</v>
      </c>
      <c r="G1481" s="1">
        <v>0</v>
      </c>
      <c r="H1481" s="1">
        <v>0</v>
      </c>
      <c r="I1481" s="1">
        <v>0</v>
      </c>
      <c r="J1481" s="1">
        <v>0</v>
      </c>
      <c r="K1481" s="1">
        <v>0</v>
      </c>
      <c r="L1481" s="1">
        <v>0</v>
      </c>
      <c r="M1481" s="1">
        <v>0</v>
      </c>
      <c r="N1481" s="1">
        <v>0</v>
      </c>
      <c r="O1481" s="1">
        <v>0</v>
      </c>
      <c r="P1481" s="1">
        <v>0</v>
      </c>
      <c r="Q1481" s="1">
        <v>0</v>
      </c>
      <c r="R1481" s="1">
        <v>0</v>
      </c>
      <c r="S1481" s="1">
        <v>0</v>
      </c>
      <c r="T1481" s="1">
        <v>0</v>
      </c>
      <c r="U1481" s="1">
        <v>0</v>
      </c>
      <c r="V1481" s="1" t="s">
        <v>301</v>
      </c>
    </row>
    <row r="1482" spans="1:22">
      <c r="A1482" t="s">
        <v>192</v>
      </c>
      <c r="B1482" t="s">
        <v>57</v>
      </c>
      <c r="C1482" t="s">
        <v>60</v>
      </c>
      <c r="D1482" s="1">
        <v>0</v>
      </c>
      <c r="E1482" s="1">
        <v>0</v>
      </c>
      <c r="F1482" s="1">
        <v>0</v>
      </c>
      <c r="G1482" s="1">
        <v>0</v>
      </c>
      <c r="H1482" s="1">
        <v>0</v>
      </c>
      <c r="I1482" s="1">
        <v>0</v>
      </c>
      <c r="J1482" s="1">
        <v>0</v>
      </c>
      <c r="K1482" s="1">
        <v>0</v>
      </c>
      <c r="L1482" s="1">
        <v>0</v>
      </c>
      <c r="M1482" s="1">
        <v>0</v>
      </c>
      <c r="N1482" s="1">
        <v>0</v>
      </c>
      <c r="O1482" s="1">
        <v>0</v>
      </c>
      <c r="P1482" s="1">
        <v>0</v>
      </c>
      <c r="Q1482" s="1">
        <v>0</v>
      </c>
      <c r="R1482" s="1">
        <v>0</v>
      </c>
      <c r="S1482" s="1">
        <v>0</v>
      </c>
      <c r="T1482" s="1">
        <v>0</v>
      </c>
      <c r="U1482" s="1">
        <v>0</v>
      </c>
      <c r="V1482" s="1" t="s">
        <v>301</v>
      </c>
    </row>
    <row r="1483" spans="1:22">
      <c r="A1483" t="s">
        <v>192</v>
      </c>
      <c r="B1483" t="s">
        <v>57</v>
      </c>
      <c r="C1483" t="s">
        <v>61</v>
      </c>
      <c r="D1483" s="1">
        <v>0</v>
      </c>
      <c r="E1483" s="1">
        <v>0</v>
      </c>
      <c r="F1483" s="1">
        <v>0</v>
      </c>
      <c r="G1483" s="1">
        <v>0</v>
      </c>
      <c r="H1483" s="1">
        <v>0</v>
      </c>
      <c r="I1483" s="1">
        <v>0</v>
      </c>
      <c r="J1483" s="1">
        <v>0</v>
      </c>
      <c r="K1483" s="1">
        <v>0</v>
      </c>
      <c r="L1483" s="1">
        <v>0</v>
      </c>
      <c r="M1483" s="1">
        <v>0</v>
      </c>
      <c r="N1483" s="1">
        <v>0</v>
      </c>
      <c r="O1483" s="1">
        <v>0</v>
      </c>
      <c r="P1483" s="1">
        <v>0</v>
      </c>
      <c r="Q1483" s="1">
        <v>0</v>
      </c>
      <c r="R1483" s="1">
        <v>0</v>
      </c>
      <c r="S1483" s="1">
        <v>0</v>
      </c>
      <c r="T1483" s="1">
        <v>0</v>
      </c>
      <c r="U1483" s="1">
        <v>0</v>
      </c>
      <c r="V1483" s="1" t="s">
        <v>301</v>
      </c>
    </row>
    <row r="1484" spans="1:22">
      <c r="A1484" t="s">
        <v>192</v>
      </c>
      <c r="B1484" t="s">
        <v>57</v>
      </c>
      <c r="C1484" t="s">
        <v>62</v>
      </c>
      <c r="D1484" s="1">
        <v>0</v>
      </c>
      <c r="E1484" s="1">
        <v>0</v>
      </c>
      <c r="F1484" s="1">
        <v>0</v>
      </c>
      <c r="G1484" s="1">
        <v>0</v>
      </c>
      <c r="H1484" s="1">
        <v>0</v>
      </c>
      <c r="I1484" s="1">
        <v>0</v>
      </c>
      <c r="J1484" s="1">
        <v>0</v>
      </c>
      <c r="K1484" s="1">
        <v>0</v>
      </c>
      <c r="L1484" s="1">
        <v>0</v>
      </c>
      <c r="M1484" s="1">
        <v>0</v>
      </c>
      <c r="N1484" s="1">
        <v>0</v>
      </c>
      <c r="O1484" s="1">
        <v>0</v>
      </c>
      <c r="P1484" s="1">
        <v>0</v>
      </c>
      <c r="Q1484" s="1">
        <v>0</v>
      </c>
      <c r="R1484" s="1">
        <v>0</v>
      </c>
      <c r="S1484" s="1">
        <v>0</v>
      </c>
      <c r="T1484" s="1">
        <v>0</v>
      </c>
      <c r="U1484" s="1">
        <v>0</v>
      </c>
      <c r="V1484" s="1" t="s">
        <v>301</v>
      </c>
    </row>
    <row r="1485" spans="1:22">
      <c r="A1485" t="s">
        <v>192</v>
      </c>
      <c r="B1485" t="s">
        <v>57</v>
      </c>
      <c r="C1485" t="s">
        <v>63</v>
      </c>
      <c r="D1485" s="1">
        <v>0</v>
      </c>
      <c r="E1485" s="1">
        <v>0</v>
      </c>
      <c r="F1485" s="1">
        <v>0</v>
      </c>
      <c r="G1485" s="1">
        <v>0</v>
      </c>
      <c r="H1485" s="1">
        <v>0</v>
      </c>
      <c r="I1485" s="1">
        <v>0</v>
      </c>
      <c r="J1485" s="1">
        <v>0</v>
      </c>
      <c r="K1485" s="1">
        <v>0</v>
      </c>
      <c r="L1485" s="1">
        <v>0</v>
      </c>
      <c r="M1485" s="1">
        <v>0</v>
      </c>
      <c r="N1485" s="1">
        <v>0</v>
      </c>
      <c r="O1485" s="1">
        <v>0</v>
      </c>
      <c r="P1485" s="1">
        <v>0</v>
      </c>
      <c r="Q1485" s="1">
        <v>0</v>
      </c>
      <c r="R1485" s="1">
        <v>0</v>
      </c>
      <c r="S1485" s="1">
        <v>0</v>
      </c>
      <c r="T1485" s="1">
        <v>0</v>
      </c>
      <c r="U1485" s="1">
        <v>0</v>
      </c>
      <c r="V1485" s="1" t="s">
        <v>301</v>
      </c>
    </row>
    <row r="1486" spans="1:22">
      <c r="A1486" t="s">
        <v>192</v>
      </c>
      <c r="B1486" t="s">
        <v>57</v>
      </c>
      <c r="C1486" t="s">
        <v>64</v>
      </c>
      <c r="D1486" s="1">
        <v>0</v>
      </c>
      <c r="E1486" s="1">
        <v>0</v>
      </c>
      <c r="F1486" s="1">
        <v>0</v>
      </c>
      <c r="G1486" s="1">
        <v>0</v>
      </c>
      <c r="H1486" s="1">
        <v>0</v>
      </c>
      <c r="I1486" s="1">
        <v>0</v>
      </c>
      <c r="J1486" s="1">
        <v>0</v>
      </c>
      <c r="K1486" s="1">
        <v>0</v>
      </c>
      <c r="L1486" s="1">
        <v>0</v>
      </c>
      <c r="M1486" s="1">
        <v>0</v>
      </c>
      <c r="N1486" s="1">
        <v>0</v>
      </c>
      <c r="O1486" s="1">
        <v>0</v>
      </c>
      <c r="P1486" s="1">
        <v>0</v>
      </c>
      <c r="Q1486" s="1">
        <v>0</v>
      </c>
      <c r="R1486" s="1">
        <v>0</v>
      </c>
      <c r="S1486" s="1">
        <v>0</v>
      </c>
      <c r="T1486" s="1">
        <v>0</v>
      </c>
      <c r="U1486" s="1">
        <v>0</v>
      </c>
      <c r="V1486" s="1" t="s">
        <v>301</v>
      </c>
    </row>
    <row r="1487" spans="1:22">
      <c r="A1487" t="s">
        <v>192</v>
      </c>
      <c r="B1487" t="s">
        <v>57</v>
      </c>
      <c r="C1487" t="s">
        <v>65</v>
      </c>
      <c r="D1487" s="1">
        <v>0</v>
      </c>
      <c r="E1487" s="1">
        <v>0</v>
      </c>
      <c r="F1487" s="1">
        <v>0</v>
      </c>
      <c r="G1487" s="1">
        <v>0</v>
      </c>
      <c r="H1487" s="1">
        <v>0</v>
      </c>
      <c r="I1487" s="1">
        <v>0</v>
      </c>
      <c r="J1487" s="1">
        <v>0</v>
      </c>
      <c r="K1487" s="1">
        <v>0</v>
      </c>
      <c r="L1487" s="1">
        <v>0</v>
      </c>
      <c r="M1487" s="1">
        <v>0</v>
      </c>
      <c r="N1487" s="1">
        <v>0</v>
      </c>
      <c r="O1487" s="1">
        <v>0</v>
      </c>
      <c r="P1487" s="1">
        <v>0</v>
      </c>
      <c r="Q1487" s="1">
        <v>0</v>
      </c>
      <c r="R1487" s="1">
        <v>0</v>
      </c>
      <c r="S1487" s="1">
        <v>0</v>
      </c>
      <c r="T1487" s="1">
        <v>0</v>
      </c>
      <c r="U1487" s="1">
        <v>0</v>
      </c>
      <c r="V1487" s="1" t="s">
        <v>301</v>
      </c>
    </row>
    <row r="1488" spans="1:22">
      <c r="A1488" t="s">
        <v>193</v>
      </c>
      <c r="B1488" t="s">
        <v>57</v>
      </c>
      <c r="C1488" t="s">
        <v>58</v>
      </c>
      <c r="D1488" s="1">
        <v>0</v>
      </c>
      <c r="E1488" s="1">
        <v>0</v>
      </c>
      <c r="F1488" s="1">
        <v>0</v>
      </c>
      <c r="G1488" s="1">
        <v>0</v>
      </c>
      <c r="H1488" s="1">
        <v>0</v>
      </c>
      <c r="I1488" s="1">
        <v>0</v>
      </c>
      <c r="J1488" s="1">
        <v>0</v>
      </c>
      <c r="K1488" s="1">
        <v>0</v>
      </c>
      <c r="L1488" s="1">
        <v>0</v>
      </c>
      <c r="M1488" s="1">
        <v>0</v>
      </c>
      <c r="N1488" s="1">
        <v>0</v>
      </c>
      <c r="O1488" s="1">
        <v>0</v>
      </c>
      <c r="P1488" s="1">
        <v>0</v>
      </c>
      <c r="Q1488" s="1">
        <v>0</v>
      </c>
      <c r="R1488" s="1">
        <v>0</v>
      </c>
      <c r="S1488" s="1">
        <v>0</v>
      </c>
      <c r="T1488" s="1">
        <v>0</v>
      </c>
      <c r="U1488" s="1">
        <v>2</v>
      </c>
      <c r="V1488" s="1" t="s">
        <v>301</v>
      </c>
    </row>
    <row r="1489" spans="1:22">
      <c r="A1489" t="s">
        <v>193</v>
      </c>
      <c r="B1489" t="s">
        <v>57</v>
      </c>
      <c r="C1489" t="s">
        <v>59</v>
      </c>
      <c r="D1489" s="1">
        <v>0</v>
      </c>
      <c r="E1489" s="1">
        <v>0</v>
      </c>
      <c r="F1489" s="1">
        <v>0</v>
      </c>
      <c r="G1489" s="1">
        <v>0</v>
      </c>
      <c r="H1489" s="1">
        <v>0</v>
      </c>
      <c r="I1489" s="1">
        <v>0</v>
      </c>
      <c r="J1489" s="1">
        <v>0</v>
      </c>
      <c r="K1489" s="1">
        <v>0</v>
      </c>
      <c r="L1489" s="1">
        <v>0</v>
      </c>
      <c r="M1489" s="1">
        <v>0</v>
      </c>
      <c r="N1489" s="1">
        <v>0</v>
      </c>
      <c r="O1489" s="1">
        <v>0</v>
      </c>
      <c r="P1489" s="1">
        <v>0</v>
      </c>
      <c r="Q1489" s="1">
        <v>0</v>
      </c>
      <c r="R1489" s="1">
        <v>0</v>
      </c>
      <c r="S1489" s="1">
        <v>0</v>
      </c>
      <c r="T1489" s="1">
        <v>0</v>
      </c>
      <c r="U1489" s="1">
        <v>0</v>
      </c>
      <c r="V1489" s="1" t="s">
        <v>301</v>
      </c>
    </row>
    <row r="1490" spans="1:22">
      <c r="A1490" t="s">
        <v>193</v>
      </c>
      <c r="B1490" t="s">
        <v>57</v>
      </c>
      <c r="C1490" t="s">
        <v>60</v>
      </c>
      <c r="D1490" s="1">
        <v>0</v>
      </c>
      <c r="E1490" s="1">
        <v>0</v>
      </c>
      <c r="F1490" s="1">
        <v>0</v>
      </c>
      <c r="G1490" s="1">
        <v>0</v>
      </c>
      <c r="H1490" s="1">
        <v>0</v>
      </c>
      <c r="I1490" s="1">
        <v>0</v>
      </c>
      <c r="J1490" s="1">
        <v>0</v>
      </c>
      <c r="K1490" s="1">
        <v>0</v>
      </c>
      <c r="L1490" s="1">
        <v>0</v>
      </c>
      <c r="M1490" s="1">
        <v>0</v>
      </c>
      <c r="N1490" s="1">
        <v>0</v>
      </c>
      <c r="O1490" s="1">
        <v>0</v>
      </c>
      <c r="P1490" s="1">
        <v>0</v>
      </c>
      <c r="Q1490" s="1">
        <v>0</v>
      </c>
      <c r="R1490" s="1">
        <v>0</v>
      </c>
      <c r="S1490" s="1">
        <v>0</v>
      </c>
      <c r="T1490" s="1">
        <v>0</v>
      </c>
      <c r="U1490" s="1">
        <v>0</v>
      </c>
      <c r="V1490" s="1" t="s">
        <v>301</v>
      </c>
    </row>
    <row r="1491" spans="1:22">
      <c r="A1491" t="s">
        <v>193</v>
      </c>
      <c r="B1491" t="s">
        <v>57</v>
      </c>
      <c r="C1491" t="s">
        <v>61</v>
      </c>
      <c r="D1491" s="1">
        <v>0</v>
      </c>
      <c r="E1491" s="1">
        <v>0</v>
      </c>
      <c r="F1491" s="1">
        <v>0</v>
      </c>
      <c r="G1491" s="1">
        <v>0</v>
      </c>
      <c r="H1491" s="1">
        <v>0</v>
      </c>
      <c r="I1491" s="1">
        <v>0</v>
      </c>
      <c r="J1491" s="1">
        <v>0</v>
      </c>
      <c r="K1491" s="1">
        <v>0</v>
      </c>
      <c r="L1491" s="1">
        <v>0</v>
      </c>
      <c r="M1491" s="1">
        <v>0</v>
      </c>
      <c r="N1491" s="1">
        <v>0</v>
      </c>
      <c r="O1491" s="1">
        <v>0</v>
      </c>
      <c r="P1491" s="1">
        <v>0</v>
      </c>
      <c r="Q1491" s="1">
        <v>0</v>
      </c>
      <c r="R1491" s="1">
        <v>0</v>
      </c>
      <c r="S1491" s="1">
        <v>0</v>
      </c>
      <c r="T1491" s="1">
        <v>0</v>
      </c>
      <c r="U1491" s="1">
        <v>0</v>
      </c>
      <c r="V1491" s="1" t="s">
        <v>301</v>
      </c>
    </row>
    <row r="1492" spans="1:22">
      <c r="A1492" t="s">
        <v>193</v>
      </c>
      <c r="B1492" t="s">
        <v>57</v>
      </c>
      <c r="C1492" t="s">
        <v>62</v>
      </c>
      <c r="D1492" s="1">
        <v>0</v>
      </c>
      <c r="E1492" s="1">
        <v>0</v>
      </c>
      <c r="F1492" s="1">
        <v>0</v>
      </c>
      <c r="G1492" s="1">
        <v>0</v>
      </c>
      <c r="H1492" s="1">
        <v>0</v>
      </c>
      <c r="I1492" s="1">
        <v>0</v>
      </c>
      <c r="J1492" s="1">
        <v>0</v>
      </c>
      <c r="K1492" s="1">
        <v>0</v>
      </c>
      <c r="L1492" s="1">
        <v>0</v>
      </c>
      <c r="M1492" s="1">
        <v>0</v>
      </c>
      <c r="N1492" s="1">
        <v>0</v>
      </c>
      <c r="O1492" s="1">
        <v>0</v>
      </c>
      <c r="P1492" s="1">
        <v>0</v>
      </c>
      <c r="Q1492" s="1">
        <v>0</v>
      </c>
      <c r="R1492" s="1">
        <v>0</v>
      </c>
      <c r="S1492" s="1">
        <v>0</v>
      </c>
      <c r="T1492" s="1">
        <v>0</v>
      </c>
      <c r="U1492" s="1">
        <v>0</v>
      </c>
      <c r="V1492" s="1" t="s">
        <v>301</v>
      </c>
    </row>
    <row r="1493" spans="1:22">
      <c r="A1493" t="s">
        <v>193</v>
      </c>
      <c r="B1493" t="s">
        <v>57</v>
      </c>
      <c r="C1493" t="s">
        <v>63</v>
      </c>
      <c r="D1493" s="1">
        <v>0</v>
      </c>
      <c r="E1493" s="1">
        <v>0</v>
      </c>
      <c r="F1493" s="1">
        <v>0</v>
      </c>
      <c r="G1493" s="1">
        <v>0</v>
      </c>
      <c r="H1493" s="1">
        <v>0</v>
      </c>
      <c r="I1493" s="1">
        <v>0</v>
      </c>
      <c r="J1493" s="1">
        <v>0</v>
      </c>
      <c r="K1493" s="1">
        <v>0</v>
      </c>
      <c r="L1493" s="1">
        <v>0</v>
      </c>
      <c r="M1493" s="1">
        <v>0</v>
      </c>
      <c r="N1493" s="1">
        <v>0</v>
      </c>
      <c r="O1493" s="1">
        <v>0</v>
      </c>
      <c r="P1493" s="1">
        <v>0</v>
      </c>
      <c r="Q1493" s="1">
        <v>0</v>
      </c>
      <c r="R1493" s="1">
        <v>0</v>
      </c>
      <c r="S1493" s="1">
        <v>0</v>
      </c>
      <c r="T1493" s="1">
        <v>0</v>
      </c>
      <c r="U1493" s="1">
        <v>0</v>
      </c>
      <c r="V1493" s="1" t="s">
        <v>301</v>
      </c>
    </row>
    <row r="1494" spans="1:22">
      <c r="A1494" t="s">
        <v>193</v>
      </c>
      <c r="B1494" t="s">
        <v>57</v>
      </c>
      <c r="C1494" t="s">
        <v>64</v>
      </c>
      <c r="D1494" s="1">
        <v>0</v>
      </c>
      <c r="E1494" s="1">
        <v>0</v>
      </c>
      <c r="F1494" s="1">
        <v>0</v>
      </c>
      <c r="G1494" s="1">
        <v>0</v>
      </c>
      <c r="H1494" s="1">
        <v>0</v>
      </c>
      <c r="I1494" s="1">
        <v>0</v>
      </c>
      <c r="J1494" s="1">
        <v>0</v>
      </c>
      <c r="K1494" s="1">
        <v>0</v>
      </c>
      <c r="L1494" s="1">
        <v>0</v>
      </c>
      <c r="M1494" s="1">
        <v>0</v>
      </c>
      <c r="N1494" s="1">
        <v>0</v>
      </c>
      <c r="O1494" s="1">
        <v>0</v>
      </c>
      <c r="P1494" s="1">
        <v>0</v>
      </c>
      <c r="Q1494" s="1">
        <v>0</v>
      </c>
      <c r="R1494" s="1">
        <v>0</v>
      </c>
      <c r="S1494" s="1">
        <v>0</v>
      </c>
      <c r="T1494" s="1">
        <v>0</v>
      </c>
      <c r="U1494" s="1">
        <v>0</v>
      </c>
      <c r="V1494" s="1" t="s">
        <v>301</v>
      </c>
    </row>
    <row r="1495" spans="1:22">
      <c r="A1495" t="s">
        <v>193</v>
      </c>
      <c r="B1495" t="s">
        <v>57</v>
      </c>
      <c r="C1495" t="s">
        <v>65</v>
      </c>
      <c r="D1495" s="1">
        <v>0</v>
      </c>
      <c r="E1495" s="1">
        <v>0</v>
      </c>
      <c r="F1495" s="1">
        <v>0</v>
      </c>
      <c r="G1495" s="1">
        <v>0</v>
      </c>
      <c r="H1495" s="1">
        <v>0</v>
      </c>
      <c r="I1495" s="1">
        <v>0</v>
      </c>
      <c r="J1495" s="1">
        <v>0</v>
      </c>
      <c r="K1495" s="1">
        <v>0</v>
      </c>
      <c r="L1495" s="1">
        <v>0</v>
      </c>
      <c r="M1495" s="1">
        <v>0</v>
      </c>
      <c r="N1495" s="1">
        <v>0</v>
      </c>
      <c r="O1495" s="1">
        <v>0</v>
      </c>
      <c r="P1495" s="1">
        <v>0</v>
      </c>
      <c r="Q1495" s="1">
        <v>0</v>
      </c>
      <c r="R1495" s="1">
        <v>0</v>
      </c>
      <c r="S1495" s="1">
        <v>0</v>
      </c>
      <c r="T1495" s="1">
        <v>0</v>
      </c>
      <c r="U1495" s="1">
        <v>0</v>
      </c>
      <c r="V1495" s="1" t="s">
        <v>301</v>
      </c>
    </row>
    <row r="1496" spans="1:22">
      <c r="A1496" t="s">
        <v>194</v>
      </c>
      <c r="B1496" t="s">
        <v>57</v>
      </c>
      <c r="C1496" t="s">
        <v>58</v>
      </c>
      <c r="D1496" s="1">
        <v>0</v>
      </c>
      <c r="E1496" s="1">
        <v>0</v>
      </c>
      <c r="F1496" s="1">
        <v>0</v>
      </c>
      <c r="G1496" s="1">
        <v>0</v>
      </c>
      <c r="H1496" s="1">
        <v>0</v>
      </c>
      <c r="I1496" s="1">
        <v>0</v>
      </c>
      <c r="J1496" s="1">
        <v>0</v>
      </c>
      <c r="K1496" s="1">
        <v>0</v>
      </c>
      <c r="L1496" s="1">
        <v>0</v>
      </c>
      <c r="M1496" s="1">
        <v>0</v>
      </c>
      <c r="N1496" s="1">
        <v>0</v>
      </c>
      <c r="O1496" s="1">
        <v>0</v>
      </c>
      <c r="P1496" s="1">
        <v>0</v>
      </c>
      <c r="Q1496" s="1">
        <v>0</v>
      </c>
      <c r="R1496" s="1">
        <v>0</v>
      </c>
      <c r="S1496" s="1">
        <v>0</v>
      </c>
      <c r="T1496" s="1">
        <v>0</v>
      </c>
      <c r="U1496" s="1">
        <v>3</v>
      </c>
      <c r="V1496" s="1" t="s">
        <v>301</v>
      </c>
    </row>
    <row r="1497" spans="1:22">
      <c r="A1497" t="s">
        <v>194</v>
      </c>
      <c r="B1497" t="s">
        <v>57</v>
      </c>
      <c r="C1497" t="s">
        <v>59</v>
      </c>
      <c r="D1497" s="1">
        <v>0</v>
      </c>
      <c r="E1497" s="1">
        <v>0</v>
      </c>
      <c r="F1497" s="1">
        <v>0</v>
      </c>
      <c r="G1497" s="1">
        <v>0</v>
      </c>
      <c r="H1497" s="1">
        <v>0</v>
      </c>
      <c r="I1497" s="1">
        <v>0</v>
      </c>
      <c r="J1497" s="1">
        <v>0</v>
      </c>
      <c r="K1497" s="1">
        <v>0</v>
      </c>
      <c r="L1497" s="1">
        <v>0</v>
      </c>
      <c r="M1497" s="1">
        <v>0</v>
      </c>
      <c r="N1497" s="1">
        <v>0</v>
      </c>
      <c r="O1497" s="1">
        <v>0</v>
      </c>
      <c r="P1497" s="1">
        <v>0</v>
      </c>
      <c r="Q1497" s="1">
        <v>0</v>
      </c>
      <c r="R1497" s="1">
        <v>0</v>
      </c>
      <c r="S1497" s="1">
        <v>0</v>
      </c>
      <c r="T1497" s="1">
        <v>0</v>
      </c>
      <c r="U1497" s="1">
        <v>0</v>
      </c>
      <c r="V1497" s="1" t="s">
        <v>301</v>
      </c>
    </row>
    <row r="1498" spans="1:22">
      <c r="A1498" t="s">
        <v>194</v>
      </c>
      <c r="B1498" t="s">
        <v>57</v>
      </c>
      <c r="C1498" t="s">
        <v>60</v>
      </c>
      <c r="D1498" s="1">
        <v>0</v>
      </c>
      <c r="E1498" s="1">
        <v>0</v>
      </c>
      <c r="F1498" s="1">
        <v>0</v>
      </c>
      <c r="G1498" s="1">
        <v>0</v>
      </c>
      <c r="H1498" s="1">
        <v>0</v>
      </c>
      <c r="I1498" s="1">
        <v>0</v>
      </c>
      <c r="J1498" s="1">
        <v>0</v>
      </c>
      <c r="K1498" s="1">
        <v>0</v>
      </c>
      <c r="L1498" s="1">
        <v>0</v>
      </c>
      <c r="M1498" s="1">
        <v>0</v>
      </c>
      <c r="N1498" s="1">
        <v>0</v>
      </c>
      <c r="O1498" s="1">
        <v>0</v>
      </c>
      <c r="P1498" s="1">
        <v>0</v>
      </c>
      <c r="Q1498" s="1">
        <v>0</v>
      </c>
      <c r="R1498" s="1">
        <v>0</v>
      </c>
      <c r="S1498" s="1">
        <v>0</v>
      </c>
      <c r="T1498" s="1">
        <v>0</v>
      </c>
      <c r="U1498" s="1">
        <v>0</v>
      </c>
      <c r="V1498" s="1" t="s">
        <v>301</v>
      </c>
    </row>
    <row r="1499" spans="1:22">
      <c r="A1499" t="s">
        <v>194</v>
      </c>
      <c r="B1499" t="s">
        <v>57</v>
      </c>
      <c r="C1499" t="s">
        <v>61</v>
      </c>
      <c r="D1499" s="1">
        <v>0</v>
      </c>
      <c r="E1499" s="1">
        <v>0</v>
      </c>
      <c r="F1499" s="1">
        <v>0</v>
      </c>
      <c r="G1499" s="1">
        <v>0</v>
      </c>
      <c r="H1499" s="1">
        <v>0</v>
      </c>
      <c r="I1499" s="1">
        <v>0</v>
      </c>
      <c r="J1499" s="1">
        <v>0</v>
      </c>
      <c r="K1499" s="1">
        <v>0</v>
      </c>
      <c r="L1499" s="1">
        <v>0</v>
      </c>
      <c r="M1499" s="1">
        <v>0</v>
      </c>
      <c r="N1499" s="1">
        <v>0</v>
      </c>
      <c r="O1499" s="1">
        <v>0</v>
      </c>
      <c r="P1499" s="1">
        <v>0</v>
      </c>
      <c r="Q1499" s="1">
        <v>0</v>
      </c>
      <c r="R1499" s="1">
        <v>0</v>
      </c>
      <c r="S1499" s="1">
        <v>0</v>
      </c>
      <c r="T1499" s="1">
        <v>0</v>
      </c>
      <c r="U1499" s="1">
        <v>0</v>
      </c>
      <c r="V1499" s="1" t="s">
        <v>301</v>
      </c>
    </row>
    <row r="1500" spans="1:22">
      <c r="A1500" t="s">
        <v>194</v>
      </c>
      <c r="B1500" t="s">
        <v>57</v>
      </c>
      <c r="C1500" t="s">
        <v>62</v>
      </c>
      <c r="D1500" s="1">
        <v>0</v>
      </c>
      <c r="E1500" s="1">
        <v>0</v>
      </c>
      <c r="F1500" s="1">
        <v>0</v>
      </c>
      <c r="G1500" s="1">
        <v>0</v>
      </c>
      <c r="H1500" s="1">
        <v>0</v>
      </c>
      <c r="I1500" s="1">
        <v>0</v>
      </c>
      <c r="J1500" s="1">
        <v>0</v>
      </c>
      <c r="K1500" s="1">
        <v>0</v>
      </c>
      <c r="L1500" s="1">
        <v>0</v>
      </c>
      <c r="M1500" s="1">
        <v>0</v>
      </c>
      <c r="N1500" s="1">
        <v>0</v>
      </c>
      <c r="O1500" s="1">
        <v>0</v>
      </c>
      <c r="P1500" s="1">
        <v>0</v>
      </c>
      <c r="Q1500" s="1">
        <v>0</v>
      </c>
      <c r="R1500" s="1">
        <v>0</v>
      </c>
      <c r="S1500" s="1">
        <v>0</v>
      </c>
      <c r="T1500" s="1">
        <v>0</v>
      </c>
      <c r="U1500" s="1">
        <v>0</v>
      </c>
      <c r="V1500" s="1" t="s">
        <v>301</v>
      </c>
    </row>
    <row r="1501" spans="1:22">
      <c r="A1501" t="s">
        <v>194</v>
      </c>
      <c r="B1501" t="s">
        <v>57</v>
      </c>
      <c r="C1501" t="s">
        <v>63</v>
      </c>
      <c r="D1501" s="1">
        <v>0</v>
      </c>
      <c r="E1501" s="1">
        <v>0</v>
      </c>
      <c r="F1501" s="1">
        <v>0</v>
      </c>
      <c r="G1501" s="1">
        <v>0</v>
      </c>
      <c r="H1501" s="1">
        <v>0</v>
      </c>
      <c r="I1501" s="1">
        <v>0</v>
      </c>
      <c r="J1501" s="1">
        <v>0</v>
      </c>
      <c r="K1501" s="1">
        <v>0</v>
      </c>
      <c r="L1501" s="1">
        <v>0</v>
      </c>
      <c r="M1501" s="1">
        <v>0</v>
      </c>
      <c r="N1501" s="1">
        <v>0</v>
      </c>
      <c r="O1501" s="1">
        <v>0</v>
      </c>
      <c r="P1501" s="1">
        <v>0</v>
      </c>
      <c r="Q1501" s="1">
        <v>0</v>
      </c>
      <c r="R1501" s="1">
        <v>0</v>
      </c>
      <c r="S1501" s="1">
        <v>0</v>
      </c>
      <c r="T1501" s="1">
        <v>0</v>
      </c>
      <c r="U1501" s="1">
        <v>0</v>
      </c>
      <c r="V1501" s="1" t="s">
        <v>301</v>
      </c>
    </row>
    <row r="1502" spans="1:22">
      <c r="A1502" t="s">
        <v>194</v>
      </c>
      <c r="B1502" t="s">
        <v>57</v>
      </c>
      <c r="C1502" t="s">
        <v>64</v>
      </c>
      <c r="D1502" s="1">
        <v>0</v>
      </c>
      <c r="E1502" s="1">
        <v>0</v>
      </c>
      <c r="F1502" s="1">
        <v>0</v>
      </c>
      <c r="G1502" s="1">
        <v>0</v>
      </c>
      <c r="H1502" s="1">
        <v>0</v>
      </c>
      <c r="I1502" s="1">
        <v>0</v>
      </c>
      <c r="J1502" s="1">
        <v>0</v>
      </c>
      <c r="K1502" s="1">
        <v>0</v>
      </c>
      <c r="L1502" s="1">
        <v>0</v>
      </c>
      <c r="M1502" s="1">
        <v>0</v>
      </c>
      <c r="N1502" s="1">
        <v>0</v>
      </c>
      <c r="O1502" s="1">
        <v>0</v>
      </c>
      <c r="P1502" s="1">
        <v>0</v>
      </c>
      <c r="Q1502" s="1">
        <v>0</v>
      </c>
      <c r="R1502" s="1">
        <v>0</v>
      </c>
      <c r="S1502" s="1">
        <v>0</v>
      </c>
      <c r="T1502" s="1">
        <v>0</v>
      </c>
      <c r="U1502" s="1">
        <v>0</v>
      </c>
      <c r="V1502" s="1" t="s">
        <v>301</v>
      </c>
    </row>
    <row r="1503" spans="1:22">
      <c r="A1503" t="s">
        <v>194</v>
      </c>
      <c r="B1503" t="s">
        <v>57</v>
      </c>
      <c r="C1503" t="s">
        <v>65</v>
      </c>
      <c r="D1503" s="1">
        <v>0</v>
      </c>
      <c r="E1503" s="1">
        <v>0</v>
      </c>
      <c r="F1503" s="1">
        <v>0</v>
      </c>
      <c r="G1503" s="1">
        <v>0</v>
      </c>
      <c r="H1503" s="1">
        <v>0</v>
      </c>
      <c r="I1503" s="1">
        <v>0</v>
      </c>
      <c r="J1503" s="1">
        <v>0</v>
      </c>
      <c r="K1503" s="1">
        <v>0</v>
      </c>
      <c r="L1503" s="1">
        <v>0</v>
      </c>
      <c r="M1503" s="1">
        <v>0</v>
      </c>
      <c r="N1503" s="1">
        <v>0</v>
      </c>
      <c r="O1503" s="1">
        <v>0</v>
      </c>
      <c r="P1503" s="1">
        <v>0</v>
      </c>
      <c r="Q1503" s="1">
        <v>0</v>
      </c>
      <c r="R1503" s="1">
        <v>0</v>
      </c>
      <c r="S1503" s="1">
        <v>0</v>
      </c>
      <c r="T1503" s="1">
        <v>0</v>
      </c>
      <c r="U1503" s="1">
        <v>0</v>
      </c>
      <c r="V1503" s="1" t="s">
        <v>301</v>
      </c>
    </row>
    <row r="1504" spans="1:22">
      <c r="A1504" t="s">
        <v>195</v>
      </c>
      <c r="B1504" t="s">
        <v>57</v>
      </c>
      <c r="C1504" t="s">
        <v>58</v>
      </c>
      <c r="D1504" s="1">
        <v>0</v>
      </c>
      <c r="E1504" s="1">
        <v>0</v>
      </c>
      <c r="F1504" s="1">
        <v>0</v>
      </c>
      <c r="G1504" s="1">
        <v>0</v>
      </c>
      <c r="H1504" s="1">
        <v>0</v>
      </c>
      <c r="I1504" s="1">
        <v>0</v>
      </c>
      <c r="J1504" s="1">
        <v>0</v>
      </c>
      <c r="K1504" s="1">
        <v>0</v>
      </c>
      <c r="L1504" s="1">
        <v>0</v>
      </c>
      <c r="M1504" s="1">
        <v>0</v>
      </c>
      <c r="N1504" s="1">
        <v>0</v>
      </c>
      <c r="O1504" s="1">
        <v>0</v>
      </c>
      <c r="P1504" s="1">
        <v>0</v>
      </c>
      <c r="Q1504" s="1">
        <v>0</v>
      </c>
      <c r="R1504" s="1">
        <v>0</v>
      </c>
      <c r="S1504" s="1">
        <v>0</v>
      </c>
      <c r="T1504" s="1">
        <v>0</v>
      </c>
      <c r="U1504" s="1">
        <v>2</v>
      </c>
      <c r="V1504" s="1" t="s">
        <v>301</v>
      </c>
    </row>
    <row r="1505" spans="1:22">
      <c r="A1505" t="s">
        <v>195</v>
      </c>
      <c r="B1505" t="s">
        <v>57</v>
      </c>
      <c r="C1505" t="s">
        <v>59</v>
      </c>
      <c r="D1505" s="1">
        <v>0</v>
      </c>
      <c r="E1505" s="1">
        <v>0</v>
      </c>
      <c r="F1505" s="1">
        <v>0</v>
      </c>
      <c r="G1505" s="1">
        <v>0</v>
      </c>
      <c r="H1505" s="1">
        <v>0</v>
      </c>
      <c r="I1505" s="1">
        <v>0</v>
      </c>
      <c r="J1505" s="1">
        <v>0</v>
      </c>
      <c r="K1505" s="1">
        <v>0</v>
      </c>
      <c r="L1505" s="1">
        <v>0</v>
      </c>
      <c r="M1505" s="1">
        <v>0</v>
      </c>
      <c r="N1505" s="1">
        <v>0</v>
      </c>
      <c r="O1505" s="1">
        <v>0</v>
      </c>
      <c r="P1505" s="1">
        <v>0</v>
      </c>
      <c r="Q1505" s="1">
        <v>0</v>
      </c>
      <c r="R1505" s="1">
        <v>0</v>
      </c>
      <c r="S1505" s="1">
        <v>0</v>
      </c>
      <c r="T1505" s="1">
        <v>0</v>
      </c>
      <c r="U1505" s="1">
        <v>0</v>
      </c>
      <c r="V1505" s="1" t="s">
        <v>301</v>
      </c>
    </row>
    <row r="1506" spans="1:22">
      <c r="A1506" t="s">
        <v>195</v>
      </c>
      <c r="B1506" t="s">
        <v>57</v>
      </c>
      <c r="C1506" t="s">
        <v>60</v>
      </c>
      <c r="D1506" s="1">
        <v>0</v>
      </c>
      <c r="E1506" s="1">
        <v>0</v>
      </c>
      <c r="F1506" s="1">
        <v>0</v>
      </c>
      <c r="G1506" s="1">
        <v>0</v>
      </c>
      <c r="H1506" s="1">
        <v>0</v>
      </c>
      <c r="I1506" s="1">
        <v>0</v>
      </c>
      <c r="J1506" s="1">
        <v>0</v>
      </c>
      <c r="K1506" s="1">
        <v>0</v>
      </c>
      <c r="L1506" s="1">
        <v>0</v>
      </c>
      <c r="M1506" s="1">
        <v>0</v>
      </c>
      <c r="N1506" s="1">
        <v>0</v>
      </c>
      <c r="O1506" s="1">
        <v>0</v>
      </c>
      <c r="P1506" s="1">
        <v>0</v>
      </c>
      <c r="Q1506" s="1">
        <v>0</v>
      </c>
      <c r="R1506" s="1">
        <v>0</v>
      </c>
      <c r="S1506" s="1">
        <v>0</v>
      </c>
      <c r="T1506" s="1">
        <v>0</v>
      </c>
      <c r="U1506" s="1">
        <v>0</v>
      </c>
      <c r="V1506" s="1" t="s">
        <v>301</v>
      </c>
    </row>
    <row r="1507" spans="1:22">
      <c r="A1507" t="s">
        <v>195</v>
      </c>
      <c r="B1507" t="s">
        <v>57</v>
      </c>
      <c r="C1507" t="s">
        <v>61</v>
      </c>
      <c r="D1507" s="1">
        <v>0</v>
      </c>
      <c r="E1507" s="1">
        <v>0</v>
      </c>
      <c r="F1507" s="1">
        <v>0</v>
      </c>
      <c r="G1507" s="1">
        <v>0</v>
      </c>
      <c r="H1507" s="1">
        <v>0</v>
      </c>
      <c r="I1507" s="1">
        <v>0</v>
      </c>
      <c r="J1507" s="1">
        <v>0</v>
      </c>
      <c r="K1507" s="1">
        <v>0</v>
      </c>
      <c r="L1507" s="1">
        <v>0</v>
      </c>
      <c r="M1507" s="1">
        <v>0</v>
      </c>
      <c r="N1507" s="1">
        <v>0</v>
      </c>
      <c r="O1507" s="1">
        <v>0</v>
      </c>
      <c r="P1507" s="1">
        <v>0</v>
      </c>
      <c r="Q1507" s="1">
        <v>0</v>
      </c>
      <c r="R1507" s="1">
        <v>0</v>
      </c>
      <c r="S1507" s="1">
        <v>0</v>
      </c>
      <c r="T1507" s="1">
        <v>0</v>
      </c>
      <c r="U1507" s="1">
        <v>0</v>
      </c>
      <c r="V1507" s="1" t="s">
        <v>301</v>
      </c>
    </row>
    <row r="1508" spans="1:22">
      <c r="A1508" t="s">
        <v>195</v>
      </c>
      <c r="B1508" t="s">
        <v>57</v>
      </c>
      <c r="C1508" t="s">
        <v>62</v>
      </c>
      <c r="D1508" s="1">
        <v>0</v>
      </c>
      <c r="E1508" s="1">
        <v>0</v>
      </c>
      <c r="F1508" s="1">
        <v>0</v>
      </c>
      <c r="G1508" s="1">
        <v>0</v>
      </c>
      <c r="H1508" s="1">
        <v>0</v>
      </c>
      <c r="I1508" s="1">
        <v>0</v>
      </c>
      <c r="J1508" s="1">
        <v>0</v>
      </c>
      <c r="K1508" s="1">
        <v>0</v>
      </c>
      <c r="L1508" s="1">
        <v>0</v>
      </c>
      <c r="M1508" s="1">
        <v>0</v>
      </c>
      <c r="N1508" s="1">
        <v>0</v>
      </c>
      <c r="O1508" s="1">
        <v>0</v>
      </c>
      <c r="P1508" s="1">
        <v>0</v>
      </c>
      <c r="Q1508" s="1">
        <v>0</v>
      </c>
      <c r="R1508" s="1">
        <v>0</v>
      </c>
      <c r="S1508" s="1">
        <v>0</v>
      </c>
      <c r="T1508" s="1">
        <v>0</v>
      </c>
      <c r="U1508" s="1">
        <v>0</v>
      </c>
      <c r="V1508" s="1" t="s">
        <v>301</v>
      </c>
    </row>
    <row r="1509" spans="1:22">
      <c r="A1509" t="s">
        <v>195</v>
      </c>
      <c r="B1509" t="s">
        <v>57</v>
      </c>
      <c r="C1509" t="s">
        <v>63</v>
      </c>
      <c r="D1509" s="1">
        <v>0</v>
      </c>
      <c r="E1509" s="1">
        <v>0</v>
      </c>
      <c r="F1509" s="1">
        <v>0</v>
      </c>
      <c r="G1509" s="1">
        <v>0</v>
      </c>
      <c r="H1509" s="1">
        <v>0</v>
      </c>
      <c r="I1509" s="1">
        <v>0</v>
      </c>
      <c r="J1509" s="1">
        <v>0</v>
      </c>
      <c r="K1509" s="1">
        <v>0</v>
      </c>
      <c r="L1509" s="1">
        <v>0</v>
      </c>
      <c r="M1509" s="1">
        <v>0</v>
      </c>
      <c r="N1509" s="1">
        <v>0</v>
      </c>
      <c r="O1509" s="1">
        <v>0</v>
      </c>
      <c r="P1509" s="1">
        <v>0</v>
      </c>
      <c r="Q1509" s="1">
        <v>0</v>
      </c>
      <c r="R1509" s="1">
        <v>0</v>
      </c>
      <c r="S1509" s="1">
        <v>0</v>
      </c>
      <c r="T1509" s="1">
        <v>0</v>
      </c>
      <c r="U1509" s="1">
        <v>0</v>
      </c>
      <c r="V1509" s="1" t="s">
        <v>301</v>
      </c>
    </row>
    <row r="1510" spans="1:22">
      <c r="A1510" t="s">
        <v>195</v>
      </c>
      <c r="B1510" t="s">
        <v>57</v>
      </c>
      <c r="C1510" t="s">
        <v>64</v>
      </c>
      <c r="D1510" s="1">
        <v>0</v>
      </c>
      <c r="E1510" s="1">
        <v>0</v>
      </c>
      <c r="F1510" s="1">
        <v>0</v>
      </c>
      <c r="G1510" s="1">
        <v>0</v>
      </c>
      <c r="H1510" s="1">
        <v>0</v>
      </c>
      <c r="I1510" s="1">
        <v>0</v>
      </c>
      <c r="J1510" s="1">
        <v>0</v>
      </c>
      <c r="K1510" s="1">
        <v>0</v>
      </c>
      <c r="L1510" s="1">
        <v>0</v>
      </c>
      <c r="M1510" s="1">
        <v>0</v>
      </c>
      <c r="N1510" s="1">
        <v>0</v>
      </c>
      <c r="O1510" s="1">
        <v>0</v>
      </c>
      <c r="P1510" s="1">
        <v>0</v>
      </c>
      <c r="Q1510" s="1">
        <v>0</v>
      </c>
      <c r="R1510" s="1">
        <v>0</v>
      </c>
      <c r="S1510" s="1">
        <v>0</v>
      </c>
      <c r="T1510" s="1">
        <v>0</v>
      </c>
      <c r="U1510" s="1">
        <v>0</v>
      </c>
      <c r="V1510" s="1" t="s">
        <v>301</v>
      </c>
    </row>
    <row r="1511" spans="1:22">
      <c r="A1511" t="s">
        <v>195</v>
      </c>
      <c r="B1511" t="s">
        <v>57</v>
      </c>
      <c r="C1511" t="s">
        <v>65</v>
      </c>
      <c r="D1511" s="1">
        <v>0</v>
      </c>
      <c r="E1511" s="1">
        <v>0</v>
      </c>
      <c r="F1511" s="1">
        <v>0</v>
      </c>
      <c r="G1511" s="1">
        <v>0</v>
      </c>
      <c r="H1511" s="1">
        <v>0</v>
      </c>
      <c r="I1511" s="1">
        <v>0</v>
      </c>
      <c r="J1511" s="1">
        <v>0</v>
      </c>
      <c r="K1511" s="1">
        <v>0</v>
      </c>
      <c r="L1511" s="1">
        <v>0</v>
      </c>
      <c r="M1511" s="1">
        <v>0</v>
      </c>
      <c r="N1511" s="1">
        <v>0</v>
      </c>
      <c r="O1511" s="1">
        <v>0</v>
      </c>
      <c r="P1511" s="1">
        <v>0</v>
      </c>
      <c r="Q1511" s="1">
        <v>0</v>
      </c>
      <c r="R1511" s="1">
        <v>0</v>
      </c>
      <c r="S1511" s="1">
        <v>0</v>
      </c>
      <c r="T1511" s="1">
        <v>0</v>
      </c>
      <c r="U1511" s="1">
        <v>0</v>
      </c>
      <c r="V1511" s="1" t="s">
        <v>301</v>
      </c>
    </row>
    <row r="1512" spans="1:22">
      <c r="A1512" t="s">
        <v>196</v>
      </c>
      <c r="B1512" t="s">
        <v>57</v>
      </c>
      <c r="C1512" t="s">
        <v>58</v>
      </c>
      <c r="D1512" s="1">
        <v>0</v>
      </c>
      <c r="E1512" s="1">
        <v>0</v>
      </c>
      <c r="F1512" s="1">
        <v>0</v>
      </c>
      <c r="G1512" s="1">
        <v>0</v>
      </c>
      <c r="H1512" s="1">
        <v>0</v>
      </c>
      <c r="I1512" s="1">
        <v>0</v>
      </c>
      <c r="J1512" s="1">
        <v>0</v>
      </c>
      <c r="K1512" s="1">
        <v>0</v>
      </c>
      <c r="L1512" s="1">
        <v>0</v>
      </c>
      <c r="M1512" s="1">
        <v>0</v>
      </c>
      <c r="N1512" s="1">
        <v>0</v>
      </c>
      <c r="O1512" s="1">
        <v>0</v>
      </c>
      <c r="P1512" s="1">
        <v>0</v>
      </c>
      <c r="Q1512" s="1">
        <v>0</v>
      </c>
      <c r="R1512" s="1">
        <v>0</v>
      </c>
      <c r="S1512" s="1">
        <v>0</v>
      </c>
      <c r="T1512" s="1">
        <v>0</v>
      </c>
      <c r="U1512" s="1">
        <v>3</v>
      </c>
      <c r="V1512" s="1" t="s">
        <v>301</v>
      </c>
    </row>
    <row r="1513" spans="1:22">
      <c r="A1513" t="s">
        <v>196</v>
      </c>
      <c r="B1513" t="s">
        <v>57</v>
      </c>
      <c r="C1513" t="s">
        <v>59</v>
      </c>
      <c r="D1513" s="1">
        <v>0</v>
      </c>
      <c r="E1513" s="1">
        <v>0</v>
      </c>
      <c r="F1513" s="1">
        <v>0</v>
      </c>
      <c r="G1513" s="1">
        <v>0</v>
      </c>
      <c r="H1513" s="1">
        <v>1</v>
      </c>
      <c r="I1513" s="1">
        <v>0</v>
      </c>
      <c r="J1513" s="1">
        <v>0</v>
      </c>
      <c r="K1513" s="1">
        <v>0</v>
      </c>
      <c r="L1513" s="1">
        <v>0</v>
      </c>
      <c r="M1513" s="1">
        <v>1</v>
      </c>
      <c r="N1513" s="1">
        <v>0</v>
      </c>
      <c r="O1513" s="1">
        <v>0</v>
      </c>
      <c r="P1513" s="1">
        <v>1</v>
      </c>
      <c r="Q1513" s="1">
        <v>0</v>
      </c>
      <c r="R1513" s="1">
        <v>0</v>
      </c>
      <c r="S1513" s="1">
        <v>1</v>
      </c>
      <c r="T1513" s="1">
        <v>0</v>
      </c>
      <c r="U1513" s="1">
        <v>1</v>
      </c>
      <c r="V1513" s="1" t="s">
        <v>301</v>
      </c>
    </row>
    <row r="1514" spans="1:22">
      <c r="A1514" t="s">
        <v>196</v>
      </c>
      <c r="B1514" t="s">
        <v>57</v>
      </c>
      <c r="C1514" t="s">
        <v>60</v>
      </c>
      <c r="D1514" s="1">
        <v>0</v>
      </c>
      <c r="E1514" s="1">
        <v>0</v>
      </c>
      <c r="F1514" s="1">
        <v>0</v>
      </c>
      <c r="G1514" s="1">
        <v>0</v>
      </c>
      <c r="H1514" s="1">
        <v>0</v>
      </c>
      <c r="I1514" s="1">
        <v>0</v>
      </c>
      <c r="J1514" s="1">
        <v>0</v>
      </c>
      <c r="K1514" s="1">
        <v>0</v>
      </c>
      <c r="L1514" s="1">
        <v>0</v>
      </c>
      <c r="M1514" s="1">
        <v>0</v>
      </c>
      <c r="N1514" s="1">
        <v>0</v>
      </c>
      <c r="O1514" s="1">
        <v>0</v>
      </c>
      <c r="P1514" s="1">
        <v>0</v>
      </c>
      <c r="Q1514" s="1">
        <v>0</v>
      </c>
      <c r="R1514" s="1">
        <v>0</v>
      </c>
      <c r="S1514" s="1">
        <v>0</v>
      </c>
      <c r="T1514" s="1">
        <v>0</v>
      </c>
      <c r="U1514" s="1">
        <v>0</v>
      </c>
      <c r="V1514" s="1" t="s">
        <v>301</v>
      </c>
    </row>
    <row r="1515" spans="1:22">
      <c r="A1515" t="s">
        <v>196</v>
      </c>
      <c r="B1515" t="s">
        <v>57</v>
      </c>
      <c r="C1515" t="s">
        <v>61</v>
      </c>
      <c r="D1515" s="1">
        <v>0</v>
      </c>
      <c r="E1515" s="1">
        <v>0</v>
      </c>
      <c r="F1515" s="1">
        <v>0</v>
      </c>
      <c r="G1515" s="1">
        <v>0</v>
      </c>
      <c r="H1515" s="1">
        <v>0</v>
      </c>
      <c r="I1515" s="1">
        <v>0</v>
      </c>
      <c r="J1515" s="1">
        <v>0</v>
      </c>
      <c r="K1515" s="1">
        <v>0</v>
      </c>
      <c r="L1515" s="1">
        <v>0</v>
      </c>
      <c r="M1515" s="1">
        <v>0</v>
      </c>
      <c r="N1515" s="1">
        <v>0</v>
      </c>
      <c r="O1515" s="1">
        <v>0</v>
      </c>
      <c r="P1515" s="1">
        <v>0</v>
      </c>
      <c r="Q1515" s="1">
        <v>0</v>
      </c>
      <c r="R1515" s="1">
        <v>0</v>
      </c>
      <c r="S1515" s="1">
        <v>0</v>
      </c>
      <c r="T1515" s="1">
        <v>0</v>
      </c>
      <c r="U1515" s="1">
        <v>0</v>
      </c>
      <c r="V1515" s="1" t="s">
        <v>301</v>
      </c>
    </row>
    <row r="1516" spans="1:22">
      <c r="A1516" t="s">
        <v>196</v>
      </c>
      <c r="B1516" t="s">
        <v>57</v>
      </c>
      <c r="C1516" t="s">
        <v>62</v>
      </c>
      <c r="D1516" s="1">
        <v>0</v>
      </c>
      <c r="E1516" s="1">
        <v>0</v>
      </c>
      <c r="F1516" s="1">
        <v>0</v>
      </c>
      <c r="G1516" s="1">
        <v>0</v>
      </c>
      <c r="H1516" s="1">
        <v>0</v>
      </c>
      <c r="I1516" s="1">
        <v>0</v>
      </c>
      <c r="J1516" s="1">
        <v>0</v>
      </c>
      <c r="K1516" s="1">
        <v>0</v>
      </c>
      <c r="L1516" s="1">
        <v>0</v>
      </c>
      <c r="M1516" s="1">
        <v>0</v>
      </c>
      <c r="N1516" s="1">
        <v>0</v>
      </c>
      <c r="O1516" s="1">
        <v>0</v>
      </c>
      <c r="P1516" s="1">
        <v>0</v>
      </c>
      <c r="Q1516" s="1">
        <v>0</v>
      </c>
      <c r="R1516" s="1">
        <v>0</v>
      </c>
      <c r="S1516" s="1">
        <v>0</v>
      </c>
      <c r="T1516" s="1">
        <v>0</v>
      </c>
      <c r="U1516" s="1">
        <v>0</v>
      </c>
      <c r="V1516" s="1" t="s">
        <v>301</v>
      </c>
    </row>
    <row r="1517" spans="1:22">
      <c r="A1517" t="s">
        <v>196</v>
      </c>
      <c r="B1517" t="s">
        <v>57</v>
      </c>
      <c r="C1517" t="s">
        <v>63</v>
      </c>
      <c r="D1517" s="1">
        <v>0</v>
      </c>
      <c r="E1517" s="1">
        <v>0</v>
      </c>
      <c r="F1517" s="1">
        <v>0</v>
      </c>
      <c r="G1517" s="1">
        <v>0</v>
      </c>
      <c r="H1517" s="1">
        <v>0</v>
      </c>
      <c r="I1517" s="1">
        <v>0</v>
      </c>
      <c r="J1517" s="1">
        <v>0</v>
      </c>
      <c r="K1517" s="1">
        <v>0</v>
      </c>
      <c r="L1517" s="1">
        <v>0</v>
      </c>
      <c r="M1517" s="1">
        <v>0</v>
      </c>
      <c r="N1517" s="1">
        <v>0</v>
      </c>
      <c r="O1517" s="1">
        <v>0</v>
      </c>
      <c r="P1517" s="1">
        <v>0</v>
      </c>
      <c r="Q1517" s="1">
        <v>0</v>
      </c>
      <c r="R1517" s="1">
        <v>0</v>
      </c>
      <c r="S1517" s="1">
        <v>0</v>
      </c>
      <c r="T1517" s="1">
        <v>0</v>
      </c>
      <c r="U1517" s="1">
        <v>0</v>
      </c>
      <c r="V1517" s="1" t="s">
        <v>301</v>
      </c>
    </row>
    <row r="1518" spans="1:22">
      <c r="A1518" t="s">
        <v>196</v>
      </c>
      <c r="B1518" t="s">
        <v>57</v>
      </c>
      <c r="C1518" t="s">
        <v>64</v>
      </c>
      <c r="D1518" s="1">
        <v>0</v>
      </c>
      <c r="E1518" s="1">
        <v>0</v>
      </c>
      <c r="F1518" s="1">
        <v>0</v>
      </c>
      <c r="G1518" s="1">
        <v>0</v>
      </c>
      <c r="H1518" s="1">
        <v>1</v>
      </c>
      <c r="I1518" s="1">
        <v>0</v>
      </c>
      <c r="J1518" s="1">
        <v>0</v>
      </c>
      <c r="K1518" s="1">
        <v>0</v>
      </c>
      <c r="L1518" s="1">
        <v>0</v>
      </c>
      <c r="M1518" s="1">
        <v>1</v>
      </c>
      <c r="N1518" s="1">
        <v>0</v>
      </c>
      <c r="O1518" s="1">
        <v>0</v>
      </c>
      <c r="P1518" s="1">
        <v>1</v>
      </c>
      <c r="Q1518" s="1">
        <v>0</v>
      </c>
      <c r="R1518" s="1">
        <v>0</v>
      </c>
      <c r="S1518" s="1">
        <v>1</v>
      </c>
      <c r="T1518" s="1">
        <v>0</v>
      </c>
      <c r="U1518" s="1">
        <v>1</v>
      </c>
      <c r="V1518" s="1" t="s">
        <v>301</v>
      </c>
    </row>
    <row r="1519" spans="1:22">
      <c r="A1519" t="s">
        <v>196</v>
      </c>
      <c r="B1519" t="s">
        <v>57</v>
      </c>
      <c r="C1519" t="s">
        <v>65</v>
      </c>
      <c r="D1519" s="1">
        <v>0</v>
      </c>
      <c r="E1519" s="1">
        <v>0</v>
      </c>
      <c r="F1519" s="1">
        <v>0</v>
      </c>
      <c r="G1519" s="1">
        <v>0</v>
      </c>
      <c r="H1519" s="1">
        <v>0</v>
      </c>
      <c r="I1519" s="1">
        <v>0</v>
      </c>
      <c r="J1519" s="1">
        <v>0</v>
      </c>
      <c r="K1519" s="1">
        <v>0</v>
      </c>
      <c r="L1519" s="1">
        <v>0</v>
      </c>
      <c r="M1519" s="1">
        <v>0</v>
      </c>
      <c r="N1519" s="1">
        <v>0</v>
      </c>
      <c r="O1519" s="1">
        <v>0</v>
      </c>
      <c r="P1519" s="1">
        <v>0</v>
      </c>
      <c r="Q1519" s="1">
        <v>0</v>
      </c>
      <c r="R1519" s="1">
        <v>0</v>
      </c>
      <c r="S1519" s="1">
        <v>0</v>
      </c>
      <c r="T1519" s="1">
        <v>0</v>
      </c>
      <c r="U1519" s="1">
        <v>0</v>
      </c>
      <c r="V1519" s="1" t="s">
        <v>301</v>
      </c>
    </row>
    <row r="1520" spans="1:22">
      <c r="A1520" t="s">
        <v>55</v>
      </c>
      <c r="B1520" t="s">
        <v>57</v>
      </c>
      <c r="C1520" t="s">
        <v>58</v>
      </c>
      <c r="D1520" s="1">
        <v>0</v>
      </c>
      <c r="E1520" s="1">
        <v>0</v>
      </c>
      <c r="F1520" s="1">
        <v>0</v>
      </c>
      <c r="G1520" s="1">
        <v>0</v>
      </c>
      <c r="H1520" s="1">
        <v>0</v>
      </c>
      <c r="I1520" s="1">
        <v>0</v>
      </c>
      <c r="J1520" s="1">
        <v>0</v>
      </c>
      <c r="K1520" s="1">
        <v>0</v>
      </c>
      <c r="L1520" s="1">
        <v>0</v>
      </c>
      <c r="M1520" s="1">
        <v>0</v>
      </c>
      <c r="N1520" s="1">
        <v>0</v>
      </c>
      <c r="O1520" s="1">
        <v>0</v>
      </c>
      <c r="P1520" s="1">
        <v>0</v>
      </c>
      <c r="Q1520" s="1">
        <v>0</v>
      </c>
      <c r="R1520" s="1">
        <v>0</v>
      </c>
      <c r="S1520" s="1">
        <v>0</v>
      </c>
      <c r="T1520" s="1">
        <v>0</v>
      </c>
      <c r="U1520" s="1">
        <v>27</v>
      </c>
      <c r="V1520" s="1" t="s">
        <v>301</v>
      </c>
    </row>
    <row r="1521" spans="1:22">
      <c r="A1521" t="s">
        <v>55</v>
      </c>
      <c r="B1521" t="s">
        <v>57</v>
      </c>
      <c r="C1521" t="s">
        <v>59</v>
      </c>
      <c r="D1521" s="1">
        <v>0</v>
      </c>
      <c r="E1521" s="1">
        <v>0</v>
      </c>
      <c r="F1521" s="1">
        <v>0</v>
      </c>
      <c r="G1521" s="1">
        <v>0</v>
      </c>
      <c r="H1521" s="1">
        <v>1</v>
      </c>
      <c r="I1521" s="1">
        <v>0</v>
      </c>
      <c r="J1521" s="1">
        <v>0</v>
      </c>
      <c r="K1521" s="1">
        <v>0</v>
      </c>
      <c r="L1521" s="1">
        <v>0</v>
      </c>
      <c r="M1521" s="1">
        <v>1</v>
      </c>
      <c r="N1521" s="1">
        <v>0</v>
      </c>
      <c r="O1521" s="1">
        <v>0</v>
      </c>
      <c r="P1521" s="1">
        <v>1</v>
      </c>
      <c r="Q1521" s="1">
        <v>0</v>
      </c>
      <c r="R1521" s="1">
        <v>0</v>
      </c>
      <c r="S1521" s="1">
        <v>1</v>
      </c>
      <c r="T1521" s="1">
        <v>0</v>
      </c>
      <c r="U1521" s="1">
        <v>1</v>
      </c>
      <c r="V1521" s="1" t="s">
        <v>301</v>
      </c>
    </row>
    <row r="1522" spans="1:22">
      <c r="A1522" t="s">
        <v>55</v>
      </c>
      <c r="B1522" t="s">
        <v>57</v>
      </c>
      <c r="C1522" t="s">
        <v>60</v>
      </c>
      <c r="D1522" s="1">
        <v>0</v>
      </c>
      <c r="E1522" s="1">
        <v>0</v>
      </c>
      <c r="F1522" s="1">
        <v>0</v>
      </c>
      <c r="G1522" s="1">
        <v>0</v>
      </c>
      <c r="H1522" s="1">
        <v>0</v>
      </c>
      <c r="I1522" s="1">
        <v>0</v>
      </c>
      <c r="J1522" s="1">
        <v>0</v>
      </c>
      <c r="K1522" s="1">
        <v>0</v>
      </c>
      <c r="L1522" s="1">
        <v>0</v>
      </c>
      <c r="M1522" s="1">
        <v>0</v>
      </c>
      <c r="N1522" s="1">
        <v>0</v>
      </c>
      <c r="O1522" s="1">
        <v>0</v>
      </c>
      <c r="P1522" s="1">
        <v>0</v>
      </c>
      <c r="Q1522" s="1">
        <v>0</v>
      </c>
      <c r="R1522" s="1">
        <v>0</v>
      </c>
      <c r="S1522" s="1">
        <v>0</v>
      </c>
      <c r="T1522" s="1">
        <v>0</v>
      </c>
      <c r="U1522" s="1">
        <v>0</v>
      </c>
      <c r="V1522" s="1" t="s">
        <v>301</v>
      </c>
    </row>
    <row r="1523" spans="1:22">
      <c r="A1523" t="s">
        <v>55</v>
      </c>
      <c r="B1523" t="s">
        <v>57</v>
      </c>
      <c r="C1523" t="s">
        <v>61</v>
      </c>
      <c r="D1523" s="1">
        <v>0</v>
      </c>
      <c r="E1523" s="1">
        <v>0</v>
      </c>
      <c r="F1523" s="1">
        <v>0</v>
      </c>
      <c r="G1523" s="1">
        <v>0</v>
      </c>
      <c r="H1523" s="1">
        <v>0</v>
      </c>
      <c r="I1523" s="1">
        <v>0</v>
      </c>
      <c r="J1523" s="1">
        <v>0</v>
      </c>
      <c r="K1523" s="1">
        <v>0</v>
      </c>
      <c r="L1523" s="1">
        <v>0</v>
      </c>
      <c r="M1523" s="1">
        <v>0</v>
      </c>
      <c r="N1523" s="1">
        <v>0</v>
      </c>
      <c r="O1523" s="1">
        <v>0</v>
      </c>
      <c r="P1523" s="1">
        <v>0</v>
      </c>
      <c r="Q1523" s="1">
        <v>0</v>
      </c>
      <c r="R1523" s="1">
        <v>0</v>
      </c>
      <c r="S1523" s="1">
        <v>0</v>
      </c>
      <c r="T1523" s="1">
        <v>0</v>
      </c>
      <c r="U1523" s="1">
        <v>0</v>
      </c>
      <c r="V1523" s="1" t="s">
        <v>301</v>
      </c>
    </row>
    <row r="1524" spans="1:22">
      <c r="A1524" t="s">
        <v>55</v>
      </c>
      <c r="B1524" t="s">
        <v>57</v>
      </c>
      <c r="C1524" t="s">
        <v>62</v>
      </c>
      <c r="D1524" s="1">
        <v>0</v>
      </c>
      <c r="E1524" s="1">
        <v>0</v>
      </c>
      <c r="F1524" s="1">
        <v>0</v>
      </c>
      <c r="G1524" s="1">
        <v>0</v>
      </c>
      <c r="H1524" s="1">
        <v>0</v>
      </c>
      <c r="I1524" s="1">
        <v>0</v>
      </c>
      <c r="J1524" s="1">
        <v>0</v>
      </c>
      <c r="K1524" s="1">
        <v>0</v>
      </c>
      <c r="L1524" s="1">
        <v>0</v>
      </c>
      <c r="M1524" s="1">
        <v>0</v>
      </c>
      <c r="N1524" s="1">
        <v>0</v>
      </c>
      <c r="O1524" s="1">
        <v>0</v>
      </c>
      <c r="P1524" s="1">
        <v>0</v>
      </c>
      <c r="Q1524" s="1">
        <v>0</v>
      </c>
      <c r="R1524" s="1">
        <v>0</v>
      </c>
      <c r="S1524" s="1">
        <v>0</v>
      </c>
      <c r="T1524" s="1">
        <v>0</v>
      </c>
      <c r="U1524" s="1">
        <v>0</v>
      </c>
      <c r="V1524" s="1" t="s">
        <v>301</v>
      </c>
    </row>
    <row r="1525" spans="1:22">
      <c r="A1525" t="s">
        <v>55</v>
      </c>
      <c r="B1525" t="s">
        <v>57</v>
      </c>
      <c r="C1525" t="s">
        <v>63</v>
      </c>
      <c r="D1525" s="1">
        <v>0</v>
      </c>
      <c r="E1525" s="1">
        <v>0</v>
      </c>
      <c r="F1525" s="1">
        <v>0</v>
      </c>
      <c r="G1525" s="1">
        <v>0</v>
      </c>
      <c r="H1525" s="1">
        <v>0</v>
      </c>
      <c r="I1525" s="1">
        <v>0</v>
      </c>
      <c r="J1525" s="1">
        <v>0</v>
      </c>
      <c r="K1525" s="1">
        <v>0</v>
      </c>
      <c r="L1525" s="1">
        <v>0</v>
      </c>
      <c r="M1525" s="1">
        <v>0</v>
      </c>
      <c r="N1525" s="1">
        <v>0</v>
      </c>
      <c r="O1525" s="1">
        <v>0</v>
      </c>
      <c r="P1525" s="1">
        <v>0</v>
      </c>
      <c r="Q1525" s="1">
        <v>0</v>
      </c>
      <c r="R1525" s="1">
        <v>0</v>
      </c>
      <c r="S1525" s="1">
        <v>0</v>
      </c>
      <c r="T1525" s="1">
        <v>0</v>
      </c>
      <c r="U1525" s="1">
        <v>0</v>
      </c>
      <c r="V1525" s="1" t="s">
        <v>301</v>
      </c>
    </row>
    <row r="1526" spans="1:22">
      <c r="A1526" t="s">
        <v>55</v>
      </c>
      <c r="B1526" t="s">
        <v>57</v>
      </c>
      <c r="C1526" t="s">
        <v>64</v>
      </c>
      <c r="D1526" s="1">
        <v>0</v>
      </c>
      <c r="E1526" s="1">
        <v>0</v>
      </c>
      <c r="F1526" s="1">
        <v>0</v>
      </c>
      <c r="G1526" s="1">
        <v>0</v>
      </c>
      <c r="H1526" s="1">
        <v>1</v>
      </c>
      <c r="I1526" s="1">
        <v>0</v>
      </c>
      <c r="J1526" s="1">
        <v>0</v>
      </c>
      <c r="K1526" s="1">
        <v>0</v>
      </c>
      <c r="L1526" s="1">
        <v>0</v>
      </c>
      <c r="M1526" s="1">
        <v>1</v>
      </c>
      <c r="N1526" s="1">
        <v>0</v>
      </c>
      <c r="O1526" s="1">
        <v>0</v>
      </c>
      <c r="P1526" s="1">
        <v>1</v>
      </c>
      <c r="Q1526" s="1">
        <v>0</v>
      </c>
      <c r="R1526" s="1">
        <v>0</v>
      </c>
      <c r="S1526" s="1">
        <v>1</v>
      </c>
      <c r="T1526" s="1">
        <v>0</v>
      </c>
      <c r="U1526" s="1">
        <v>1</v>
      </c>
      <c r="V1526" s="1" t="s">
        <v>301</v>
      </c>
    </row>
    <row r="1527" spans="1:22">
      <c r="A1527" t="s">
        <v>55</v>
      </c>
      <c r="B1527" t="s">
        <v>57</v>
      </c>
      <c r="C1527" t="s">
        <v>65</v>
      </c>
      <c r="D1527" s="1">
        <v>0</v>
      </c>
      <c r="E1527" s="1">
        <v>0</v>
      </c>
      <c r="F1527" s="1">
        <v>0</v>
      </c>
      <c r="G1527" s="1">
        <v>0</v>
      </c>
      <c r="H1527" s="1">
        <v>0</v>
      </c>
      <c r="I1527" s="1">
        <v>0</v>
      </c>
      <c r="J1527" s="1">
        <v>0</v>
      </c>
      <c r="K1527" s="1">
        <v>0</v>
      </c>
      <c r="L1527" s="1">
        <v>0</v>
      </c>
      <c r="M1527" s="1">
        <v>0</v>
      </c>
      <c r="N1527" s="1">
        <v>0</v>
      </c>
      <c r="O1527" s="1">
        <v>0</v>
      </c>
      <c r="P1527" s="1">
        <v>0</v>
      </c>
      <c r="Q1527" s="1">
        <v>0</v>
      </c>
      <c r="R1527" s="1">
        <v>0</v>
      </c>
      <c r="S1527" s="1">
        <v>0</v>
      </c>
      <c r="T1527" s="1">
        <v>0</v>
      </c>
      <c r="U1527" s="1">
        <v>0</v>
      </c>
      <c r="V1527" s="1" t="s">
        <v>301</v>
      </c>
    </row>
    <row r="1529" spans="1:22">
      <c r="A1529">
        <f>setup!C30</f>
        <v>3824</v>
      </c>
    </row>
    <row r="1530" spans="1:22">
      <c r="A1530" t="str">
        <f>_xlfn.CONCAT(setup!D30," - ",setup!E30)</f>
        <v>OSEP – Speech Impairment - Paper - OSEP_SI_P</v>
      </c>
      <c r="D1530" s="1"/>
      <c r="E1530" s="1"/>
      <c r="F1530" s="1"/>
      <c r="G1530" s="1"/>
      <c r="H1530" s="1"/>
      <c r="I1530" s="1"/>
      <c r="J1530" s="1"/>
      <c r="K1530" s="1"/>
      <c r="L1530" s="1"/>
      <c r="M1530" s="1"/>
      <c r="N1530" s="1"/>
      <c r="O1530" s="1"/>
      <c r="P1530" s="1"/>
      <c r="Q1530" s="1"/>
      <c r="R1530" s="1"/>
      <c r="S1530" s="1"/>
      <c r="T1530" s="1"/>
      <c r="U1530" s="1"/>
    </row>
    <row r="1531" spans="1:22">
      <c r="A1531" t="s">
        <v>35</v>
      </c>
      <c r="B1531" t="s">
        <v>36</v>
      </c>
      <c r="C1531" t="s">
        <v>37</v>
      </c>
      <c r="D1531" s="1" t="s">
        <v>38</v>
      </c>
      <c r="E1531" s="1" t="s">
        <v>39</v>
      </c>
      <c r="F1531" s="1" t="s">
        <v>40</v>
      </c>
      <c r="G1531" s="1" t="s">
        <v>41</v>
      </c>
      <c r="H1531" s="1" t="s">
        <v>42</v>
      </c>
      <c r="I1531" s="1" t="s">
        <v>43</v>
      </c>
      <c r="J1531" s="1" t="s">
        <v>44</v>
      </c>
      <c r="K1531" s="1" t="s">
        <v>45</v>
      </c>
      <c r="L1531" s="1" t="s">
        <v>46</v>
      </c>
      <c r="M1531" s="1" t="s">
        <v>47</v>
      </c>
      <c r="N1531" s="1" t="s">
        <v>48</v>
      </c>
      <c r="O1531" s="1" t="s">
        <v>49</v>
      </c>
      <c r="P1531" s="1" t="s">
        <v>50</v>
      </c>
      <c r="Q1531" s="1" t="s">
        <v>51</v>
      </c>
      <c r="R1531" s="1" t="s">
        <v>52</v>
      </c>
      <c r="S1531" s="1" t="s">
        <v>53</v>
      </c>
      <c r="T1531" t="s">
        <v>54</v>
      </c>
      <c r="U1531" s="1" t="s">
        <v>55</v>
      </c>
      <c r="V1531" t="s">
        <v>56</v>
      </c>
    </row>
    <row r="1532" spans="1:22">
      <c r="A1532" t="s">
        <v>187</v>
      </c>
      <c r="B1532" t="s">
        <v>57</v>
      </c>
      <c r="C1532" t="s">
        <v>58</v>
      </c>
      <c r="D1532" s="1">
        <v>0</v>
      </c>
      <c r="E1532" s="1">
        <v>0</v>
      </c>
      <c r="F1532" s="1">
        <v>0</v>
      </c>
      <c r="G1532" s="1">
        <v>0</v>
      </c>
      <c r="H1532" s="1">
        <v>0</v>
      </c>
      <c r="I1532" s="1">
        <v>0</v>
      </c>
      <c r="J1532" s="1">
        <v>0</v>
      </c>
      <c r="K1532" s="1">
        <v>0</v>
      </c>
      <c r="L1532" s="1">
        <v>0</v>
      </c>
      <c r="M1532" s="1">
        <v>0</v>
      </c>
      <c r="N1532" s="1">
        <v>0</v>
      </c>
      <c r="O1532" s="1">
        <v>0</v>
      </c>
      <c r="P1532" s="1">
        <v>0</v>
      </c>
      <c r="Q1532" s="1">
        <v>0</v>
      </c>
      <c r="R1532" s="1">
        <v>0</v>
      </c>
      <c r="S1532" s="1">
        <v>0</v>
      </c>
      <c r="T1532" s="1">
        <v>0</v>
      </c>
      <c r="U1532" s="1">
        <v>6</v>
      </c>
      <c r="V1532" s="1" t="s">
        <v>301</v>
      </c>
    </row>
    <row r="1533" spans="1:22">
      <c r="A1533" t="s">
        <v>187</v>
      </c>
      <c r="B1533" t="s">
        <v>57</v>
      </c>
      <c r="C1533" t="s">
        <v>59</v>
      </c>
      <c r="D1533" s="1">
        <v>1</v>
      </c>
      <c r="E1533" s="1">
        <v>0</v>
      </c>
      <c r="F1533" s="1">
        <v>0</v>
      </c>
      <c r="G1533" s="1">
        <v>0</v>
      </c>
      <c r="H1533" s="1">
        <v>0</v>
      </c>
      <c r="I1533" s="1">
        <v>0</v>
      </c>
      <c r="J1533" s="1">
        <v>0</v>
      </c>
      <c r="K1533" s="1">
        <v>0</v>
      </c>
      <c r="L1533" s="1">
        <v>1</v>
      </c>
      <c r="M1533" s="1">
        <v>0</v>
      </c>
      <c r="N1533" s="1">
        <v>0</v>
      </c>
      <c r="O1533" s="1">
        <v>0</v>
      </c>
      <c r="P1533" s="1">
        <v>0</v>
      </c>
      <c r="Q1533" s="1">
        <v>1</v>
      </c>
      <c r="R1533" s="1">
        <v>1</v>
      </c>
      <c r="S1533" s="1">
        <v>0</v>
      </c>
      <c r="T1533" s="1">
        <v>0</v>
      </c>
      <c r="U1533" s="1">
        <v>1</v>
      </c>
      <c r="V1533" s="1" t="s">
        <v>301</v>
      </c>
    </row>
    <row r="1534" spans="1:22">
      <c r="A1534" t="s">
        <v>187</v>
      </c>
      <c r="B1534" t="s">
        <v>57</v>
      </c>
      <c r="C1534" t="s">
        <v>60</v>
      </c>
      <c r="D1534" s="1">
        <v>0</v>
      </c>
      <c r="E1534" s="1">
        <v>0</v>
      </c>
      <c r="F1534" s="1">
        <v>0</v>
      </c>
      <c r="G1534" s="1">
        <v>0</v>
      </c>
      <c r="H1534" s="1">
        <v>0</v>
      </c>
      <c r="I1534" s="1">
        <v>0</v>
      </c>
      <c r="J1534" s="1">
        <v>0</v>
      </c>
      <c r="K1534" s="1">
        <v>0</v>
      </c>
      <c r="L1534" s="1">
        <v>0</v>
      </c>
      <c r="M1534" s="1">
        <v>0</v>
      </c>
      <c r="N1534" s="1">
        <v>0</v>
      </c>
      <c r="O1534" s="1">
        <v>0</v>
      </c>
      <c r="P1534" s="1">
        <v>0</v>
      </c>
      <c r="Q1534" s="1">
        <v>0</v>
      </c>
      <c r="R1534" s="1">
        <v>0</v>
      </c>
      <c r="S1534" s="1">
        <v>0</v>
      </c>
      <c r="T1534" s="1">
        <v>0</v>
      </c>
      <c r="U1534" s="1">
        <v>0</v>
      </c>
      <c r="V1534" s="1" t="s">
        <v>301</v>
      </c>
    </row>
    <row r="1535" spans="1:22">
      <c r="A1535" t="s">
        <v>187</v>
      </c>
      <c r="B1535" t="s">
        <v>57</v>
      </c>
      <c r="C1535" t="s">
        <v>61</v>
      </c>
      <c r="D1535" s="1">
        <v>0</v>
      </c>
      <c r="E1535" s="1">
        <v>0</v>
      </c>
      <c r="F1535" s="1">
        <v>0</v>
      </c>
      <c r="G1535" s="1">
        <v>0</v>
      </c>
      <c r="H1535" s="1">
        <v>0</v>
      </c>
      <c r="I1535" s="1">
        <v>0</v>
      </c>
      <c r="J1535" s="1">
        <v>0</v>
      </c>
      <c r="K1535" s="1">
        <v>0</v>
      </c>
      <c r="L1535" s="1">
        <v>0</v>
      </c>
      <c r="M1535" s="1">
        <v>0</v>
      </c>
      <c r="N1535" s="1">
        <v>0</v>
      </c>
      <c r="O1535" s="1">
        <v>0</v>
      </c>
      <c r="P1535" s="1">
        <v>0</v>
      </c>
      <c r="Q1535" s="1">
        <v>0</v>
      </c>
      <c r="R1535" s="1">
        <v>0</v>
      </c>
      <c r="S1535" s="1">
        <v>0</v>
      </c>
      <c r="T1535" s="1">
        <v>0</v>
      </c>
      <c r="U1535" s="1">
        <v>0</v>
      </c>
      <c r="V1535" s="1" t="s">
        <v>301</v>
      </c>
    </row>
    <row r="1536" spans="1:22">
      <c r="A1536" t="s">
        <v>187</v>
      </c>
      <c r="B1536" t="s">
        <v>57</v>
      </c>
      <c r="C1536" t="s">
        <v>62</v>
      </c>
      <c r="D1536" s="1">
        <v>0</v>
      </c>
      <c r="E1536" s="1">
        <v>0</v>
      </c>
      <c r="F1536" s="1">
        <v>0</v>
      </c>
      <c r="G1536" s="1">
        <v>0</v>
      </c>
      <c r="H1536" s="1">
        <v>0</v>
      </c>
      <c r="I1536" s="1">
        <v>0</v>
      </c>
      <c r="J1536" s="1">
        <v>0</v>
      </c>
      <c r="K1536" s="1">
        <v>0</v>
      </c>
      <c r="L1536" s="1">
        <v>0</v>
      </c>
      <c r="M1536" s="1">
        <v>0</v>
      </c>
      <c r="N1536" s="1">
        <v>0</v>
      </c>
      <c r="O1536" s="1">
        <v>0</v>
      </c>
      <c r="P1536" s="1">
        <v>0</v>
      </c>
      <c r="Q1536" s="1">
        <v>0</v>
      </c>
      <c r="R1536" s="1">
        <v>0</v>
      </c>
      <c r="S1536" s="1">
        <v>0</v>
      </c>
      <c r="T1536" s="1">
        <v>0</v>
      </c>
      <c r="U1536" s="1">
        <v>0</v>
      </c>
      <c r="V1536" s="1" t="s">
        <v>301</v>
      </c>
    </row>
    <row r="1537" spans="1:22">
      <c r="A1537" t="s">
        <v>187</v>
      </c>
      <c r="B1537" t="s">
        <v>57</v>
      </c>
      <c r="C1537" t="s">
        <v>63</v>
      </c>
      <c r="D1537" s="1">
        <v>0</v>
      </c>
      <c r="E1537" s="1">
        <v>0</v>
      </c>
      <c r="F1537" s="1">
        <v>0</v>
      </c>
      <c r="G1537" s="1">
        <v>0</v>
      </c>
      <c r="H1537" s="1">
        <v>0</v>
      </c>
      <c r="I1537" s="1">
        <v>0</v>
      </c>
      <c r="J1537" s="1">
        <v>0</v>
      </c>
      <c r="K1537" s="1">
        <v>0</v>
      </c>
      <c r="L1537" s="1">
        <v>0</v>
      </c>
      <c r="M1537" s="1">
        <v>0</v>
      </c>
      <c r="N1537" s="1">
        <v>0</v>
      </c>
      <c r="O1537" s="1">
        <v>0</v>
      </c>
      <c r="P1537" s="1">
        <v>0</v>
      </c>
      <c r="Q1537" s="1">
        <v>0</v>
      </c>
      <c r="R1537" s="1">
        <v>0</v>
      </c>
      <c r="S1537" s="1">
        <v>0</v>
      </c>
      <c r="T1537" s="1">
        <v>0</v>
      </c>
      <c r="U1537" s="1">
        <v>0</v>
      </c>
      <c r="V1537" s="1" t="s">
        <v>301</v>
      </c>
    </row>
    <row r="1538" spans="1:22">
      <c r="A1538" t="s">
        <v>187</v>
      </c>
      <c r="B1538" t="s">
        <v>57</v>
      </c>
      <c r="C1538" t="s">
        <v>64</v>
      </c>
      <c r="D1538" s="1">
        <v>1</v>
      </c>
      <c r="E1538" s="1">
        <v>0</v>
      </c>
      <c r="F1538" s="1">
        <v>0</v>
      </c>
      <c r="G1538" s="1">
        <v>0</v>
      </c>
      <c r="H1538" s="1">
        <v>0</v>
      </c>
      <c r="I1538" s="1">
        <v>0</v>
      </c>
      <c r="J1538" s="1">
        <v>0</v>
      </c>
      <c r="K1538" s="1">
        <v>0</v>
      </c>
      <c r="L1538" s="1">
        <v>1</v>
      </c>
      <c r="M1538" s="1">
        <v>0</v>
      </c>
      <c r="N1538" s="1">
        <v>0</v>
      </c>
      <c r="O1538" s="1">
        <v>0</v>
      </c>
      <c r="P1538" s="1">
        <v>0</v>
      </c>
      <c r="Q1538" s="1">
        <v>1</v>
      </c>
      <c r="R1538" s="1">
        <v>1</v>
      </c>
      <c r="S1538" s="1">
        <v>0</v>
      </c>
      <c r="T1538" s="1">
        <v>0</v>
      </c>
      <c r="U1538" s="1">
        <v>1</v>
      </c>
      <c r="V1538" s="1" t="s">
        <v>301</v>
      </c>
    </row>
    <row r="1539" spans="1:22">
      <c r="A1539" t="s">
        <v>187</v>
      </c>
      <c r="B1539" t="s">
        <v>57</v>
      </c>
      <c r="C1539" t="s">
        <v>65</v>
      </c>
      <c r="D1539" s="1">
        <v>0</v>
      </c>
      <c r="E1539" s="1">
        <v>0</v>
      </c>
      <c r="F1539" s="1">
        <v>0</v>
      </c>
      <c r="G1539" s="1">
        <v>0</v>
      </c>
      <c r="H1539" s="1">
        <v>0</v>
      </c>
      <c r="I1539" s="1">
        <v>0</v>
      </c>
      <c r="J1539" s="1">
        <v>0</v>
      </c>
      <c r="K1539" s="1">
        <v>0</v>
      </c>
      <c r="L1539" s="1">
        <v>0</v>
      </c>
      <c r="M1539" s="1">
        <v>0</v>
      </c>
      <c r="N1539" s="1">
        <v>0</v>
      </c>
      <c r="O1539" s="1">
        <v>0</v>
      </c>
      <c r="P1539" s="1">
        <v>0</v>
      </c>
      <c r="Q1539" s="1">
        <v>0</v>
      </c>
      <c r="R1539" s="1">
        <v>0</v>
      </c>
      <c r="S1539" s="1">
        <v>0</v>
      </c>
      <c r="T1539" s="1">
        <v>0</v>
      </c>
      <c r="U1539" s="1">
        <v>0</v>
      </c>
      <c r="V1539" s="1" t="s">
        <v>301</v>
      </c>
    </row>
    <row r="1540" spans="1:22">
      <c r="A1540" t="s">
        <v>188</v>
      </c>
      <c r="B1540" t="s">
        <v>57</v>
      </c>
      <c r="C1540" t="s">
        <v>58</v>
      </c>
      <c r="D1540" s="1">
        <v>0</v>
      </c>
      <c r="E1540" s="1">
        <v>0</v>
      </c>
      <c r="F1540" s="1">
        <v>0</v>
      </c>
      <c r="G1540" s="1">
        <v>0</v>
      </c>
      <c r="H1540" s="1">
        <v>0</v>
      </c>
      <c r="I1540" s="1">
        <v>0</v>
      </c>
      <c r="J1540" s="1">
        <v>0</v>
      </c>
      <c r="K1540" s="1">
        <v>0</v>
      </c>
      <c r="L1540" s="1">
        <v>0</v>
      </c>
      <c r="M1540" s="1">
        <v>0</v>
      </c>
      <c r="N1540" s="1">
        <v>0</v>
      </c>
      <c r="O1540" s="1">
        <v>0</v>
      </c>
      <c r="P1540" s="1">
        <v>0</v>
      </c>
      <c r="Q1540" s="1">
        <v>0</v>
      </c>
      <c r="R1540" s="1">
        <v>0</v>
      </c>
      <c r="S1540" s="1">
        <v>0</v>
      </c>
      <c r="T1540" s="1">
        <v>0</v>
      </c>
      <c r="U1540" s="1">
        <v>6</v>
      </c>
      <c r="V1540" s="1" t="s">
        <v>301</v>
      </c>
    </row>
    <row r="1541" spans="1:22">
      <c r="A1541" t="s">
        <v>188</v>
      </c>
      <c r="B1541" t="s">
        <v>57</v>
      </c>
      <c r="C1541" t="s">
        <v>59</v>
      </c>
      <c r="D1541" s="1">
        <v>0</v>
      </c>
      <c r="E1541" s="1">
        <v>0</v>
      </c>
      <c r="F1541" s="1">
        <v>0</v>
      </c>
      <c r="G1541" s="1">
        <v>0</v>
      </c>
      <c r="H1541" s="1">
        <v>0</v>
      </c>
      <c r="I1541" s="1">
        <v>0</v>
      </c>
      <c r="J1541" s="1">
        <v>0</v>
      </c>
      <c r="K1541" s="1">
        <v>0</v>
      </c>
      <c r="L1541" s="1">
        <v>0</v>
      </c>
      <c r="M1541" s="1">
        <v>0</v>
      </c>
      <c r="N1541" s="1">
        <v>0</v>
      </c>
      <c r="O1541" s="1">
        <v>0</v>
      </c>
      <c r="P1541" s="1">
        <v>0</v>
      </c>
      <c r="Q1541" s="1">
        <v>0</v>
      </c>
      <c r="R1541" s="1">
        <v>0</v>
      </c>
      <c r="S1541" s="1">
        <v>0</v>
      </c>
      <c r="T1541" s="1">
        <v>0</v>
      </c>
      <c r="U1541" s="1">
        <v>0</v>
      </c>
      <c r="V1541" s="1" t="s">
        <v>301</v>
      </c>
    </row>
    <row r="1542" spans="1:22">
      <c r="A1542" t="s">
        <v>188</v>
      </c>
      <c r="B1542" t="s">
        <v>57</v>
      </c>
      <c r="C1542" t="s">
        <v>60</v>
      </c>
      <c r="D1542" s="1">
        <v>0</v>
      </c>
      <c r="E1542" s="1">
        <v>0</v>
      </c>
      <c r="F1542" s="1">
        <v>0</v>
      </c>
      <c r="G1542" s="1">
        <v>0</v>
      </c>
      <c r="H1542" s="1">
        <v>0</v>
      </c>
      <c r="I1542" s="1">
        <v>0</v>
      </c>
      <c r="J1542" s="1">
        <v>0</v>
      </c>
      <c r="K1542" s="1">
        <v>0</v>
      </c>
      <c r="L1542" s="1">
        <v>0</v>
      </c>
      <c r="M1542" s="1">
        <v>0</v>
      </c>
      <c r="N1542" s="1">
        <v>0</v>
      </c>
      <c r="O1542" s="1">
        <v>0</v>
      </c>
      <c r="P1542" s="1">
        <v>0</v>
      </c>
      <c r="Q1542" s="1">
        <v>0</v>
      </c>
      <c r="R1542" s="1">
        <v>0</v>
      </c>
      <c r="S1542" s="1">
        <v>0</v>
      </c>
      <c r="T1542" s="1">
        <v>0</v>
      </c>
      <c r="U1542" s="1">
        <v>0</v>
      </c>
      <c r="V1542" s="1" t="s">
        <v>301</v>
      </c>
    </row>
    <row r="1543" spans="1:22">
      <c r="A1543" t="s">
        <v>188</v>
      </c>
      <c r="B1543" t="s">
        <v>57</v>
      </c>
      <c r="C1543" t="s">
        <v>61</v>
      </c>
      <c r="D1543" s="1">
        <v>0</v>
      </c>
      <c r="E1543" s="1">
        <v>0</v>
      </c>
      <c r="F1543" s="1">
        <v>0</v>
      </c>
      <c r="G1543" s="1">
        <v>0</v>
      </c>
      <c r="H1543" s="1">
        <v>0</v>
      </c>
      <c r="I1543" s="1">
        <v>0</v>
      </c>
      <c r="J1543" s="1">
        <v>0</v>
      </c>
      <c r="K1543" s="1">
        <v>0</v>
      </c>
      <c r="L1543" s="1">
        <v>0</v>
      </c>
      <c r="M1543" s="1">
        <v>0</v>
      </c>
      <c r="N1543" s="1">
        <v>0</v>
      </c>
      <c r="O1543" s="1">
        <v>0</v>
      </c>
      <c r="P1543" s="1">
        <v>0</v>
      </c>
      <c r="Q1543" s="1">
        <v>0</v>
      </c>
      <c r="R1543" s="1">
        <v>0</v>
      </c>
      <c r="S1543" s="1">
        <v>0</v>
      </c>
      <c r="T1543" s="1">
        <v>0</v>
      </c>
      <c r="U1543" s="1">
        <v>0</v>
      </c>
      <c r="V1543" s="1" t="s">
        <v>301</v>
      </c>
    </row>
    <row r="1544" spans="1:22">
      <c r="A1544" t="s">
        <v>188</v>
      </c>
      <c r="B1544" t="s">
        <v>57</v>
      </c>
      <c r="C1544" t="s">
        <v>62</v>
      </c>
      <c r="D1544" s="1">
        <v>0</v>
      </c>
      <c r="E1544" s="1">
        <v>0</v>
      </c>
      <c r="F1544" s="1">
        <v>0</v>
      </c>
      <c r="G1544" s="1">
        <v>0</v>
      </c>
      <c r="H1544" s="1">
        <v>0</v>
      </c>
      <c r="I1544" s="1">
        <v>0</v>
      </c>
      <c r="J1544" s="1">
        <v>0</v>
      </c>
      <c r="K1544" s="1">
        <v>0</v>
      </c>
      <c r="L1544" s="1">
        <v>0</v>
      </c>
      <c r="M1544" s="1">
        <v>0</v>
      </c>
      <c r="N1544" s="1">
        <v>0</v>
      </c>
      <c r="O1544" s="1">
        <v>0</v>
      </c>
      <c r="P1544" s="1">
        <v>0</v>
      </c>
      <c r="Q1544" s="1">
        <v>0</v>
      </c>
      <c r="R1544" s="1">
        <v>0</v>
      </c>
      <c r="S1544" s="1">
        <v>0</v>
      </c>
      <c r="T1544" s="1">
        <v>0</v>
      </c>
      <c r="U1544" s="1">
        <v>0</v>
      </c>
      <c r="V1544" s="1" t="s">
        <v>301</v>
      </c>
    </row>
    <row r="1545" spans="1:22">
      <c r="A1545" t="s">
        <v>188</v>
      </c>
      <c r="B1545" t="s">
        <v>57</v>
      </c>
      <c r="C1545" t="s">
        <v>63</v>
      </c>
      <c r="D1545" s="1">
        <v>0</v>
      </c>
      <c r="E1545" s="1">
        <v>0</v>
      </c>
      <c r="F1545" s="1">
        <v>0</v>
      </c>
      <c r="G1545" s="1">
        <v>0</v>
      </c>
      <c r="H1545" s="1">
        <v>0</v>
      </c>
      <c r="I1545" s="1">
        <v>0</v>
      </c>
      <c r="J1545" s="1">
        <v>0</v>
      </c>
      <c r="K1545" s="1">
        <v>0</v>
      </c>
      <c r="L1545" s="1">
        <v>0</v>
      </c>
      <c r="M1545" s="1">
        <v>0</v>
      </c>
      <c r="N1545" s="1">
        <v>0</v>
      </c>
      <c r="O1545" s="1">
        <v>0</v>
      </c>
      <c r="P1545" s="1">
        <v>0</v>
      </c>
      <c r="Q1545" s="1">
        <v>0</v>
      </c>
      <c r="R1545" s="1">
        <v>0</v>
      </c>
      <c r="S1545" s="1">
        <v>0</v>
      </c>
      <c r="T1545" s="1">
        <v>0</v>
      </c>
      <c r="U1545" s="1">
        <v>0</v>
      </c>
      <c r="V1545" s="1" t="s">
        <v>301</v>
      </c>
    </row>
    <row r="1546" spans="1:22">
      <c r="A1546" t="s">
        <v>188</v>
      </c>
      <c r="B1546" t="s">
        <v>57</v>
      </c>
      <c r="C1546" t="s">
        <v>64</v>
      </c>
      <c r="D1546" s="1">
        <v>0</v>
      </c>
      <c r="E1546" s="1">
        <v>0</v>
      </c>
      <c r="F1546" s="1">
        <v>0</v>
      </c>
      <c r="G1546" s="1">
        <v>0</v>
      </c>
      <c r="H1546" s="1">
        <v>0</v>
      </c>
      <c r="I1546" s="1">
        <v>0</v>
      </c>
      <c r="J1546" s="1">
        <v>0</v>
      </c>
      <c r="K1546" s="1">
        <v>0</v>
      </c>
      <c r="L1546" s="1">
        <v>0</v>
      </c>
      <c r="M1546" s="1">
        <v>0</v>
      </c>
      <c r="N1546" s="1">
        <v>0</v>
      </c>
      <c r="O1546" s="1">
        <v>0</v>
      </c>
      <c r="P1546" s="1">
        <v>0</v>
      </c>
      <c r="Q1546" s="1">
        <v>0</v>
      </c>
      <c r="R1546" s="1">
        <v>0</v>
      </c>
      <c r="S1546" s="1">
        <v>0</v>
      </c>
      <c r="T1546" s="1">
        <v>0</v>
      </c>
      <c r="U1546" s="1">
        <v>0</v>
      </c>
      <c r="V1546" s="1" t="s">
        <v>301</v>
      </c>
    </row>
    <row r="1547" spans="1:22">
      <c r="A1547" t="s">
        <v>188</v>
      </c>
      <c r="B1547" t="s">
        <v>57</v>
      </c>
      <c r="C1547" t="s">
        <v>65</v>
      </c>
      <c r="D1547" s="1">
        <v>0</v>
      </c>
      <c r="E1547" s="1">
        <v>0</v>
      </c>
      <c r="F1547" s="1">
        <v>0</v>
      </c>
      <c r="G1547" s="1">
        <v>0</v>
      </c>
      <c r="H1547" s="1">
        <v>0</v>
      </c>
      <c r="I1547" s="1">
        <v>0</v>
      </c>
      <c r="J1547" s="1">
        <v>0</v>
      </c>
      <c r="K1547" s="1">
        <v>0</v>
      </c>
      <c r="L1547" s="1">
        <v>0</v>
      </c>
      <c r="M1547" s="1">
        <v>0</v>
      </c>
      <c r="N1547" s="1">
        <v>0</v>
      </c>
      <c r="O1547" s="1">
        <v>0</v>
      </c>
      <c r="P1547" s="1">
        <v>0</v>
      </c>
      <c r="Q1547" s="1">
        <v>0</v>
      </c>
      <c r="R1547" s="1">
        <v>0</v>
      </c>
      <c r="S1547" s="1">
        <v>0</v>
      </c>
      <c r="T1547" s="1">
        <v>0</v>
      </c>
      <c r="U1547" s="1">
        <v>0</v>
      </c>
      <c r="V1547" s="1" t="s">
        <v>301</v>
      </c>
    </row>
    <row r="1548" spans="1:22">
      <c r="A1548" t="s">
        <v>66</v>
      </c>
      <c r="B1548" t="s">
        <v>57</v>
      </c>
      <c r="C1548" t="s">
        <v>58</v>
      </c>
      <c r="D1548" s="1">
        <v>0</v>
      </c>
      <c r="E1548" s="1">
        <v>0</v>
      </c>
      <c r="F1548" s="1">
        <v>0</v>
      </c>
      <c r="G1548" s="1">
        <v>0</v>
      </c>
      <c r="H1548" s="1">
        <v>0</v>
      </c>
      <c r="I1548" s="1">
        <v>0</v>
      </c>
      <c r="J1548" s="1">
        <v>0</v>
      </c>
      <c r="K1548" s="1">
        <v>0</v>
      </c>
      <c r="L1548" s="1">
        <v>0</v>
      </c>
      <c r="M1548" s="1">
        <v>0</v>
      </c>
      <c r="N1548" s="1">
        <v>0</v>
      </c>
      <c r="O1548" s="1">
        <v>0</v>
      </c>
      <c r="P1548" s="1">
        <v>0</v>
      </c>
      <c r="Q1548" s="1">
        <v>0</v>
      </c>
      <c r="R1548" s="1">
        <v>0</v>
      </c>
      <c r="S1548" s="1">
        <v>0</v>
      </c>
      <c r="T1548" s="1">
        <v>0</v>
      </c>
      <c r="U1548" s="1">
        <v>6</v>
      </c>
      <c r="V1548" s="1" t="s">
        <v>301</v>
      </c>
    </row>
    <row r="1549" spans="1:22">
      <c r="A1549" t="s">
        <v>66</v>
      </c>
      <c r="B1549" t="s">
        <v>57</v>
      </c>
      <c r="C1549" t="s">
        <v>59</v>
      </c>
      <c r="D1549" s="1">
        <v>0</v>
      </c>
      <c r="E1549" s="1">
        <v>0</v>
      </c>
      <c r="F1549" s="1">
        <v>1</v>
      </c>
      <c r="G1549" s="1">
        <v>0</v>
      </c>
      <c r="H1549" s="1">
        <v>0</v>
      </c>
      <c r="I1549" s="1">
        <v>0</v>
      </c>
      <c r="J1549" s="1">
        <v>0</v>
      </c>
      <c r="K1549" s="1">
        <v>0</v>
      </c>
      <c r="L1549" s="1">
        <v>1</v>
      </c>
      <c r="M1549" s="1">
        <v>0</v>
      </c>
      <c r="N1549" s="1">
        <v>1</v>
      </c>
      <c r="O1549" s="1">
        <v>0</v>
      </c>
      <c r="P1549" s="1">
        <v>0</v>
      </c>
      <c r="Q1549" s="1">
        <v>0</v>
      </c>
      <c r="R1549" s="1">
        <v>0</v>
      </c>
      <c r="S1549" s="1">
        <v>1</v>
      </c>
      <c r="T1549" s="1">
        <v>0</v>
      </c>
      <c r="U1549" s="1">
        <v>1</v>
      </c>
      <c r="V1549" s="1" t="s">
        <v>301</v>
      </c>
    </row>
    <row r="1550" spans="1:22">
      <c r="A1550" t="s">
        <v>66</v>
      </c>
      <c r="B1550" t="s">
        <v>57</v>
      </c>
      <c r="C1550" t="s">
        <v>60</v>
      </c>
      <c r="D1550" s="1">
        <v>0</v>
      </c>
      <c r="E1550" s="1">
        <v>0</v>
      </c>
      <c r="F1550" s="1">
        <v>0</v>
      </c>
      <c r="G1550" s="1">
        <v>0</v>
      </c>
      <c r="H1550" s="1">
        <v>0</v>
      </c>
      <c r="I1550" s="1">
        <v>0</v>
      </c>
      <c r="J1550" s="1">
        <v>0</v>
      </c>
      <c r="K1550" s="1">
        <v>0</v>
      </c>
      <c r="L1550" s="1">
        <v>0</v>
      </c>
      <c r="M1550" s="1">
        <v>0</v>
      </c>
      <c r="N1550" s="1">
        <v>0</v>
      </c>
      <c r="O1550" s="1">
        <v>0</v>
      </c>
      <c r="P1550" s="1">
        <v>0</v>
      </c>
      <c r="Q1550" s="1">
        <v>0</v>
      </c>
      <c r="R1550" s="1">
        <v>0</v>
      </c>
      <c r="S1550" s="1">
        <v>0</v>
      </c>
      <c r="T1550" s="1">
        <v>0</v>
      </c>
      <c r="U1550" s="1">
        <v>0</v>
      </c>
      <c r="V1550" s="1" t="s">
        <v>301</v>
      </c>
    </row>
    <row r="1551" spans="1:22">
      <c r="A1551" t="s">
        <v>66</v>
      </c>
      <c r="B1551" t="s">
        <v>57</v>
      </c>
      <c r="C1551" t="s">
        <v>61</v>
      </c>
      <c r="D1551" s="1">
        <v>0</v>
      </c>
      <c r="E1551" s="1">
        <v>0</v>
      </c>
      <c r="F1551" s="1">
        <v>0</v>
      </c>
      <c r="G1551" s="1">
        <v>0</v>
      </c>
      <c r="H1551" s="1">
        <v>0</v>
      </c>
      <c r="I1551" s="1">
        <v>0</v>
      </c>
      <c r="J1551" s="1">
        <v>0</v>
      </c>
      <c r="K1551" s="1">
        <v>0</v>
      </c>
      <c r="L1551" s="1">
        <v>0</v>
      </c>
      <c r="M1551" s="1">
        <v>0</v>
      </c>
      <c r="N1551" s="1">
        <v>0</v>
      </c>
      <c r="O1551" s="1">
        <v>0</v>
      </c>
      <c r="P1551" s="1">
        <v>0</v>
      </c>
      <c r="Q1551" s="1">
        <v>0</v>
      </c>
      <c r="R1551" s="1">
        <v>0</v>
      </c>
      <c r="S1551" s="1">
        <v>0</v>
      </c>
      <c r="T1551" s="1">
        <v>0</v>
      </c>
      <c r="U1551" s="1">
        <v>0</v>
      </c>
      <c r="V1551" s="1" t="s">
        <v>301</v>
      </c>
    </row>
    <row r="1552" spans="1:22">
      <c r="A1552" t="s">
        <v>66</v>
      </c>
      <c r="B1552" t="s">
        <v>57</v>
      </c>
      <c r="C1552" t="s">
        <v>62</v>
      </c>
      <c r="D1552" s="1">
        <v>0</v>
      </c>
      <c r="E1552" s="1">
        <v>0</v>
      </c>
      <c r="F1552" s="1">
        <v>0</v>
      </c>
      <c r="G1552" s="1">
        <v>0</v>
      </c>
      <c r="H1552" s="1">
        <v>0</v>
      </c>
      <c r="I1552" s="1">
        <v>0</v>
      </c>
      <c r="J1552" s="1">
        <v>0</v>
      </c>
      <c r="K1552" s="1">
        <v>0</v>
      </c>
      <c r="L1552" s="1">
        <v>0</v>
      </c>
      <c r="M1552" s="1">
        <v>0</v>
      </c>
      <c r="N1552" s="1">
        <v>0</v>
      </c>
      <c r="O1552" s="1">
        <v>0</v>
      </c>
      <c r="P1552" s="1">
        <v>0</v>
      </c>
      <c r="Q1552" s="1">
        <v>0</v>
      </c>
      <c r="R1552" s="1">
        <v>0</v>
      </c>
      <c r="S1552" s="1">
        <v>0</v>
      </c>
      <c r="T1552" s="1">
        <v>0</v>
      </c>
      <c r="U1552" s="1">
        <v>0</v>
      </c>
      <c r="V1552" s="1" t="s">
        <v>301</v>
      </c>
    </row>
    <row r="1553" spans="1:22">
      <c r="A1553" t="s">
        <v>66</v>
      </c>
      <c r="B1553" t="s">
        <v>57</v>
      </c>
      <c r="C1553" t="s">
        <v>63</v>
      </c>
      <c r="D1553" s="1">
        <v>0</v>
      </c>
      <c r="E1553" s="1">
        <v>0</v>
      </c>
      <c r="F1553" s="1">
        <v>0</v>
      </c>
      <c r="G1553" s="1">
        <v>0</v>
      </c>
      <c r="H1553" s="1">
        <v>0</v>
      </c>
      <c r="I1553" s="1">
        <v>0</v>
      </c>
      <c r="J1553" s="1">
        <v>0</v>
      </c>
      <c r="K1553" s="1">
        <v>0</v>
      </c>
      <c r="L1553" s="1">
        <v>0</v>
      </c>
      <c r="M1553" s="1">
        <v>0</v>
      </c>
      <c r="N1553" s="1">
        <v>0</v>
      </c>
      <c r="O1553" s="1">
        <v>0</v>
      </c>
      <c r="P1553" s="1">
        <v>0</v>
      </c>
      <c r="Q1553" s="1">
        <v>0</v>
      </c>
      <c r="R1553" s="1">
        <v>0</v>
      </c>
      <c r="S1553" s="1">
        <v>0</v>
      </c>
      <c r="T1553" s="1">
        <v>0</v>
      </c>
      <c r="U1553" s="1">
        <v>0</v>
      </c>
      <c r="V1553" s="1" t="s">
        <v>301</v>
      </c>
    </row>
    <row r="1554" spans="1:22">
      <c r="A1554" t="s">
        <v>66</v>
      </c>
      <c r="B1554" t="s">
        <v>57</v>
      </c>
      <c r="C1554" t="s">
        <v>64</v>
      </c>
      <c r="D1554" s="1">
        <v>0</v>
      </c>
      <c r="E1554" s="1">
        <v>0</v>
      </c>
      <c r="F1554" s="1">
        <v>1</v>
      </c>
      <c r="G1554" s="1">
        <v>0</v>
      </c>
      <c r="H1554" s="1">
        <v>0</v>
      </c>
      <c r="I1554" s="1">
        <v>0</v>
      </c>
      <c r="J1554" s="1">
        <v>0</v>
      </c>
      <c r="K1554" s="1">
        <v>0</v>
      </c>
      <c r="L1554" s="1">
        <v>1</v>
      </c>
      <c r="M1554" s="1">
        <v>0</v>
      </c>
      <c r="N1554" s="1">
        <v>1</v>
      </c>
      <c r="O1554" s="1">
        <v>0</v>
      </c>
      <c r="P1554" s="1">
        <v>0</v>
      </c>
      <c r="Q1554" s="1">
        <v>0</v>
      </c>
      <c r="R1554" s="1">
        <v>0</v>
      </c>
      <c r="S1554" s="1">
        <v>1</v>
      </c>
      <c r="T1554" s="1">
        <v>0</v>
      </c>
      <c r="U1554" s="1">
        <v>1</v>
      </c>
      <c r="V1554" s="1" t="s">
        <v>301</v>
      </c>
    </row>
    <row r="1555" spans="1:22">
      <c r="A1555" t="s">
        <v>66</v>
      </c>
      <c r="B1555" t="s">
        <v>57</v>
      </c>
      <c r="C1555" t="s">
        <v>65</v>
      </c>
      <c r="D1555" s="1">
        <v>0</v>
      </c>
      <c r="E1555" s="1">
        <v>0</v>
      </c>
      <c r="F1555" s="1">
        <v>0</v>
      </c>
      <c r="G1555" s="1">
        <v>0</v>
      </c>
      <c r="H1555" s="1">
        <v>0</v>
      </c>
      <c r="I1555" s="1">
        <v>0</v>
      </c>
      <c r="J1555" s="1">
        <v>0</v>
      </c>
      <c r="K1555" s="1">
        <v>0</v>
      </c>
      <c r="L1555" s="1">
        <v>0</v>
      </c>
      <c r="M1555" s="1">
        <v>0</v>
      </c>
      <c r="N1555" s="1">
        <v>0</v>
      </c>
      <c r="O1555" s="1">
        <v>0</v>
      </c>
      <c r="P1555" s="1">
        <v>0</v>
      </c>
      <c r="Q1555" s="1">
        <v>0</v>
      </c>
      <c r="R1555" s="1">
        <v>0</v>
      </c>
      <c r="S1555" s="1">
        <v>0</v>
      </c>
      <c r="T1555" s="1">
        <v>0</v>
      </c>
      <c r="U1555" s="1">
        <v>0</v>
      </c>
      <c r="V1555" s="1" t="s">
        <v>301</v>
      </c>
    </row>
    <row r="1556" spans="1:22">
      <c r="A1556" t="s">
        <v>189</v>
      </c>
      <c r="B1556" t="s">
        <v>57</v>
      </c>
      <c r="C1556" t="s">
        <v>58</v>
      </c>
      <c r="D1556" s="1">
        <v>0</v>
      </c>
      <c r="E1556" s="1">
        <v>0</v>
      </c>
      <c r="F1556" s="1">
        <v>0</v>
      </c>
      <c r="G1556" s="1">
        <v>0</v>
      </c>
      <c r="H1556" s="1">
        <v>0</v>
      </c>
      <c r="I1556" s="1">
        <v>0</v>
      </c>
      <c r="J1556" s="1">
        <v>0</v>
      </c>
      <c r="K1556" s="1">
        <v>0</v>
      </c>
      <c r="L1556" s="1">
        <v>0</v>
      </c>
      <c r="M1556" s="1">
        <v>0</v>
      </c>
      <c r="N1556" s="1">
        <v>0</v>
      </c>
      <c r="O1556" s="1">
        <v>0</v>
      </c>
      <c r="P1556" s="1">
        <v>0</v>
      </c>
      <c r="Q1556" s="1">
        <v>0</v>
      </c>
      <c r="R1556" s="1">
        <v>0</v>
      </c>
      <c r="S1556" s="1">
        <v>0</v>
      </c>
      <c r="T1556" s="1">
        <v>0</v>
      </c>
      <c r="U1556" s="1">
        <v>6</v>
      </c>
      <c r="V1556" s="1" t="s">
        <v>301</v>
      </c>
    </row>
    <row r="1557" spans="1:22">
      <c r="A1557" t="s">
        <v>189</v>
      </c>
      <c r="B1557" t="s">
        <v>57</v>
      </c>
      <c r="C1557" t="s">
        <v>59</v>
      </c>
      <c r="D1557" s="1">
        <v>0</v>
      </c>
      <c r="E1557" s="1">
        <v>0</v>
      </c>
      <c r="F1557" s="1">
        <v>0</v>
      </c>
      <c r="G1557" s="1">
        <v>0</v>
      </c>
      <c r="H1557" s="1">
        <v>0</v>
      </c>
      <c r="I1557" s="1">
        <v>0</v>
      </c>
      <c r="J1557" s="1">
        <v>0</v>
      </c>
      <c r="K1557" s="1">
        <v>0</v>
      </c>
      <c r="L1557" s="1">
        <v>0</v>
      </c>
      <c r="M1557" s="1">
        <v>0</v>
      </c>
      <c r="N1557" s="1">
        <v>0</v>
      </c>
      <c r="O1557" s="1">
        <v>0</v>
      </c>
      <c r="P1557" s="1">
        <v>0</v>
      </c>
      <c r="Q1557" s="1">
        <v>0</v>
      </c>
      <c r="R1557" s="1">
        <v>0</v>
      </c>
      <c r="S1557" s="1">
        <v>0</v>
      </c>
      <c r="T1557" s="1">
        <v>0</v>
      </c>
      <c r="U1557" s="1">
        <v>0</v>
      </c>
      <c r="V1557" s="1" t="s">
        <v>301</v>
      </c>
    </row>
    <row r="1558" spans="1:22">
      <c r="A1558" t="s">
        <v>189</v>
      </c>
      <c r="B1558" t="s">
        <v>57</v>
      </c>
      <c r="C1558" t="s">
        <v>60</v>
      </c>
      <c r="D1558" s="1">
        <v>0</v>
      </c>
      <c r="E1558" s="1">
        <v>0</v>
      </c>
      <c r="F1558" s="1">
        <v>0</v>
      </c>
      <c r="G1558" s="1">
        <v>0</v>
      </c>
      <c r="H1558" s="1">
        <v>0</v>
      </c>
      <c r="I1558" s="1">
        <v>0</v>
      </c>
      <c r="J1558" s="1">
        <v>0</v>
      </c>
      <c r="K1558" s="1">
        <v>0</v>
      </c>
      <c r="L1558" s="1">
        <v>0</v>
      </c>
      <c r="M1558" s="1">
        <v>0</v>
      </c>
      <c r="N1558" s="1">
        <v>0</v>
      </c>
      <c r="O1558" s="1">
        <v>0</v>
      </c>
      <c r="P1558" s="1">
        <v>0</v>
      </c>
      <c r="Q1558" s="1">
        <v>0</v>
      </c>
      <c r="R1558" s="1">
        <v>0</v>
      </c>
      <c r="S1558" s="1">
        <v>0</v>
      </c>
      <c r="T1558" s="1">
        <v>0</v>
      </c>
      <c r="U1558" s="1">
        <v>0</v>
      </c>
      <c r="V1558" s="1" t="s">
        <v>301</v>
      </c>
    </row>
    <row r="1559" spans="1:22">
      <c r="A1559" t="s">
        <v>189</v>
      </c>
      <c r="B1559" t="s">
        <v>57</v>
      </c>
      <c r="C1559" t="s">
        <v>61</v>
      </c>
      <c r="D1559" s="1">
        <v>0</v>
      </c>
      <c r="E1559" s="1">
        <v>0</v>
      </c>
      <c r="F1559" s="1">
        <v>0</v>
      </c>
      <c r="G1559" s="1">
        <v>0</v>
      </c>
      <c r="H1559" s="1">
        <v>0</v>
      </c>
      <c r="I1559" s="1">
        <v>0</v>
      </c>
      <c r="J1559" s="1">
        <v>0</v>
      </c>
      <c r="K1559" s="1">
        <v>0</v>
      </c>
      <c r="L1559" s="1">
        <v>0</v>
      </c>
      <c r="M1559" s="1">
        <v>0</v>
      </c>
      <c r="N1559" s="1">
        <v>0</v>
      </c>
      <c r="O1559" s="1">
        <v>0</v>
      </c>
      <c r="P1559" s="1">
        <v>0</v>
      </c>
      <c r="Q1559" s="1">
        <v>0</v>
      </c>
      <c r="R1559" s="1">
        <v>0</v>
      </c>
      <c r="S1559" s="1">
        <v>0</v>
      </c>
      <c r="T1559" s="1">
        <v>0</v>
      </c>
      <c r="U1559" s="1">
        <v>0</v>
      </c>
      <c r="V1559" s="1" t="s">
        <v>301</v>
      </c>
    </row>
    <row r="1560" spans="1:22">
      <c r="A1560" t="s">
        <v>189</v>
      </c>
      <c r="B1560" t="s">
        <v>57</v>
      </c>
      <c r="C1560" t="s">
        <v>62</v>
      </c>
      <c r="D1560" s="1">
        <v>0</v>
      </c>
      <c r="E1560" s="1">
        <v>0</v>
      </c>
      <c r="F1560" s="1">
        <v>0</v>
      </c>
      <c r="G1560" s="1">
        <v>0</v>
      </c>
      <c r="H1560" s="1">
        <v>0</v>
      </c>
      <c r="I1560" s="1">
        <v>0</v>
      </c>
      <c r="J1560" s="1">
        <v>0</v>
      </c>
      <c r="K1560" s="1">
        <v>0</v>
      </c>
      <c r="L1560" s="1">
        <v>0</v>
      </c>
      <c r="M1560" s="1">
        <v>0</v>
      </c>
      <c r="N1560" s="1">
        <v>0</v>
      </c>
      <c r="O1560" s="1">
        <v>0</v>
      </c>
      <c r="P1560" s="1">
        <v>0</v>
      </c>
      <c r="Q1560" s="1">
        <v>0</v>
      </c>
      <c r="R1560" s="1">
        <v>0</v>
      </c>
      <c r="S1560" s="1">
        <v>0</v>
      </c>
      <c r="T1560" s="1">
        <v>0</v>
      </c>
      <c r="U1560" s="1">
        <v>0</v>
      </c>
      <c r="V1560" s="1" t="s">
        <v>301</v>
      </c>
    </row>
    <row r="1561" spans="1:22">
      <c r="A1561" t="s">
        <v>189</v>
      </c>
      <c r="B1561" t="s">
        <v>57</v>
      </c>
      <c r="C1561" t="s">
        <v>63</v>
      </c>
      <c r="D1561" s="1">
        <v>0</v>
      </c>
      <c r="E1561" s="1">
        <v>0</v>
      </c>
      <c r="F1561" s="1">
        <v>0</v>
      </c>
      <c r="G1561" s="1">
        <v>0</v>
      </c>
      <c r="H1561" s="1">
        <v>0</v>
      </c>
      <c r="I1561" s="1">
        <v>0</v>
      </c>
      <c r="J1561" s="1">
        <v>0</v>
      </c>
      <c r="K1561" s="1">
        <v>0</v>
      </c>
      <c r="L1561" s="1">
        <v>0</v>
      </c>
      <c r="M1561" s="1">
        <v>0</v>
      </c>
      <c r="N1561" s="1">
        <v>0</v>
      </c>
      <c r="O1561" s="1">
        <v>0</v>
      </c>
      <c r="P1561" s="1">
        <v>0</v>
      </c>
      <c r="Q1561" s="1">
        <v>0</v>
      </c>
      <c r="R1561" s="1">
        <v>0</v>
      </c>
      <c r="S1561" s="1">
        <v>0</v>
      </c>
      <c r="T1561" s="1">
        <v>0</v>
      </c>
      <c r="U1561" s="1">
        <v>0</v>
      </c>
      <c r="V1561" s="1" t="s">
        <v>301</v>
      </c>
    </row>
    <row r="1562" spans="1:22">
      <c r="A1562" t="s">
        <v>189</v>
      </c>
      <c r="B1562" t="s">
        <v>57</v>
      </c>
      <c r="C1562" t="s">
        <v>64</v>
      </c>
      <c r="D1562" s="1">
        <v>0</v>
      </c>
      <c r="E1562" s="1">
        <v>0</v>
      </c>
      <c r="F1562" s="1">
        <v>0</v>
      </c>
      <c r="G1562" s="1">
        <v>0</v>
      </c>
      <c r="H1562" s="1">
        <v>0</v>
      </c>
      <c r="I1562" s="1">
        <v>0</v>
      </c>
      <c r="J1562" s="1">
        <v>0</v>
      </c>
      <c r="K1562" s="1">
        <v>0</v>
      </c>
      <c r="L1562" s="1">
        <v>0</v>
      </c>
      <c r="M1562" s="1">
        <v>0</v>
      </c>
      <c r="N1562" s="1">
        <v>0</v>
      </c>
      <c r="O1562" s="1">
        <v>0</v>
      </c>
      <c r="P1562" s="1">
        <v>0</v>
      </c>
      <c r="Q1562" s="1">
        <v>0</v>
      </c>
      <c r="R1562" s="1">
        <v>0</v>
      </c>
      <c r="S1562" s="1">
        <v>0</v>
      </c>
      <c r="T1562" s="1">
        <v>0</v>
      </c>
      <c r="U1562" s="1">
        <v>0</v>
      </c>
      <c r="V1562" s="1" t="s">
        <v>301</v>
      </c>
    </row>
    <row r="1563" spans="1:22">
      <c r="A1563" t="s">
        <v>189</v>
      </c>
      <c r="B1563" t="s">
        <v>57</v>
      </c>
      <c r="C1563" t="s">
        <v>65</v>
      </c>
      <c r="D1563" s="1">
        <v>0</v>
      </c>
      <c r="E1563" s="1">
        <v>0</v>
      </c>
      <c r="F1563" s="1">
        <v>0</v>
      </c>
      <c r="G1563" s="1">
        <v>0</v>
      </c>
      <c r="H1563" s="1">
        <v>0</v>
      </c>
      <c r="I1563" s="1">
        <v>0</v>
      </c>
      <c r="J1563" s="1">
        <v>0</v>
      </c>
      <c r="K1563" s="1">
        <v>0</v>
      </c>
      <c r="L1563" s="1">
        <v>0</v>
      </c>
      <c r="M1563" s="1">
        <v>0</v>
      </c>
      <c r="N1563" s="1">
        <v>0</v>
      </c>
      <c r="O1563" s="1">
        <v>0</v>
      </c>
      <c r="P1563" s="1">
        <v>0</v>
      </c>
      <c r="Q1563" s="1">
        <v>0</v>
      </c>
      <c r="R1563" s="1">
        <v>0</v>
      </c>
      <c r="S1563" s="1">
        <v>0</v>
      </c>
      <c r="T1563" s="1">
        <v>0</v>
      </c>
      <c r="U1563" s="1">
        <v>0</v>
      </c>
      <c r="V1563" s="1" t="s">
        <v>301</v>
      </c>
    </row>
    <row r="1564" spans="1:22">
      <c r="A1564" t="s">
        <v>190</v>
      </c>
      <c r="B1564" t="s">
        <v>57</v>
      </c>
      <c r="C1564" t="s">
        <v>58</v>
      </c>
      <c r="D1564" s="1">
        <v>0</v>
      </c>
      <c r="E1564" s="1">
        <v>0</v>
      </c>
      <c r="F1564" s="1">
        <v>0</v>
      </c>
      <c r="G1564" s="1">
        <v>0</v>
      </c>
      <c r="H1564" s="1">
        <v>0</v>
      </c>
      <c r="I1564" s="1">
        <v>0</v>
      </c>
      <c r="J1564" s="1">
        <v>0</v>
      </c>
      <c r="K1564" s="1">
        <v>0</v>
      </c>
      <c r="L1564" s="1">
        <v>0</v>
      </c>
      <c r="M1564" s="1">
        <v>0</v>
      </c>
      <c r="N1564" s="1">
        <v>0</v>
      </c>
      <c r="O1564" s="1">
        <v>0</v>
      </c>
      <c r="P1564" s="1">
        <v>0</v>
      </c>
      <c r="Q1564" s="1">
        <v>0</v>
      </c>
      <c r="R1564" s="1">
        <v>0</v>
      </c>
      <c r="S1564" s="1">
        <v>0</v>
      </c>
      <c r="T1564" s="1">
        <v>0</v>
      </c>
      <c r="U1564" s="1">
        <v>6</v>
      </c>
      <c r="V1564" s="1" t="s">
        <v>301</v>
      </c>
    </row>
    <row r="1565" spans="1:22">
      <c r="A1565" t="s">
        <v>190</v>
      </c>
      <c r="B1565" t="s">
        <v>57</v>
      </c>
      <c r="C1565" t="s">
        <v>59</v>
      </c>
      <c r="D1565" s="1">
        <v>0</v>
      </c>
      <c r="E1565" s="1">
        <v>0</v>
      </c>
      <c r="F1565" s="1">
        <v>0</v>
      </c>
      <c r="G1565" s="1">
        <v>0</v>
      </c>
      <c r="H1565" s="1">
        <v>0</v>
      </c>
      <c r="I1565" s="1">
        <v>0</v>
      </c>
      <c r="J1565" s="1">
        <v>0</v>
      </c>
      <c r="K1565" s="1">
        <v>0</v>
      </c>
      <c r="L1565" s="1">
        <v>0</v>
      </c>
      <c r="M1565" s="1">
        <v>0</v>
      </c>
      <c r="N1565" s="1">
        <v>0</v>
      </c>
      <c r="O1565" s="1">
        <v>0</v>
      </c>
      <c r="P1565" s="1">
        <v>0</v>
      </c>
      <c r="Q1565" s="1">
        <v>0</v>
      </c>
      <c r="R1565" s="1">
        <v>0</v>
      </c>
      <c r="S1565" s="1">
        <v>0</v>
      </c>
      <c r="T1565" s="1">
        <v>0</v>
      </c>
      <c r="U1565" s="1">
        <v>0</v>
      </c>
      <c r="V1565" s="1" t="s">
        <v>301</v>
      </c>
    </row>
    <row r="1566" spans="1:22">
      <c r="A1566" t="s">
        <v>190</v>
      </c>
      <c r="B1566" t="s">
        <v>57</v>
      </c>
      <c r="C1566" t="s">
        <v>60</v>
      </c>
      <c r="D1566" s="1">
        <v>0</v>
      </c>
      <c r="E1566" s="1">
        <v>0</v>
      </c>
      <c r="F1566" s="1">
        <v>0</v>
      </c>
      <c r="G1566" s="1">
        <v>0</v>
      </c>
      <c r="H1566" s="1">
        <v>0</v>
      </c>
      <c r="I1566" s="1">
        <v>0</v>
      </c>
      <c r="J1566" s="1">
        <v>0</v>
      </c>
      <c r="K1566" s="1">
        <v>0</v>
      </c>
      <c r="L1566" s="1">
        <v>0</v>
      </c>
      <c r="M1566" s="1">
        <v>0</v>
      </c>
      <c r="N1566" s="1">
        <v>0</v>
      </c>
      <c r="O1566" s="1">
        <v>0</v>
      </c>
      <c r="P1566" s="1">
        <v>0</v>
      </c>
      <c r="Q1566" s="1">
        <v>0</v>
      </c>
      <c r="R1566" s="1">
        <v>0</v>
      </c>
      <c r="S1566" s="1">
        <v>0</v>
      </c>
      <c r="T1566" s="1">
        <v>0</v>
      </c>
      <c r="U1566" s="1">
        <v>0</v>
      </c>
      <c r="V1566" s="1" t="s">
        <v>301</v>
      </c>
    </row>
    <row r="1567" spans="1:22">
      <c r="A1567" t="s">
        <v>190</v>
      </c>
      <c r="B1567" t="s">
        <v>57</v>
      </c>
      <c r="C1567" t="s">
        <v>61</v>
      </c>
      <c r="D1567" s="1">
        <v>0</v>
      </c>
      <c r="E1567" s="1">
        <v>0</v>
      </c>
      <c r="F1567" s="1">
        <v>0</v>
      </c>
      <c r="G1567" s="1">
        <v>0</v>
      </c>
      <c r="H1567" s="1">
        <v>0</v>
      </c>
      <c r="I1567" s="1">
        <v>0</v>
      </c>
      <c r="J1567" s="1">
        <v>0</v>
      </c>
      <c r="K1567" s="1">
        <v>0</v>
      </c>
      <c r="L1567" s="1">
        <v>0</v>
      </c>
      <c r="M1567" s="1">
        <v>0</v>
      </c>
      <c r="N1567" s="1">
        <v>0</v>
      </c>
      <c r="O1567" s="1">
        <v>0</v>
      </c>
      <c r="P1567" s="1">
        <v>0</v>
      </c>
      <c r="Q1567" s="1">
        <v>0</v>
      </c>
      <c r="R1567" s="1">
        <v>0</v>
      </c>
      <c r="S1567" s="1">
        <v>0</v>
      </c>
      <c r="T1567" s="1">
        <v>0</v>
      </c>
      <c r="U1567" s="1">
        <v>0</v>
      </c>
      <c r="V1567" s="1" t="s">
        <v>301</v>
      </c>
    </row>
    <row r="1568" spans="1:22">
      <c r="A1568" t="s">
        <v>190</v>
      </c>
      <c r="B1568" t="s">
        <v>57</v>
      </c>
      <c r="C1568" t="s">
        <v>62</v>
      </c>
      <c r="D1568" s="1">
        <v>0</v>
      </c>
      <c r="E1568" s="1">
        <v>0</v>
      </c>
      <c r="F1568" s="1">
        <v>0</v>
      </c>
      <c r="G1568" s="1">
        <v>0</v>
      </c>
      <c r="H1568" s="1">
        <v>0</v>
      </c>
      <c r="I1568" s="1">
        <v>0</v>
      </c>
      <c r="J1568" s="1">
        <v>0</v>
      </c>
      <c r="K1568" s="1">
        <v>0</v>
      </c>
      <c r="L1568" s="1">
        <v>0</v>
      </c>
      <c r="M1568" s="1">
        <v>0</v>
      </c>
      <c r="N1568" s="1">
        <v>0</v>
      </c>
      <c r="O1568" s="1">
        <v>0</v>
      </c>
      <c r="P1568" s="1">
        <v>0</v>
      </c>
      <c r="Q1568" s="1">
        <v>0</v>
      </c>
      <c r="R1568" s="1">
        <v>0</v>
      </c>
      <c r="S1568" s="1">
        <v>0</v>
      </c>
      <c r="T1568" s="1">
        <v>0</v>
      </c>
      <c r="U1568" s="1">
        <v>0</v>
      </c>
      <c r="V1568" s="1" t="s">
        <v>301</v>
      </c>
    </row>
    <row r="1569" spans="1:22">
      <c r="A1569" t="s">
        <v>190</v>
      </c>
      <c r="B1569" t="s">
        <v>57</v>
      </c>
      <c r="C1569" t="s">
        <v>63</v>
      </c>
      <c r="D1569" s="1">
        <v>0</v>
      </c>
      <c r="E1569" s="1">
        <v>0</v>
      </c>
      <c r="F1569" s="1">
        <v>0</v>
      </c>
      <c r="G1569" s="1">
        <v>0</v>
      </c>
      <c r="H1569" s="1">
        <v>0</v>
      </c>
      <c r="I1569" s="1">
        <v>0</v>
      </c>
      <c r="J1569" s="1">
        <v>0</v>
      </c>
      <c r="K1569" s="1">
        <v>0</v>
      </c>
      <c r="L1569" s="1">
        <v>0</v>
      </c>
      <c r="M1569" s="1">
        <v>0</v>
      </c>
      <c r="N1569" s="1">
        <v>0</v>
      </c>
      <c r="O1569" s="1">
        <v>0</v>
      </c>
      <c r="P1569" s="1">
        <v>0</v>
      </c>
      <c r="Q1569" s="1">
        <v>0</v>
      </c>
      <c r="R1569" s="1">
        <v>0</v>
      </c>
      <c r="S1569" s="1">
        <v>0</v>
      </c>
      <c r="T1569" s="1">
        <v>0</v>
      </c>
      <c r="U1569" s="1">
        <v>0</v>
      </c>
      <c r="V1569" s="1" t="s">
        <v>301</v>
      </c>
    </row>
    <row r="1570" spans="1:22">
      <c r="A1570" t="s">
        <v>190</v>
      </c>
      <c r="B1570" t="s">
        <v>57</v>
      </c>
      <c r="C1570" t="s">
        <v>64</v>
      </c>
      <c r="D1570" s="1">
        <v>0</v>
      </c>
      <c r="E1570" s="1">
        <v>0</v>
      </c>
      <c r="F1570" s="1">
        <v>0</v>
      </c>
      <c r="G1570" s="1">
        <v>0</v>
      </c>
      <c r="H1570" s="1">
        <v>0</v>
      </c>
      <c r="I1570" s="1">
        <v>0</v>
      </c>
      <c r="J1570" s="1">
        <v>0</v>
      </c>
      <c r="K1570" s="1">
        <v>0</v>
      </c>
      <c r="L1570" s="1">
        <v>0</v>
      </c>
      <c r="M1570" s="1">
        <v>0</v>
      </c>
      <c r="N1570" s="1">
        <v>0</v>
      </c>
      <c r="O1570" s="1">
        <v>0</v>
      </c>
      <c r="P1570" s="1">
        <v>0</v>
      </c>
      <c r="Q1570" s="1">
        <v>0</v>
      </c>
      <c r="R1570" s="1">
        <v>0</v>
      </c>
      <c r="S1570" s="1">
        <v>0</v>
      </c>
      <c r="T1570" s="1">
        <v>0</v>
      </c>
      <c r="U1570" s="1">
        <v>0</v>
      </c>
      <c r="V1570" s="1" t="s">
        <v>301</v>
      </c>
    </row>
    <row r="1571" spans="1:22">
      <c r="A1571" t="s">
        <v>190</v>
      </c>
      <c r="B1571" t="s">
        <v>57</v>
      </c>
      <c r="C1571" t="s">
        <v>65</v>
      </c>
      <c r="D1571" s="1">
        <v>0</v>
      </c>
      <c r="E1571" s="1">
        <v>0</v>
      </c>
      <c r="F1571" s="1">
        <v>0</v>
      </c>
      <c r="G1571" s="1">
        <v>0</v>
      </c>
      <c r="H1571" s="1">
        <v>0</v>
      </c>
      <c r="I1571" s="1">
        <v>0</v>
      </c>
      <c r="J1571" s="1">
        <v>0</v>
      </c>
      <c r="K1571" s="1">
        <v>0</v>
      </c>
      <c r="L1571" s="1">
        <v>0</v>
      </c>
      <c r="M1571" s="1">
        <v>0</v>
      </c>
      <c r="N1571" s="1">
        <v>0</v>
      </c>
      <c r="O1571" s="1">
        <v>0</v>
      </c>
      <c r="P1571" s="1">
        <v>0</v>
      </c>
      <c r="Q1571" s="1">
        <v>0</v>
      </c>
      <c r="R1571" s="1">
        <v>0</v>
      </c>
      <c r="S1571" s="1">
        <v>0</v>
      </c>
      <c r="T1571" s="1">
        <v>0</v>
      </c>
      <c r="U1571" s="1">
        <v>0</v>
      </c>
      <c r="V1571" s="1" t="s">
        <v>301</v>
      </c>
    </row>
    <row r="1572" spans="1:22">
      <c r="A1572" t="s">
        <v>191</v>
      </c>
      <c r="B1572" t="s">
        <v>57</v>
      </c>
      <c r="C1572" t="s">
        <v>58</v>
      </c>
      <c r="D1572" s="1">
        <v>0</v>
      </c>
      <c r="E1572" s="1">
        <v>0</v>
      </c>
      <c r="F1572" s="1">
        <v>0</v>
      </c>
      <c r="G1572" s="1">
        <v>0</v>
      </c>
      <c r="H1572" s="1">
        <v>0</v>
      </c>
      <c r="I1572" s="1">
        <v>0</v>
      </c>
      <c r="J1572" s="1">
        <v>0</v>
      </c>
      <c r="K1572" s="1">
        <v>0</v>
      </c>
      <c r="L1572" s="1">
        <v>0</v>
      </c>
      <c r="M1572" s="1">
        <v>0</v>
      </c>
      <c r="N1572" s="1">
        <v>0</v>
      </c>
      <c r="O1572" s="1">
        <v>0</v>
      </c>
      <c r="P1572" s="1">
        <v>0</v>
      </c>
      <c r="Q1572" s="1">
        <v>0</v>
      </c>
      <c r="R1572" s="1">
        <v>0</v>
      </c>
      <c r="S1572" s="1">
        <v>0</v>
      </c>
      <c r="T1572" s="1">
        <v>0</v>
      </c>
      <c r="U1572" s="1">
        <v>6</v>
      </c>
      <c r="V1572" s="1" t="s">
        <v>301</v>
      </c>
    </row>
    <row r="1573" spans="1:22">
      <c r="A1573" t="s">
        <v>191</v>
      </c>
      <c r="B1573" t="s">
        <v>57</v>
      </c>
      <c r="C1573" t="s">
        <v>59</v>
      </c>
      <c r="D1573" s="1">
        <v>0</v>
      </c>
      <c r="E1573" s="1">
        <v>1</v>
      </c>
      <c r="F1573" s="1">
        <v>0</v>
      </c>
      <c r="G1573" s="1">
        <v>0</v>
      </c>
      <c r="H1573" s="1">
        <v>0</v>
      </c>
      <c r="I1573" s="1">
        <v>0</v>
      </c>
      <c r="J1573" s="1">
        <v>1</v>
      </c>
      <c r="K1573" s="1">
        <v>0</v>
      </c>
      <c r="L1573" s="1">
        <v>0</v>
      </c>
      <c r="M1573" s="1">
        <v>0</v>
      </c>
      <c r="N1573" s="1">
        <v>0</v>
      </c>
      <c r="O1573" s="1">
        <v>1</v>
      </c>
      <c r="P1573" s="1">
        <v>0</v>
      </c>
      <c r="Q1573" s="1">
        <v>0</v>
      </c>
      <c r="R1573" s="1">
        <v>0</v>
      </c>
      <c r="S1573" s="1">
        <v>1</v>
      </c>
      <c r="T1573" s="1">
        <v>0</v>
      </c>
      <c r="U1573" s="1">
        <v>1</v>
      </c>
      <c r="V1573" s="1" t="s">
        <v>301</v>
      </c>
    </row>
    <row r="1574" spans="1:22">
      <c r="A1574" t="s">
        <v>191</v>
      </c>
      <c r="B1574" t="s">
        <v>57</v>
      </c>
      <c r="C1574" t="s">
        <v>60</v>
      </c>
      <c r="D1574" s="1">
        <v>0</v>
      </c>
      <c r="E1574" s="1">
        <v>0</v>
      </c>
      <c r="F1574" s="1">
        <v>0</v>
      </c>
      <c r="G1574" s="1">
        <v>0</v>
      </c>
      <c r="H1574" s="1">
        <v>0</v>
      </c>
      <c r="I1574" s="1">
        <v>0</v>
      </c>
      <c r="J1574" s="1">
        <v>0</v>
      </c>
      <c r="K1574" s="1">
        <v>0</v>
      </c>
      <c r="L1574" s="1">
        <v>0</v>
      </c>
      <c r="M1574" s="1">
        <v>0</v>
      </c>
      <c r="N1574" s="1">
        <v>0</v>
      </c>
      <c r="O1574" s="1">
        <v>0</v>
      </c>
      <c r="P1574" s="1">
        <v>0</v>
      </c>
      <c r="Q1574" s="1">
        <v>0</v>
      </c>
      <c r="R1574" s="1">
        <v>0</v>
      </c>
      <c r="S1574" s="1">
        <v>0</v>
      </c>
      <c r="T1574" s="1">
        <v>0</v>
      </c>
      <c r="U1574" s="1">
        <v>0</v>
      </c>
      <c r="V1574" s="1" t="s">
        <v>301</v>
      </c>
    </row>
    <row r="1575" spans="1:22">
      <c r="A1575" t="s">
        <v>191</v>
      </c>
      <c r="B1575" t="s">
        <v>57</v>
      </c>
      <c r="C1575" t="s">
        <v>61</v>
      </c>
      <c r="D1575" s="1">
        <v>0</v>
      </c>
      <c r="E1575" s="1">
        <v>0</v>
      </c>
      <c r="F1575" s="1">
        <v>0</v>
      </c>
      <c r="G1575" s="1">
        <v>0</v>
      </c>
      <c r="H1575" s="1">
        <v>0</v>
      </c>
      <c r="I1575" s="1">
        <v>0</v>
      </c>
      <c r="J1575" s="1">
        <v>0</v>
      </c>
      <c r="K1575" s="1">
        <v>0</v>
      </c>
      <c r="L1575" s="1">
        <v>0</v>
      </c>
      <c r="M1575" s="1">
        <v>0</v>
      </c>
      <c r="N1575" s="1">
        <v>0</v>
      </c>
      <c r="O1575" s="1">
        <v>0</v>
      </c>
      <c r="P1575" s="1">
        <v>0</v>
      </c>
      <c r="Q1575" s="1">
        <v>0</v>
      </c>
      <c r="R1575" s="1">
        <v>0</v>
      </c>
      <c r="S1575" s="1">
        <v>0</v>
      </c>
      <c r="T1575" s="1">
        <v>0</v>
      </c>
      <c r="U1575" s="1">
        <v>0</v>
      </c>
      <c r="V1575" s="1" t="s">
        <v>301</v>
      </c>
    </row>
    <row r="1576" spans="1:22">
      <c r="A1576" t="s">
        <v>191</v>
      </c>
      <c r="B1576" t="s">
        <v>57</v>
      </c>
      <c r="C1576" t="s">
        <v>62</v>
      </c>
      <c r="D1576" s="1">
        <v>0</v>
      </c>
      <c r="E1576" s="1">
        <v>0</v>
      </c>
      <c r="F1576" s="1">
        <v>0</v>
      </c>
      <c r="G1576" s="1">
        <v>0</v>
      </c>
      <c r="H1576" s="1">
        <v>0</v>
      </c>
      <c r="I1576" s="1">
        <v>0</v>
      </c>
      <c r="J1576" s="1">
        <v>0</v>
      </c>
      <c r="K1576" s="1">
        <v>0</v>
      </c>
      <c r="L1576" s="1">
        <v>0</v>
      </c>
      <c r="M1576" s="1">
        <v>0</v>
      </c>
      <c r="N1576" s="1">
        <v>0</v>
      </c>
      <c r="O1576" s="1">
        <v>0</v>
      </c>
      <c r="P1576" s="1">
        <v>0</v>
      </c>
      <c r="Q1576" s="1">
        <v>0</v>
      </c>
      <c r="R1576" s="1">
        <v>0</v>
      </c>
      <c r="S1576" s="1">
        <v>0</v>
      </c>
      <c r="T1576" s="1">
        <v>0</v>
      </c>
      <c r="U1576" s="1">
        <v>0</v>
      </c>
      <c r="V1576" s="1" t="s">
        <v>301</v>
      </c>
    </row>
    <row r="1577" spans="1:22">
      <c r="A1577" t="s">
        <v>191</v>
      </c>
      <c r="B1577" t="s">
        <v>57</v>
      </c>
      <c r="C1577" t="s">
        <v>63</v>
      </c>
      <c r="D1577" s="1">
        <v>0</v>
      </c>
      <c r="E1577" s="1">
        <v>0</v>
      </c>
      <c r="F1577" s="1">
        <v>0</v>
      </c>
      <c r="G1577" s="1">
        <v>0</v>
      </c>
      <c r="H1577" s="1">
        <v>0</v>
      </c>
      <c r="I1577" s="1">
        <v>0</v>
      </c>
      <c r="J1577" s="1">
        <v>0</v>
      </c>
      <c r="K1577" s="1">
        <v>0</v>
      </c>
      <c r="L1577" s="1">
        <v>0</v>
      </c>
      <c r="M1577" s="1">
        <v>0</v>
      </c>
      <c r="N1577" s="1">
        <v>0</v>
      </c>
      <c r="O1577" s="1">
        <v>0</v>
      </c>
      <c r="P1577" s="1">
        <v>0</v>
      </c>
      <c r="Q1577" s="1">
        <v>0</v>
      </c>
      <c r="R1577" s="1">
        <v>0</v>
      </c>
      <c r="S1577" s="1">
        <v>0</v>
      </c>
      <c r="T1577" s="1">
        <v>0</v>
      </c>
      <c r="U1577" s="1">
        <v>0</v>
      </c>
      <c r="V1577" s="1" t="s">
        <v>301</v>
      </c>
    </row>
    <row r="1578" spans="1:22">
      <c r="A1578" t="s">
        <v>191</v>
      </c>
      <c r="B1578" t="s">
        <v>57</v>
      </c>
      <c r="C1578" t="s">
        <v>64</v>
      </c>
      <c r="D1578" s="1">
        <v>0</v>
      </c>
      <c r="E1578" s="1">
        <v>1</v>
      </c>
      <c r="F1578" s="1">
        <v>0</v>
      </c>
      <c r="G1578" s="1">
        <v>0</v>
      </c>
      <c r="H1578" s="1">
        <v>0</v>
      </c>
      <c r="I1578" s="1">
        <v>0</v>
      </c>
      <c r="J1578" s="1">
        <v>1</v>
      </c>
      <c r="K1578" s="1">
        <v>0</v>
      </c>
      <c r="L1578" s="1">
        <v>0</v>
      </c>
      <c r="M1578" s="1">
        <v>0</v>
      </c>
      <c r="N1578" s="1">
        <v>0</v>
      </c>
      <c r="O1578" s="1">
        <v>1</v>
      </c>
      <c r="P1578" s="1">
        <v>0</v>
      </c>
      <c r="Q1578" s="1">
        <v>0</v>
      </c>
      <c r="R1578" s="1">
        <v>0</v>
      </c>
      <c r="S1578" s="1">
        <v>1</v>
      </c>
      <c r="T1578" s="1">
        <v>0</v>
      </c>
      <c r="U1578" s="1">
        <v>1</v>
      </c>
      <c r="V1578" s="1" t="s">
        <v>301</v>
      </c>
    </row>
    <row r="1579" spans="1:22">
      <c r="A1579" t="s">
        <v>191</v>
      </c>
      <c r="B1579" t="s">
        <v>57</v>
      </c>
      <c r="C1579" t="s">
        <v>65</v>
      </c>
      <c r="D1579" s="1">
        <v>0</v>
      </c>
      <c r="E1579" s="1">
        <v>0</v>
      </c>
      <c r="F1579" s="1">
        <v>0</v>
      </c>
      <c r="G1579" s="1">
        <v>0</v>
      </c>
      <c r="H1579" s="1">
        <v>0</v>
      </c>
      <c r="I1579" s="1">
        <v>0</v>
      </c>
      <c r="J1579" s="1">
        <v>0</v>
      </c>
      <c r="K1579" s="1">
        <v>0</v>
      </c>
      <c r="L1579" s="1">
        <v>0</v>
      </c>
      <c r="M1579" s="1">
        <v>0</v>
      </c>
      <c r="N1579" s="1">
        <v>0</v>
      </c>
      <c r="O1579" s="1">
        <v>0</v>
      </c>
      <c r="P1579" s="1">
        <v>0</v>
      </c>
      <c r="Q1579" s="1">
        <v>0</v>
      </c>
      <c r="R1579" s="1">
        <v>0</v>
      </c>
      <c r="S1579" s="1">
        <v>0</v>
      </c>
      <c r="T1579" s="1">
        <v>0</v>
      </c>
      <c r="U1579" s="1">
        <v>0</v>
      </c>
      <c r="V1579" s="1" t="s">
        <v>301</v>
      </c>
    </row>
    <row r="1580" spans="1:22">
      <c r="A1580" t="s">
        <v>192</v>
      </c>
      <c r="B1580" t="s">
        <v>57</v>
      </c>
      <c r="C1580" t="s">
        <v>58</v>
      </c>
      <c r="D1580" s="1">
        <v>0</v>
      </c>
      <c r="E1580" s="1">
        <v>0</v>
      </c>
      <c r="F1580" s="1">
        <v>0</v>
      </c>
      <c r="G1580" s="1">
        <v>0</v>
      </c>
      <c r="H1580" s="1">
        <v>0</v>
      </c>
      <c r="I1580" s="1">
        <v>0</v>
      </c>
      <c r="J1580" s="1">
        <v>0</v>
      </c>
      <c r="K1580" s="1">
        <v>0</v>
      </c>
      <c r="L1580" s="1">
        <v>0</v>
      </c>
      <c r="M1580" s="1">
        <v>0</v>
      </c>
      <c r="N1580" s="1">
        <v>0</v>
      </c>
      <c r="O1580" s="1">
        <v>0</v>
      </c>
      <c r="P1580" s="1">
        <v>0</v>
      </c>
      <c r="Q1580" s="1">
        <v>0</v>
      </c>
      <c r="R1580" s="1">
        <v>0</v>
      </c>
      <c r="S1580" s="1">
        <v>0</v>
      </c>
      <c r="T1580" s="1">
        <v>0</v>
      </c>
      <c r="U1580" s="1">
        <v>6</v>
      </c>
      <c r="V1580" s="1" t="s">
        <v>301</v>
      </c>
    </row>
    <row r="1581" spans="1:22">
      <c r="A1581" t="s">
        <v>192</v>
      </c>
      <c r="B1581" t="s">
        <v>57</v>
      </c>
      <c r="C1581" t="s">
        <v>59</v>
      </c>
      <c r="D1581" s="1">
        <v>0</v>
      </c>
      <c r="E1581" s="1">
        <v>0</v>
      </c>
      <c r="F1581" s="1">
        <v>0</v>
      </c>
      <c r="G1581" s="1">
        <v>0</v>
      </c>
      <c r="H1581" s="1">
        <v>0</v>
      </c>
      <c r="I1581" s="1">
        <v>0</v>
      </c>
      <c r="J1581" s="1">
        <v>0</v>
      </c>
      <c r="K1581" s="1">
        <v>0</v>
      </c>
      <c r="L1581" s="1">
        <v>0</v>
      </c>
      <c r="M1581" s="1">
        <v>0</v>
      </c>
      <c r="N1581" s="1">
        <v>0</v>
      </c>
      <c r="O1581" s="1">
        <v>0</v>
      </c>
      <c r="P1581" s="1">
        <v>0</v>
      </c>
      <c r="Q1581" s="1">
        <v>0</v>
      </c>
      <c r="R1581" s="1">
        <v>0</v>
      </c>
      <c r="S1581" s="1">
        <v>0</v>
      </c>
      <c r="T1581" s="1">
        <v>0</v>
      </c>
      <c r="U1581" s="1">
        <v>0</v>
      </c>
      <c r="V1581" s="1" t="s">
        <v>301</v>
      </c>
    </row>
    <row r="1582" spans="1:22">
      <c r="A1582" t="s">
        <v>192</v>
      </c>
      <c r="B1582" t="s">
        <v>57</v>
      </c>
      <c r="C1582" t="s">
        <v>60</v>
      </c>
      <c r="D1582" s="1">
        <v>0</v>
      </c>
      <c r="E1582" s="1">
        <v>0</v>
      </c>
      <c r="F1582" s="1">
        <v>0</v>
      </c>
      <c r="G1582" s="1">
        <v>0</v>
      </c>
      <c r="H1582" s="1">
        <v>0</v>
      </c>
      <c r="I1582" s="1">
        <v>0</v>
      </c>
      <c r="J1582" s="1">
        <v>0</v>
      </c>
      <c r="K1582" s="1">
        <v>0</v>
      </c>
      <c r="L1582" s="1">
        <v>0</v>
      </c>
      <c r="M1582" s="1">
        <v>0</v>
      </c>
      <c r="N1582" s="1">
        <v>0</v>
      </c>
      <c r="O1582" s="1">
        <v>0</v>
      </c>
      <c r="P1582" s="1">
        <v>0</v>
      </c>
      <c r="Q1582" s="1">
        <v>0</v>
      </c>
      <c r="R1582" s="1">
        <v>0</v>
      </c>
      <c r="S1582" s="1">
        <v>0</v>
      </c>
      <c r="T1582" s="1">
        <v>0</v>
      </c>
      <c r="U1582" s="1">
        <v>0</v>
      </c>
      <c r="V1582" s="1" t="s">
        <v>301</v>
      </c>
    </row>
    <row r="1583" spans="1:22">
      <c r="A1583" t="s">
        <v>192</v>
      </c>
      <c r="B1583" t="s">
        <v>57</v>
      </c>
      <c r="C1583" t="s">
        <v>61</v>
      </c>
      <c r="D1583" s="1">
        <v>0</v>
      </c>
      <c r="E1583" s="1">
        <v>0</v>
      </c>
      <c r="F1583" s="1">
        <v>0</v>
      </c>
      <c r="G1583" s="1">
        <v>0</v>
      </c>
      <c r="H1583" s="1">
        <v>0</v>
      </c>
      <c r="I1583" s="1">
        <v>0</v>
      </c>
      <c r="J1583" s="1">
        <v>0</v>
      </c>
      <c r="K1583" s="1">
        <v>0</v>
      </c>
      <c r="L1583" s="1">
        <v>0</v>
      </c>
      <c r="M1583" s="1">
        <v>0</v>
      </c>
      <c r="N1583" s="1">
        <v>0</v>
      </c>
      <c r="O1583" s="1">
        <v>0</v>
      </c>
      <c r="P1583" s="1">
        <v>0</v>
      </c>
      <c r="Q1583" s="1">
        <v>0</v>
      </c>
      <c r="R1583" s="1">
        <v>0</v>
      </c>
      <c r="S1583" s="1">
        <v>0</v>
      </c>
      <c r="T1583" s="1">
        <v>0</v>
      </c>
      <c r="U1583" s="1">
        <v>0</v>
      </c>
      <c r="V1583" s="1" t="s">
        <v>301</v>
      </c>
    </row>
    <row r="1584" spans="1:22">
      <c r="A1584" t="s">
        <v>192</v>
      </c>
      <c r="B1584" t="s">
        <v>57</v>
      </c>
      <c r="C1584" t="s">
        <v>62</v>
      </c>
      <c r="D1584" s="1">
        <v>0</v>
      </c>
      <c r="E1584" s="1">
        <v>0</v>
      </c>
      <c r="F1584" s="1">
        <v>0</v>
      </c>
      <c r="G1584" s="1">
        <v>0</v>
      </c>
      <c r="H1584" s="1">
        <v>0</v>
      </c>
      <c r="I1584" s="1">
        <v>0</v>
      </c>
      <c r="J1584" s="1">
        <v>0</v>
      </c>
      <c r="K1584" s="1">
        <v>0</v>
      </c>
      <c r="L1584" s="1">
        <v>0</v>
      </c>
      <c r="M1584" s="1">
        <v>0</v>
      </c>
      <c r="N1584" s="1">
        <v>0</v>
      </c>
      <c r="O1584" s="1">
        <v>0</v>
      </c>
      <c r="P1584" s="1">
        <v>0</v>
      </c>
      <c r="Q1584" s="1">
        <v>0</v>
      </c>
      <c r="R1584" s="1">
        <v>0</v>
      </c>
      <c r="S1584" s="1">
        <v>0</v>
      </c>
      <c r="T1584" s="1">
        <v>0</v>
      </c>
      <c r="U1584" s="1">
        <v>0</v>
      </c>
      <c r="V1584" s="1" t="s">
        <v>301</v>
      </c>
    </row>
    <row r="1585" spans="1:22">
      <c r="A1585" t="s">
        <v>192</v>
      </c>
      <c r="B1585" t="s">
        <v>57</v>
      </c>
      <c r="C1585" t="s">
        <v>63</v>
      </c>
      <c r="D1585" s="1">
        <v>0</v>
      </c>
      <c r="E1585" s="1">
        <v>0</v>
      </c>
      <c r="F1585" s="1">
        <v>0</v>
      </c>
      <c r="G1585" s="1">
        <v>0</v>
      </c>
      <c r="H1585" s="1">
        <v>0</v>
      </c>
      <c r="I1585" s="1">
        <v>0</v>
      </c>
      <c r="J1585" s="1">
        <v>0</v>
      </c>
      <c r="K1585" s="1">
        <v>0</v>
      </c>
      <c r="L1585" s="1">
        <v>0</v>
      </c>
      <c r="M1585" s="1">
        <v>0</v>
      </c>
      <c r="N1585" s="1">
        <v>0</v>
      </c>
      <c r="O1585" s="1">
        <v>0</v>
      </c>
      <c r="P1585" s="1">
        <v>0</v>
      </c>
      <c r="Q1585" s="1">
        <v>0</v>
      </c>
      <c r="R1585" s="1">
        <v>0</v>
      </c>
      <c r="S1585" s="1">
        <v>0</v>
      </c>
      <c r="T1585" s="1">
        <v>0</v>
      </c>
      <c r="U1585" s="1">
        <v>0</v>
      </c>
      <c r="V1585" s="1" t="s">
        <v>301</v>
      </c>
    </row>
    <row r="1586" spans="1:22">
      <c r="A1586" t="s">
        <v>192</v>
      </c>
      <c r="B1586" t="s">
        <v>57</v>
      </c>
      <c r="C1586" t="s">
        <v>64</v>
      </c>
      <c r="D1586" s="1">
        <v>0</v>
      </c>
      <c r="E1586" s="1">
        <v>0</v>
      </c>
      <c r="F1586" s="1">
        <v>0</v>
      </c>
      <c r="G1586" s="1">
        <v>0</v>
      </c>
      <c r="H1586" s="1">
        <v>0</v>
      </c>
      <c r="I1586" s="1">
        <v>0</v>
      </c>
      <c r="J1586" s="1">
        <v>0</v>
      </c>
      <c r="K1586" s="1">
        <v>0</v>
      </c>
      <c r="L1586" s="1">
        <v>0</v>
      </c>
      <c r="M1586" s="1">
        <v>0</v>
      </c>
      <c r="N1586" s="1">
        <v>0</v>
      </c>
      <c r="O1586" s="1">
        <v>0</v>
      </c>
      <c r="P1586" s="1">
        <v>0</v>
      </c>
      <c r="Q1586" s="1">
        <v>0</v>
      </c>
      <c r="R1586" s="1">
        <v>0</v>
      </c>
      <c r="S1586" s="1">
        <v>0</v>
      </c>
      <c r="T1586" s="1">
        <v>0</v>
      </c>
      <c r="U1586" s="1">
        <v>0</v>
      </c>
      <c r="V1586" s="1" t="s">
        <v>301</v>
      </c>
    </row>
    <row r="1587" spans="1:22">
      <c r="A1587" t="s">
        <v>192</v>
      </c>
      <c r="B1587" t="s">
        <v>57</v>
      </c>
      <c r="C1587" t="s">
        <v>65</v>
      </c>
      <c r="D1587" s="1">
        <v>0</v>
      </c>
      <c r="E1587" s="1">
        <v>0</v>
      </c>
      <c r="F1587" s="1">
        <v>0</v>
      </c>
      <c r="G1587" s="1">
        <v>0</v>
      </c>
      <c r="H1587" s="1">
        <v>0</v>
      </c>
      <c r="I1587" s="1">
        <v>0</v>
      </c>
      <c r="J1587" s="1">
        <v>0</v>
      </c>
      <c r="K1587" s="1">
        <v>0</v>
      </c>
      <c r="L1587" s="1">
        <v>0</v>
      </c>
      <c r="M1587" s="1">
        <v>0</v>
      </c>
      <c r="N1587" s="1">
        <v>0</v>
      </c>
      <c r="O1587" s="1">
        <v>0</v>
      </c>
      <c r="P1587" s="1">
        <v>0</v>
      </c>
      <c r="Q1587" s="1">
        <v>0</v>
      </c>
      <c r="R1587" s="1">
        <v>0</v>
      </c>
      <c r="S1587" s="1">
        <v>0</v>
      </c>
      <c r="T1587" s="1">
        <v>0</v>
      </c>
      <c r="U1587" s="1">
        <v>0</v>
      </c>
      <c r="V1587" s="1" t="s">
        <v>301</v>
      </c>
    </row>
    <row r="1588" spans="1:22">
      <c r="A1588" t="s">
        <v>193</v>
      </c>
      <c r="B1588" t="s">
        <v>57</v>
      </c>
      <c r="C1588" t="s">
        <v>58</v>
      </c>
      <c r="D1588" s="1">
        <v>0</v>
      </c>
      <c r="E1588" s="1">
        <v>0</v>
      </c>
      <c r="F1588" s="1">
        <v>0</v>
      </c>
      <c r="G1588" s="1">
        <v>0</v>
      </c>
      <c r="H1588" s="1">
        <v>0</v>
      </c>
      <c r="I1588" s="1">
        <v>0</v>
      </c>
      <c r="J1588" s="1">
        <v>0</v>
      </c>
      <c r="K1588" s="1">
        <v>0</v>
      </c>
      <c r="L1588" s="1">
        <v>0</v>
      </c>
      <c r="M1588" s="1">
        <v>0</v>
      </c>
      <c r="N1588" s="1">
        <v>0</v>
      </c>
      <c r="O1588" s="1">
        <v>0</v>
      </c>
      <c r="P1588" s="1">
        <v>0</v>
      </c>
      <c r="Q1588" s="1">
        <v>0</v>
      </c>
      <c r="R1588" s="1">
        <v>0</v>
      </c>
      <c r="S1588" s="1">
        <v>0</v>
      </c>
      <c r="T1588" s="1">
        <v>0</v>
      </c>
      <c r="U1588" s="1">
        <v>6</v>
      </c>
      <c r="V1588" s="1" t="s">
        <v>301</v>
      </c>
    </row>
    <row r="1589" spans="1:22">
      <c r="A1589" t="s">
        <v>193</v>
      </c>
      <c r="B1589" t="s">
        <v>57</v>
      </c>
      <c r="C1589" t="s">
        <v>59</v>
      </c>
      <c r="D1589" s="1">
        <v>0</v>
      </c>
      <c r="E1589" s="1">
        <v>0</v>
      </c>
      <c r="F1589" s="1">
        <v>0</v>
      </c>
      <c r="G1589" s="1">
        <v>0</v>
      </c>
      <c r="H1589" s="1">
        <v>0</v>
      </c>
      <c r="I1589" s="1">
        <v>0</v>
      </c>
      <c r="J1589" s="1">
        <v>0</v>
      </c>
      <c r="K1589" s="1">
        <v>0</v>
      </c>
      <c r="L1589" s="1">
        <v>0</v>
      </c>
      <c r="M1589" s="1">
        <v>0</v>
      </c>
      <c r="N1589" s="1">
        <v>0</v>
      </c>
      <c r="O1589" s="1">
        <v>0</v>
      </c>
      <c r="P1589" s="1">
        <v>0</v>
      </c>
      <c r="Q1589" s="1">
        <v>0</v>
      </c>
      <c r="R1589" s="1">
        <v>0</v>
      </c>
      <c r="S1589" s="1">
        <v>0</v>
      </c>
      <c r="T1589" s="1">
        <v>0</v>
      </c>
      <c r="U1589" s="1">
        <v>0</v>
      </c>
      <c r="V1589" s="1" t="s">
        <v>301</v>
      </c>
    </row>
    <row r="1590" spans="1:22">
      <c r="A1590" t="s">
        <v>193</v>
      </c>
      <c r="B1590" t="s">
        <v>57</v>
      </c>
      <c r="C1590" t="s">
        <v>60</v>
      </c>
      <c r="D1590" s="1">
        <v>0</v>
      </c>
      <c r="E1590" s="1">
        <v>0</v>
      </c>
      <c r="F1590" s="1">
        <v>0</v>
      </c>
      <c r="G1590" s="1">
        <v>0</v>
      </c>
      <c r="H1590" s="1">
        <v>0</v>
      </c>
      <c r="I1590" s="1">
        <v>0</v>
      </c>
      <c r="J1590" s="1">
        <v>0</v>
      </c>
      <c r="K1590" s="1">
        <v>0</v>
      </c>
      <c r="L1590" s="1">
        <v>0</v>
      </c>
      <c r="M1590" s="1">
        <v>0</v>
      </c>
      <c r="N1590" s="1">
        <v>0</v>
      </c>
      <c r="O1590" s="1">
        <v>0</v>
      </c>
      <c r="P1590" s="1">
        <v>0</v>
      </c>
      <c r="Q1590" s="1">
        <v>0</v>
      </c>
      <c r="R1590" s="1">
        <v>0</v>
      </c>
      <c r="S1590" s="1">
        <v>0</v>
      </c>
      <c r="T1590" s="1">
        <v>0</v>
      </c>
      <c r="U1590" s="1">
        <v>0</v>
      </c>
      <c r="V1590" s="1" t="s">
        <v>301</v>
      </c>
    </row>
    <row r="1591" spans="1:22">
      <c r="A1591" t="s">
        <v>193</v>
      </c>
      <c r="B1591" t="s">
        <v>57</v>
      </c>
      <c r="C1591" t="s">
        <v>61</v>
      </c>
      <c r="D1591" s="1">
        <v>0</v>
      </c>
      <c r="E1591" s="1">
        <v>0</v>
      </c>
      <c r="F1591" s="1">
        <v>0</v>
      </c>
      <c r="G1591" s="1">
        <v>0</v>
      </c>
      <c r="H1591" s="1">
        <v>0</v>
      </c>
      <c r="I1591" s="1">
        <v>0</v>
      </c>
      <c r="J1591" s="1">
        <v>0</v>
      </c>
      <c r="K1591" s="1">
        <v>0</v>
      </c>
      <c r="L1591" s="1">
        <v>0</v>
      </c>
      <c r="M1591" s="1">
        <v>0</v>
      </c>
      <c r="N1591" s="1">
        <v>0</v>
      </c>
      <c r="O1591" s="1">
        <v>0</v>
      </c>
      <c r="P1591" s="1">
        <v>0</v>
      </c>
      <c r="Q1591" s="1">
        <v>0</v>
      </c>
      <c r="R1591" s="1">
        <v>0</v>
      </c>
      <c r="S1591" s="1">
        <v>0</v>
      </c>
      <c r="T1591" s="1">
        <v>0</v>
      </c>
      <c r="U1591" s="1">
        <v>0</v>
      </c>
      <c r="V1591" s="1" t="s">
        <v>301</v>
      </c>
    </row>
    <row r="1592" spans="1:22">
      <c r="A1592" t="s">
        <v>193</v>
      </c>
      <c r="B1592" t="s">
        <v>57</v>
      </c>
      <c r="C1592" t="s">
        <v>62</v>
      </c>
      <c r="D1592" s="1">
        <v>0</v>
      </c>
      <c r="E1592" s="1">
        <v>0</v>
      </c>
      <c r="F1592" s="1">
        <v>0</v>
      </c>
      <c r="G1592" s="1">
        <v>0</v>
      </c>
      <c r="H1592" s="1">
        <v>0</v>
      </c>
      <c r="I1592" s="1">
        <v>0</v>
      </c>
      <c r="J1592" s="1">
        <v>0</v>
      </c>
      <c r="K1592" s="1">
        <v>0</v>
      </c>
      <c r="L1592" s="1">
        <v>0</v>
      </c>
      <c r="M1592" s="1">
        <v>0</v>
      </c>
      <c r="N1592" s="1">
        <v>0</v>
      </c>
      <c r="O1592" s="1">
        <v>0</v>
      </c>
      <c r="P1592" s="1">
        <v>0</v>
      </c>
      <c r="Q1592" s="1">
        <v>0</v>
      </c>
      <c r="R1592" s="1">
        <v>0</v>
      </c>
      <c r="S1592" s="1">
        <v>0</v>
      </c>
      <c r="T1592" s="1">
        <v>0</v>
      </c>
      <c r="U1592" s="1">
        <v>0</v>
      </c>
      <c r="V1592" s="1" t="s">
        <v>301</v>
      </c>
    </row>
    <row r="1593" spans="1:22">
      <c r="A1593" t="s">
        <v>193</v>
      </c>
      <c r="B1593" t="s">
        <v>57</v>
      </c>
      <c r="C1593" t="s">
        <v>63</v>
      </c>
      <c r="D1593" s="1">
        <v>0</v>
      </c>
      <c r="E1593" s="1">
        <v>0</v>
      </c>
      <c r="F1593" s="1">
        <v>0</v>
      </c>
      <c r="G1593" s="1">
        <v>0</v>
      </c>
      <c r="H1593" s="1">
        <v>0</v>
      </c>
      <c r="I1593" s="1">
        <v>0</v>
      </c>
      <c r="J1593" s="1">
        <v>0</v>
      </c>
      <c r="K1593" s="1">
        <v>0</v>
      </c>
      <c r="L1593" s="1">
        <v>0</v>
      </c>
      <c r="M1593" s="1">
        <v>0</v>
      </c>
      <c r="N1593" s="1">
        <v>0</v>
      </c>
      <c r="O1593" s="1">
        <v>0</v>
      </c>
      <c r="P1593" s="1">
        <v>0</v>
      </c>
      <c r="Q1593" s="1">
        <v>0</v>
      </c>
      <c r="R1593" s="1">
        <v>0</v>
      </c>
      <c r="S1593" s="1">
        <v>0</v>
      </c>
      <c r="T1593" s="1">
        <v>0</v>
      </c>
      <c r="U1593" s="1">
        <v>0</v>
      </c>
      <c r="V1593" s="1" t="s">
        <v>301</v>
      </c>
    </row>
    <row r="1594" spans="1:22">
      <c r="A1594" t="s">
        <v>193</v>
      </c>
      <c r="B1594" t="s">
        <v>57</v>
      </c>
      <c r="C1594" t="s">
        <v>64</v>
      </c>
      <c r="D1594" s="1">
        <v>0</v>
      </c>
      <c r="E1594" s="1">
        <v>0</v>
      </c>
      <c r="F1594" s="1">
        <v>0</v>
      </c>
      <c r="G1594" s="1">
        <v>0</v>
      </c>
      <c r="H1594" s="1">
        <v>0</v>
      </c>
      <c r="I1594" s="1">
        <v>0</v>
      </c>
      <c r="J1594" s="1">
        <v>0</v>
      </c>
      <c r="K1594" s="1">
        <v>0</v>
      </c>
      <c r="L1594" s="1">
        <v>0</v>
      </c>
      <c r="M1594" s="1">
        <v>0</v>
      </c>
      <c r="N1594" s="1">
        <v>0</v>
      </c>
      <c r="O1594" s="1">
        <v>0</v>
      </c>
      <c r="P1594" s="1">
        <v>0</v>
      </c>
      <c r="Q1594" s="1">
        <v>0</v>
      </c>
      <c r="R1594" s="1">
        <v>0</v>
      </c>
      <c r="S1594" s="1">
        <v>0</v>
      </c>
      <c r="T1594" s="1">
        <v>0</v>
      </c>
      <c r="U1594" s="1">
        <v>0</v>
      </c>
      <c r="V1594" s="1" t="s">
        <v>301</v>
      </c>
    </row>
    <row r="1595" spans="1:22">
      <c r="A1595" t="s">
        <v>193</v>
      </c>
      <c r="B1595" t="s">
        <v>57</v>
      </c>
      <c r="C1595" t="s">
        <v>65</v>
      </c>
      <c r="D1595" s="1">
        <v>0</v>
      </c>
      <c r="E1595" s="1">
        <v>0</v>
      </c>
      <c r="F1595" s="1">
        <v>0</v>
      </c>
      <c r="G1595" s="1">
        <v>0</v>
      </c>
      <c r="H1595" s="1">
        <v>0</v>
      </c>
      <c r="I1595" s="1">
        <v>0</v>
      </c>
      <c r="J1595" s="1">
        <v>0</v>
      </c>
      <c r="K1595" s="1">
        <v>0</v>
      </c>
      <c r="L1595" s="1">
        <v>0</v>
      </c>
      <c r="M1595" s="1">
        <v>0</v>
      </c>
      <c r="N1595" s="1">
        <v>0</v>
      </c>
      <c r="O1595" s="1">
        <v>0</v>
      </c>
      <c r="P1595" s="1">
        <v>0</v>
      </c>
      <c r="Q1595" s="1">
        <v>0</v>
      </c>
      <c r="R1595" s="1">
        <v>0</v>
      </c>
      <c r="S1595" s="1">
        <v>0</v>
      </c>
      <c r="T1595" s="1">
        <v>0</v>
      </c>
      <c r="U1595" s="1">
        <v>0</v>
      </c>
      <c r="V1595" s="1" t="s">
        <v>301</v>
      </c>
    </row>
    <row r="1596" spans="1:22">
      <c r="A1596" t="s">
        <v>194</v>
      </c>
      <c r="B1596" t="s">
        <v>57</v>
      </c>
      <c r="C1596" t="s">
        <v>58</v>
      </c>
      <c r="D1596" s="1">
        <v>0</v>
      </c>
      <c r="E1596" s="1">
        <v>0</v>
      </c>
      <c r="F1596" s="1">
        <v>0</v>
      </c>
      <c r="G1596" s="1">
        <v>0</v>
      </c>
      <c r="H1596" s="1">
        <v>0</v>
      </c>
      <c r="I1596" s="1">
        <v>0</v>
      </c>
      <c r="J1596" s="1">
        <v>0</v>
      </c>
      <c r="K1596" s="1">
        <v>0</v>
      </c>
      <c r="L1596" s="1">
        <v>0</v>
      </c>
      <c r="M1596" s="1">
        <v>0</v>
      </c>
      <c r="N1596" s="1">
        <v>0</v>
      </c>
      <c r="O1596" s="1">
        <v>0</v>
      </c>
      <c r="P1596" s="1">
        <v>0</v>
      </c>
      <c r="Q1596" s="1">
        <v>0</v>
      </c>
      <c r="R1596" s="1">
        <v>0</v>
      </c>
      <c r="S1596" s="1">
        <v>0</v>
      </c>
      <c r="T1596" s="1">
        <v>0</v>
      </c>
      <c r="U1596" s="1">
        <v>6</v>
      </c>
      <c r="V1596" s="1" t="s">
        <v>301</v>
      </c>
    </row>
    <row r="1597" spans="1:22">
      <c r="A1597" t="s">
        <v>194</v>
      </c>
      <c r="B1597" t="s">
        <v>57</v>
      </c>
      <c r="C1597" t="s">
        <v>59</v>
      </c>
      <c r="D1597" s="1">
        <v>0</v>
      </c>
      <c r="E1597" s="1">
        <v>0</v>
      </c>
      <c r="F1597" s="1">
        <v>0</v>
      </c>
      <c r="G1597" s="1">
        <v>0</v>
      </c>
      <c r="H1597" s="1">
        <v>0</v>
      </c>
      <c r="I1597" s="1">
        <v>0</v>
      </c>
      <c r="J1597" s="1">
        <v>0</v>
      </c>
      <c r="K1597" s="1">
        <v>0</v>
      </c>
      <c r="L1597" s="1">
        <v>0</v>
      </c>
      <c r="M1597" s="1">
        <v>0</v>
      </c>
      <c r="N1597" s="1">
        <v>0</v>
      </c>
      <c r="O1597" s="1">
        <v>0</v>
      </c>
      <c r="P1597" s="1">
        <v>0</v>
      </c>
      <c r="Q1597" s="1">
        <v>0</v>
      </c>
      <c r="R1597" s="1">
        <v>0</v>
      </c>
      <c r="S1597" s="1">
        <v>0</v>
      </c>
      <c r="T1597" s="1">
        <v>0</v>
      </c>
      <c r="U1597" s="1">
        <v>0</v>
      </c>
      <c r="V1597" s="1" t="s">
        <v>301</v>
      </c>
    </row>
    <row r="1598" spans="1:22">
      <c r="A1598" t="s">
        <v>194</v>
      </c>
      <c r="B1598" t="s">
        <v>57</v>
      </c>
      <c r="C1598" t="s">
        <v>60</v>
      </c>
      <c r="D1598" s="1">
        <v>0</v>
      </c>
      <c r="E1598" s="1">
        <v>0</v>
      </c>
      <c r="F1598" s="1">
        <v>0</v>
      </c>
      <c r="G1598" s="1">
        <v>0</v>
      </c>
      <c r="H1598" s="1">
        <v>0</v>
      </c>
      <c r="I1598" s="1">
        <v>0</v>
      </c>
      <c r="J1598" s="1">
        <v>0</v>
      </c>
      <c r="K1598" s="1">
        <v>0</v>
      </c>
      <c r="L1598" s="1">
        <v>0</v>
      </c>
      <c r="M1598" s="1">
        <v>0</v>
      </c>
      <c r="N1598" s="1">
        <v>0</v>
      </c>
      <c r="O1598" s="1">
        <v>0</v>
      </c>
      <c r="P1598" s="1">
        <v>0</v>
      </c>
      <c r="Q1598" s="1">
        <v>0</v>
      </c>
      <c r="R1598" s="1">
        <v>0</v>
      </c>
      <c r="S1598" s="1">
        <v>0</v>
      </c>
      <c r="T1598" s="1">
        <v>0</v>
      </c>
      <c r="U1598" s="1">
        <v>0</v>
      </c>
      <c r="V1598" s="1" t="s">
        <v>301</v>
      </c>
    </row>
    <row r="1599" spans="1:22">
      <c r="A1599" t="s">
        <v>194</v>
      </c>
      <c r="B1599" t="s">
        <v>57</v>
      </c>
      <c r="C1599" t="s">
        <v>61</v>
      </c>
      <c r="D1599" s="1">
        <v>0</v>
      </c>
      <c r="E1599" s="1">
        <v>0</v>
      </c>
      <c r="F1599" s="1">
        <v>0</v>
      </c>
      <c r="G1599" s="1">
        <v>0</v>
      </c>
      <c r="H1599" s="1">
        <v>0</v>
      </c>
      <c r="I1599" s="1">
        <v>0</v>
      </c>
      <c r="J1599" s="1">
        <v>0</v>
      </c>
      <c r="K1599" s="1">
        <v>0</v>
      </c>
      <c r="L1599" s="1">
        <v>0</v>
      </c>
      <c r="M1599" s="1">
        <v>0</v>
      </c>
      <c r="N1599" s="1">
        <v>0</v>
      </c>
      <c r="O1599" s="1">
        <v>0</v>
      </c>
      <c r="P1599" s="1">
        <v>0</v>
      </c>
      <c r="Q1599" s="1">
        <v>0</v>
      </c>
      <c r="R1599" s="1">
        <v>0</v>
      </c>
      <c r="S1599" s="1">
        <v>0</v>
      </c>
      <c r="T1599" s="1">
        <v>0</v>
      </c>
      <c r="U1599" s="1">
        <v>0</v>
      </c>
      <c r="V1599" s="1" t="s">
        <v>301</v>
      </c>
    </row>
    <row r="1600" spans="1:22">
      <c r="A1600" t="s">
        <v>194</v>
      </c>
      <c r="B1600" t="s">
        <v>57</v>
      </c>
      <c r="C1600" t="s">
        <v>62</v>
      </c>
      <c r="D1600" s="1">
        <v>0</v>
      </c>
      <c r="E1600" s="1">
        <v>0</v>
      </c>
      <c r="F1600" s="1">
        <v>0</v>
      </c>
      <c r="G1600" s="1">
        <v>0</v>
      </c>
      <c r="H1600" s="1">
        <v>0</v>
      </c>
      <c r="I1600" s="1">
        <v>0</v>
      </c>
      <c r="J1600" s="1">
        <v>0</v>
      </c>
      <c r="K1600" s="1">
        <v>0</v>
      </c>
      <c r="L1600" s="1">
        <v>0</v>
      </c>
      <c r="M1600" s="1">
        <v>0</v>
      </c>
      <c r="N1600" s="1">
        <v>0</v>
      </c>
      <c r="O1600" s="1">
        <v>0</v>
      </c>
      <c r="P1600" s="1">
        <v>0</v>
      </c>
      <c r="Q1600" s="1">
        <v>0</v>
      </c>
      <c r="R1600" s="1">
        <v>0</v>
      </c>
      <c r="S1600" s="1">
        <v>0</v>
      </c>
      <c r="T1600" s="1">
        <v>0</v>
      </c>
      <c r="U1600" s="1">
        <v>0</v>
      </c>
      <c r="V1600" s="1" t="s">
        <v>301</v>
      </c>
    </row>
    <row r="1601" spans="1:22">
      <c r="A1601" t="s">
        <v>194</v>
      </c>
      <c r="B1601" t="s">
        <v>57</v>
      </c>
      <c r="C1601" t="s">
        <v>63</v>
      </c>
      <c r="D1601" s="1">
        <v>0</v>
      </c>
      <c r="E1601" s="1">
        <v>0</v>
      </c>
      <c r="F1601" s="1">
        <v>0</v>
      </c>
      <c r="G1601" s="1">
        <v>0</v>
      </c>
      <c r="H1601" s="1">
        <v>0</v>
      </c>
      <c r="I1601" s="1">
        <v>0</v>
      </c>
      <c r="J1601" s="1">
        <v>0</v>
      </c>
      <c r="K1601" s="1">
        <v>0</v>
      </c>
      <c r="L1601" s="1">
        <v>0</v>
      </c>
      <c r="M1601" s="1">
        <v>0</v>
      </c>
      <c r="N1601" s="1">
        <v>0</v>
      </c>
      <c r="O1601" s="1">
        <v>0</v>
      </c>
      <c r="P1601" s="1">
        <v>0</v>
      </c>
      <c r="Q1601" s="1">
        <v>0</v>
      </c>
      <c r="R1601" s="1">
        <v>0</v>
      </c>
      <c r="S1601" s="1">
        <v>0</v>
      </c>
      <c r="T1601" s="1">
        <v>0</v>
      </c>
      <c r="U1601" s="1">
        <v>0</v>
      </c>
      <c r="V1601" s="1" t="s">
        <v>301</v>
      </c>
    </row>
    <row r="1602" spans="1:22">
      <c r="A1602" t="s">
        <v>194</v>
      </c>
      <c r="B1602" t="s">
        <v>57</v>
      </c>
      <c r="C1602" t="s">
        <v>64</v>
      </c>
      <c r="D1602" s="1">
        <v>0</v>
      </c>
      <c r="E1602" s="1">
        <v>0</v>
      </c>
      <c r="F1602" s="1">
        <v>0</v>
      </c>
      <c r="G1602" s="1">
        <v>0</v>
      </c>
      <c r="H1602" s="1">
        <v>0</v>
      </c>
      <c r="I1602" s="1">
        <v>0</v>
      </c>
      <c r="J1602" s="1">
        <v>0</v>
      </c>
      <c r="K1602" s="1">
        <v>0</v>
      </c>
      <c r="L1602" s="1">
        <v>0</v>
      </c>
      <c r="M1602" s="1">
        <v>0</v>
      </c>
      <c r="N1602" s="1">
        <v>0</v>
      </c>
      <c r="O1602" s="1">
        <v>0</v>
      </c>
      <c r="P1602" s="1">
        <v>0</v>
      </c>
      <c r="Q1602" s="1">
        <v>0</v>
      </c>
      <c r="R1602" s="1">
        <v>0</v>
      </c>
      <c r="S1602" s="1">
        <v>0</v>
      </c>
      <c r="T1602" s="1">
        <v>0</v>
      </c>
      <c r="U1602" s="1">
        <v>0</v>
      </c>
      <c r="V1602" s="1" t="s">
        <v>301</v>
      </c>
    </row>
    <row r="1603" spans="1:22">
      <c r="A1603" t="s">
        <v>194</v>
      </c>
      <c r="B1603" t="s">
        <v>57</v>
      </c>
      <c r="C1603" t="s">
        <v>65</v>
      </c>
      <c r="D1603" s="1">
        <v>0</v>
      </c>
      <c r="E1603" s="1">
        <v>0</v>
      </c>
      <c r="F1603" s="1">
        <v>0</v>
      </c>
      <c r="G1603" s="1">
        <v>0</v>
      </c>
      <c r="H1603" s="1">
        <v>0</v>
      </c>
      <c r="I1603" s="1">
        <v>0</v>
      </c>
      <c r="J1603" s="1">
        <v>0</v>
      </c>
      <c r="K1603" s="1">
        <v>0</v>
      </c>
      <c r="L1603" s="1">
        <v>0</v>
      </c>
      <c r="M1603" s="1">
        <v>0</v>
      </c>
      <c r="N1603" s="1">
        <v>0</v>
      </c>
      <c r="O1603" s="1">
        <v>0</v>
      </c>
      <c r="P1603" s="1">
        <v>0</v>
      </c>
      <c r="Q1603" s="1">
        <v>0</v>
      </c>
      <c r="R1603" s="1">
        <v>0</v>
      </c>
      <c r="S1603" s="1">
        <v>0</v>
      </c>
      <c r="T1603" s="1">
        <v>0</v>
      </c>
      <c r="U1603" s="1">
        <v>0</v>
      </c>
      <c r="V1603" s="1" t="s">
        <v>301</v>
      </c>
    </row>
    <row r="1604" spans="1:22">
      <c r="A1604" t="s">
        <v>195</v>
      </c>
      <c r="B1604" t="s">
        <v>57</v>
      </c>
      <c r="C1604" t="s">
        <v>58</v>
      </c>
      <c r="D1604" s="1">
        <v>0</v>
      </c>
      <c r="E1604" s="1">
        <v>0</v>
      </c>
      <c r="F1604" s="1">
        <v>0</v>
      </c>
      <c r="G1604" s="1">
        <v>0</v>
      </c>
      <c r="H1604" s="1">
        <v>0</v>
      </c>
      <c r="I1604" s="1">
        <v>0</v>
      </c>
      <c r="J1604" s="1">
        <v>0</v>
      </c>
      <c r="K1604" s="1">
        <v>0</v>
      </c>
      <c r="L1604" s="1">
        <v>0</v>
      </c>
      <c r="M1604" s="1">
        <v>0</v>
      </c>
      <c r="N1604" s="1">
        <v>0</v>
      </c>
      <c r="O1604" s="1">
        <v>0</v>
      </c>
      <c r="P1604" s="1">
        <v>0</v>
      </c>
      <c r="Q1604" s="1">
        <v>0</v>
      </c>
      <c r="R1604" s="1">
        <v>0</v>
      </c>
      <c r="S1604" s="1">
        <v>0</v>
      </c>
      <c r="T1604" s="1">
        <v>0</v>
      </c>
      <c r="U1604" s="1">
        <v>5</v>
      </c>
      <c r="V1604" s="1" t="s">
        <v>301</v>
      </c>
    </row>
    <row r="1605" spans="1:22">
      <c r="A1605" t="s">
        <v>195</v>
      </c>
      <c r="B1605" t="s">
        <v>57</v>
      </c>
      <c r="C1605" t="s">
        <v>59</v>
      </c>
      <c r="D1605" s="1">
        <v>0</v>
      </c>
      <c r="E1605" s="1">
        <v>0</v>
      </c>
      <c r="F1605" s="1">
        <v>0</v>
      </c>
      <c r="G1605" s="1">
        <v>0</v>
      </c>
      <c r="H1605" s="1">
        <v>0</v>
      </c>
      <c r="I1605" s="1">
        <v>0</v>
      </c>
      <c r="J1605" s="1">
        <v>0</v>
      </c>
      <c r="K1605" s="1">
        <v>0</v>
      </c>
      <c r="L1605" s="1">
        <v>0</v>
      </c>
      <c r="M1605" s="1">
        <v>0</v>
      </c>
      <c r="N1605" s="1">
        <v>0</v>
      </c>
      <c r="O1605" s="1">
        <v>0</v>
      </c>
      <c r="P1605" s="1">
        <v>0</v>
      </c>
      <c r="Q1605" s="1">
        <v>0</v>
      </c>
      <c r="R1605" s="1">
        <v>0</v>
      </c>
      <c r="S1605" s="1">
        <v>0</v>
      </c>
      <c r="T1605" s="1">
        <v>0</v>
      </c>
      <c r="U1605" s="1">
        <v>0</v>
      </c>
      <c r="V1605" s="1" t="s">
        <v>301</v>
      </c>
    </row>
    <row r="1606" spans="1:22">
      <c r="A1606" t="s">
        <v>195</v>
      </c>
      <c r="B1606" t="s">
        <v>57</v>
      </c>
      <c r="C1606" t="s">
        <v>60</v>
      </c>
      <c r="D1606" s="1">
        <v>0</v>
      </c>
      <c r="E1606" s="1">
        <v>0</v>
      </c>
      <c r="F1606" s="1">
        <v>0</v>
      </c>
      <c r="G1606" s="1">
        <v>0</v>
      </c>
      <c r="H1606" s="1">
        <v>0</v>
      </c>
      <c r="I1606" s="1">
        <v>0</v>
      </c>
      <c r="J1606" s="1">
        <v>0</v>
      </c>
      <c r="K1606" s="1">
        <v>0</v>
      </c>
      <c r="L1606" s="1">
        <v>0</v>
      </c>
      <c r="M1606" s="1">
        <v>0</v>
      </c>
      <c r="N1606" s="1">
        <v>0</v>
      </c>
      <c r="O1606" s="1">
        <v>0</v>
      </c>
      <c r="P1606" s="1">
        <v>0</v>
      </c>
      <c r="Q1606" s="1">
        <v>0</v>
      </c>
      <c r="R1606" s="1">
        <v>0</v>
      </c>
      <c r="S1606" s="1">
        <v>0</v>
      </c>
      <c r="T1606" s="1">
        <v>0</v>
      </c>
      <c r="U1606" s="1">
        <v>0</v>
      </c>
      <c r="V1606" s="1" t="s">
        <v>301</v>
      </c>
    </row>
    <row r="1607" spans="1:22">
      <c r="A1607" t="s">
        <v>195</v>
      </c>
      <c r="B1607" t="s">
        <v>57</v>
      </c>
      <c r="C1607" t="s">
        <v>61</v>
      </c>
      <c r="D1607" s="1">
        <v>0</v>
      </c>
      <c r="E1607" s="1">
        <v>0</v>
      </c>
      <c r="F1607" s="1">
        <v>0</v>
      </c>
      <c r="G1607" s="1">
        <v>0</v>
      </c>
      <c r="H1607" s="1">
        <v>0</v>
      </c>
      <c r="I1607" s="1">
        <v>0</v>
      </c>
      <c r="J1607" s="1">
        <v>0</v>
      </c>
      <c r="K1607" s="1">
        <v>0</v>
      </c>
      <c r="L1607" s="1">
        <v>0</v>
      </c>
      <c r="M1607" s="1">
        <v>0</v>
      </c>
      <c r="N1607" s="1">
        <v>0</v>
      </c>
      <c r="O1607" s="1">
        <v>0</v>
      </c>
      <c r="P1607" s="1">
        <v>0</v>
      </c>
      <c r="Q1607" s="1">
        <v>0</v>
      </c>
      <c r="R1607" s="1">
        <v>0</v>
      </c>
      <c r="S1607" s="1">
        <v>0</v>
      </c>
      <c r="T1607" s="1">
        <v>0</v>
      </c>
      <c r="U1607" s="1">
        <v>0</v>
      </c>
      <c r="V1607" s="1" t="s">
        <v>301</v>
      </c>
    </row>
    <row r="1608" spans="1:22">
      <c r="A1608" t="s">
        <v>195</v>
      </c>
      <c r="B1608" t="s">
        <v>57</v>
      </c>
      <c r="C1608" t="s">
        <v>62</v>
      </c>
      <c r="D1608" s="1">
        <v>0</v>
      </c>
      <c r="E1608" s="1">
        <v>0</v>
      </c>
      <c r="F1608" s="1">
        <v>0</v>
      </c>
      <c r="G1608" s="1">
        <v>0</v>
      </c>
      <c r="H1608" s="1">
        <v>0</v>
      </c>
      <c r="I1608" s="1">
        <v>0</v>
      </c>
      <c r="J1608" s="1">
        <v>0</v>
      </c>
      <c r="K1608" s="1">
        <v>0</v>
      </c>
      <c r="L1608" s="1">
        <v>0</v>
      </c>
      <c r="M1608" s="1">
        <v>0</v>
      </c>
      <c r="N1608" s="1">
        <v>0</v>
      </c>
      <c r="O1608" s="1">
        <v>0</v>
      </c>
      <c r="P1608" s="1">
        <v>0</v>
      </c>
      <c r="Q1608" s="1">
        <v>0</v>
      </c>
      <c r="R1608" s="1">
        <v>0</v>
      </c>
      <c r="S1608" s="1">
        <v>0</v>
      </c>
      <c r="T1608" s="1">
        <v>0</v>
      </c>
      <c r="U1608" s="1">
        <v>0</v>
      </c>
      <c r="V1608" s="1" t="s">
        <v>301</v>
      </c>
    </row>
    <row r="1609" spans="1:22">
      <c r="A1609" t="s">
        <v>195</v>
      </c>
      <c r="B1609" t="s">
        <v>57</v>
      </c>
      <c r="C1609" t="s">
        <v>63</v>
      </c>
      <c r="D1609" s="1">
        <v>0</v>
      </c>
      <c r="E1609" s="1">
        <v>0</v>
      </c>
      <c r="F1609" s="1">
        <v>0</v>
      </c>
      <c r="G1609" s="1">
        <v>0</v>
      </c>
      <c r="H1609" s="1">
        <v>0</v>
      </c>
      <c r="I1609" s="1">
        <v>0</v>
      </c>
      <c r="J1609" s="1">
        <v>0</v>
      </c>
      <c r="K1609" s="1">
        <v>0</v>
      </c>
      <c r="L1609" s="1">
        <v>0</v>
      </c>
      <c r="M1609" s="1">
        <v>0</v>
      </c>
      <c r="N1609" s="1">
        <v>0</v>
      </c>
      <c r="O1609" s="1">
        <v>0</v>
      </c>
      <c r="P1609" s="1">
        <v>0</v>
      </c>
      <c r="Q1609" s="1">
        <v>0</v>
      </c>
      <c r="R1609" s="1">
        <v>0</v>
      </c>
      <c r="S1609" s="1">
        <v>0</v>
      </c>
      <c r="T1609" s="1">
        <v>0</v>
      </c>
      <c r="U1609" s="1">
        <v>0</v>
      </c>
      <c r="V1609" s="1" t="s">
        <v>301</v>
      </c>
    </row>
    <row r="1610" spans="1:22">
      <c r="A1610" t="s">
        <v>195</v>
      </c>
      <c r="B1610" t="s">
        <v>57</v>
      </c>
      <c r="C1610" t="s">
        <v>64</v>
      </c>
      <c r="D1610" s="1">
        <v>0</v>
      </c>
      <c r="E1610" s="1">
        <v>0</v>
      </c>
      <c r="F1610" s="1">
        <v>0</v>
      </c>
      <c r="G1610" s="1">
        <v>0</v>
      </c>
      <c r="H1610" s="1">
        <v>0</v>
      </c>
      <c r="I1610" s="1">
        <v>0</v>
      </c>
      <c r="J1610" s="1">
        <v>0</v>
      </c>
      <c r="K1610" s="1">
        <v>0</v>
      </c>
      <c r="L1610" s="1">
        <v>0</v>
      </c>
      <c r="M1610" s="1">
        <v>0</v>
      </c>
      <c r="N1610" s="1">
        <v>0</v>
      </c>
      <c r="O1610" s="1">
        <v>0</v>
      </c>
      <c r="P1610" s="1">
        <v>0</v>
      </c>
      <c r="Q1610" s="1">
        <v>0</v>
      </c>
      <c r="R1610" s="1">
        <v>0</v>
      </c>
      <c r="S1610" s="1">
        <v>0</v>
      </c>
      <c r="T1610" s="1">
        <v>0</v>
      </c>
      <c r="U1610" s="1">
        <v>0</v>
      </c>
      <c r="V1610" s="1" t="s">
        <v>301</v>
      </c>
    </row>
    <row r="1611" spans="1:22">
      <c r="A1611" t="s">
        <v>195</v>
      </c>
      <c r="B1611" t="s">
        <v>57</v>
      </c>
      <c r="C1611" t="s">
        <v>65</v>
      </c>
      <c r="D1611" s="1">
        <v>0</v>
      </c>
      <c r="E1611" s="1">
        <v>0</v>
      </c>
      <c r="F1611" s="1">
        <v>0</v>
      </c>
      <c r="G1611" s="1">
        <v>0</v>
      </c>
      <c r="H1611" s="1">
        <v>0</v>
      </c>
      <c r="I1611" s="1">
        <v>0</v>
      </c>
      <c r="J1611" s="1">
        <v>0</v>
      </c>
      <c r="K1611" s="1">
        <v>0</v>
      </c>
      <c r="L1611" s="1">
        <v>0</v>
      </c>
      <c r="M1611" s="1">
        <v>0</v>
      </c>
      <c r="N1611" s="1">
        <v>0</v>
      </c>
      <c r="O1611" s="1">
        <v>0</v>
      </c>
      <c r="P1611" s="1">
        <v>0</v>
      </c>
      <c r="Q1611" s="1">
        <v>0</v>
      </c>
      <c r="R1611" s="1">
        <v>0</v>
      </c>
      <c r="S1611" s="1">
        <v>0</v>
      </c>
      <c r="T1611" s="1">
        <v>0</v>
      </c>
      <c r="U1611" s="1">
        <v>0</v>
      </c>
      <c r="V1611" s="1" t="s">
        <v>301</v>
      </c>
    </row>
    <row r="1612" spans="1:22">
      <c r="A1612" t="s">
        <v>196</v>
      </c>
      <c r="B1612" t="s">
        <v>57</v>
      </c>
      <c r="C1612" t="s">
        <v>58</v>
      </c>
      <c r="D1612" s="1">
        <v>0</v>
      </c>
      <c r="E1612" s="1">
        <v>0</v>
      </c>
      <c r="F1612" s="1">
        <v>0</v>
      </c>
      <c r="G1612" s="1">
        <v>0</v>
      </c>
      <c r="H1612" s="1">
        <v>0</v>
      </c>
      <c r="I1612" s="1">
        <v>0</v>
      </c>
      <c r="J1612" s="1">
        <v>0</v>
      </c>
      <c r="K1612" s="1">
        <v>0</v>
      </c>
      <c r="L1612" s="1">
        <v>0</v>
      </c>
      <c r="M1612" s="1">
        <v>0</v>
      </c>
      <c r="N1612" s="1">
        <v>0</v>
      </c>
      <c r="O1612" s="1">
        <v>0</v>
      </c>
      <c r="P1612" s="1">
        <v>0</v>
      </c>
      <c r="Q1612" s="1">
        <v>0</v>
      </c>
      <c r="R1612" s="1">
        <v>0</v>
      </c>
      <c r="S1612" s="1">
        <v>0</v>
      </c>
      <c r="T1612" s="1">
        <v>0</v>
      </c>
      <c r="U1612" s="1">
        <v>5</v>
      </c>
      <c r="V1612" s="1" t="s">
        <v>301</v>
      </c>
    </row>
    <row r="1613" spans="1:22">
      <c r="A1613" t="s">
        <v>196</v>
      </c>
      <c r="B1613" t="s">
        <v>57</v>
      </c>
      <c r="C1613" t="s">
        <v>59</v>
      </c>
      <c r="D1613" s="1">
        <v>0</v>
      </c>
      <c r="E1613" s="1">
        <v>0</v>
      </c>
      <c r="F1613" s="1">
        <v>0</v>
      </c>
      <c r="G1613" s="1">
        <v>1</v>
      </c>
      <c r="H1613" s="1">
        <v>0</v>
      </c>
      <c r="I1613" s="1">
        <v>0</v>
      </c>
      <c r="J1613" s="1">
        <v>1</v>
      </c>
      <c r="K1613" s="1">
        <v>0</v>
      </c>
      <c r="L1613" s="1">
        <v>0</v>
      </c>
      <c r="M1613" s="1">
        <v>0</v>
      </c>
      <c r="N1613" s="1">
        <v>0</v>
      </c>
      <c r="O1613" s="1">
        <v>0</v>
      </c>
      <c r="P1613" s="1">
        <v>1</v>
      </c>
      <c r="Q1613" s="1">
        <v>0</v>
      </c>
      <c r="R1613" s="1">
        <v>0</v>
      </c>
      <c r="S1613" s="1">
        <v>1</v>
      </c>
      <c r="T1613" s="1">
        <v>0</v>
      </c>
      <c r="U1613" s="1">
        <v>1</v>
      </c>
      <c r="V1613" s="1" t="s">
        <v>301</v>
      </c>
    </row>
    <row r="1614" spans="1:22">
      <c r="A1614" t="s">
        <v>196</v>
      </c>
      <c r="B1614" t="s">
        <v>57</v>
      </c>
      <c r="C1614" t="s">
        <v>60</v>
      </c>
      <c r="D1614" s="1">
        <v>0</v>
      </c>
      <c r="E1614" s="1">
        <v>0</v>
      </c>
      <c r="F1614" s="1">
        <v>0</v>
      </c>
      <c r="G1614" s="1">
        <v>0</v>
      </c>
      <c r="H1614" s="1">
        <v>0</v>
      </c>
      <c r="I1614" s="1">
        <v>0</v>
      </c>
      <c r="J1614" s="1">
        <v>0</v>
      </c>
      <c r="K1614" s="1">
        <v>0</v>
      </c>
      <c r="L1614" s="1">
        <v>0</v>
      </c>
      <c r="M1614" s="1">
        <v>0</v>
      </c>
      <c r="N1614" s="1">
        <v>0</v>
      </c>
      <c r="O1614" s="1">
        <v>0</v>
      </c>
      <c r="P1614" s="1">
        <v>0</v>
      </c>
      <c r="Q1614" s="1">
        <v>0</v>
      </c>
      <c r="R1614" s="1">
        <v>0</v>
      </c>
      <c r="S1614" s="1">
        <v>0</v>
      </c>
      <c r="T1614" s="1">
        <v>0</v>
      </c>
      <c r="U1614" s="1">
        <v>0</v>
      </c>
      <c r="V1614" s="1" t="s">
        <v>301</v>
      </c>
    </row>
    <row r="1615" spans="1:22">
      <c r="A1615" t="s">
        <v>196</v>
      </c>
      <c r="B1615" t="s">
        <v>57</v>
      </c>
      <c r="C1615" t="s">
        <v>61</v>
      </c>
      <c r="D1615" s="1">
        <v>0</v>
      </c>
      <c r="E1615" s="1">
        <v>0</v>
      </c>
      <c r="F1615" s="1">
        <v>0</v>
      </c>
      <c r="G1615" s="1">
        <v>0</v>
      </c>
      <c r="H1615" s="1">
        <v>0</v>
      </c>
      <c r="I1615" s="1">
        <v>0</v>
      </c>
      <c r="J1615" s="1">
        <v>0</v>
      </c>
      <c r="K1615" s="1">
        <v>0</v>
      </c>
      <c r="L1615" s="1">
        <v>0</v>
      </c>
      <c r="M1615" s="1">
        <v>0</v>
      </c>
      <c r="N1615" s="1">
        <v>0</v>
      </c>
      <c r="O1615" s="1">
        <v>0</v>
      </c>
      <c r="P1615" s="1">
        <v>0</v>
      </c>
      <c r="Q1615" s="1">
        <v>0</v>
      </c>
      <c r="R1615" s="1">
        <v>0</v>
      </c>
      <c r="S1615" s="1">
        <v>0</v>
      </c>
      <c r="T1615" s="1">
        <v>0</v>
      </c>
      <c r="U1615" s="1">
        <v>0</v>
      </c>
      <c r="V1615" s="1" t="s">
        <v>301</v>
      </c>
    </row>
    <row r="1616" spans="1:22">
      <c r="A1616" t="s">
        <v>196</v>
      </c>
      <c r="B1616" t="s">
        <v>57</v>
      </c>
      <c r="C1616" t="s">
        <v>62</v>
      </c>
      <c r="D1616" s="1">
        <v>0</v>
      </c>
      <c r="E1616" s="1">
        <v>0</v>
      </c>
      <c r="F1616" s="1">
        <v>0</v>
      </c>
      <c r="G1616" s="1">
        <v>0</v>
      </c>
      <c r="H1616" s="1">
        <v>0</v>
      </c>
      <c r="I1616" s="1">
        <v>0</v>
      </c>
      <c r="J1616" s="1">
        <v>0</v>
      </c>
      <c r="K1616" s="1">
        <v>0</v>
      </c>
      <c r="L1616" s="1">
        <v>0</v>
      </c>
      <c r="M1616" s="1">
        <v>0</v>
      </c>
      <c r="N1616" s="1">
        <v>0</v>
      </c>
      <c r="O1616" s="1">
        <v>0</v>
      </c>
      <c r="P1616" s="1">
        <v>0</v>
      </c>
      <c r="Q1616" s="1">
        <v>0</v>
      </c>
      <c r="R1616" s="1">
        <v>0</v>
      </c>
      <c r="S1616" s="1">
        <v>0</v>
      </c>
      <c r="T1616" s="1">
        <v>0</v>
      </c>
      <c r="U1616" s="1">
        <v>0</v>
      </c>
      <c r="V1616" s="1" t="s">
        <v>301</v>
      </c>
    </row>
    <row r="1617" spans="1:22">
      <c r="A1617" t="s">
        <v>196</v>
      </c>
      <c r="B1617" t="s">
        <v>57</v>
      </c>
      <c r="C1617" t="s">
        <v>63</v>
      </c>
      <c r="D1617" s="1">
        <v>0</v>
      </c>
      <c r="E1617" s="1">
        <v>0</v>
      </c>
      <c r="F1617" s="1">
        <v>0</v>
      </c>
      <c r="G1617" s="1">
        <v>0</v>
      </c>
      <c r="H1617" s="1">
        <v>0</v>
      </c>
      <c r="I1617" s="1">
        <v>0</v>
      </c>
      <c r="J1617" s="1">
        <v>0</v>
      </c>
      <c r="K1617" s="1">
        <v>0</v>
      </c>
      <c r="L1617" s="1">
        <v>0</v>
      </c>
      <c r="M1617" s="1">
        <v>0</v>
      </c>
      <c r="N1617" s="1">
        <v>0</v>
      </c>
      <c r="O1617" s="1">
        <v>0</v>
      </c>
      <c r="P1617" s="1">
        <v>0</v>
      </c>
      <c r="Q1617" s="1">
        <v>0</v>
      </c>
      <c r="R1617" s="1">
        <v>0</v>
      </c>
      <c r="S1617" s="1">
        <v>0</v>
      </c>
      <c r="T1617" s="1">
        <v>0</v>
      </c>
      <c r="U1617" s="1">
        <v>0</v>
      </c>
      <c r="V1617" s="1" t="s">
        <v>301</v>
      </c>
    </row>
    <row r="1618" spans="1:22">
      <c r="A1618" t="s">
        <v>196</v>
      </c>
      <c r="B1618" t="s">
        <v>57</v>
      </c>
      <c r="C1618" t="s">
        <v>64</v>
      </c>
      <c r="D1618" s="1">
        <v>0</v>
      </c>
      <c r="E1618" s="1">
        <v>0</v>
      </c>
      <c r="F1618" s="1">
        <v>0</v>
      </c>
      <c r="G1618" s="1">
        <v>1</v>
      </c>
      <c r="H1618" s="1">
        <v>0</v>
      </c>
      <c r="I1618" s="1">
        <v>0</v>
      </c>
      <c r="J1618" s="1">
        <v>1</v>
      </c>
      <c r="K1618" s="1">
        <v>0</v>
      </c>
      <c r="L1618" s="1">
        <v>0</v>
      </c>
      <c r="M1618" s="1">
        <v>0</v>
      </c>
      <c r="N1618" s="1">
        <v>0</v>
      </c>
      <c r="O1618" s="1">
        <v>0</v>
      </c>
      <c r="P1618" s="1">
        <v>1</v>
      </c>
      <c r="Q1618" s="1">
        <v>0</v>
      </c>
      <c r="R1618" s="1">
        <v>0</v>
      </c>
      <c r="S1618" s="1">
        <v>1</v>
      </c>
      <c r="T1618" s="1">
        <v>0</v>
      </c>
      <c r="U1618" s="1">
        <v>1</v>
      </c>
      <c r="V1618" s="1" t="s">
        <v>301</v>
      </c>
    </row>
    <row r="1619" spans="1:22">
      <c r="A1619" t="s">
        <v>196</v>
      </c>
      <c r="B1619" t="s">
        <v>57</v>
      </c>
      <c r="C1619" t="s">
        <v>65</v>
      </c>
      <c r="D1619" s="1">
        <v>0</v>
      </c>
      <c r="E1619" s="1">
        <v>0</v>
      </c>
      <c r="F1619" s="1">
        <v>0</v>
      </c>
      <c r="G1619" s="1">
        <v>0</v>
      </c>
      <c r="H1619" s="1">
        <v>0</v>
      </c>
      <c r="I1619" s="1">
        <v>0</v>
      </c>
      <c r="J1619" s="1">
        <v>0</v>
      </c>
      <c r="K1619" s="1">
        <v>0</v>
      </c>
      <c r="L1619" s="1">
        <v>0</v>
      </c>
      <c r="M1619" s="1">
        <v>0</v>
      </c>
      <c r="N1619" s="1">
        <v>0</v>
      </c>
      <c r="O1619" s="1">
        <v>0</v>
      </c>
      <c r="P1619" s="1">
        <v>0</v>
      </c>
      <c r="Q1619" s="1">
        <v>0</v>
      </c>
      <c r="R1619" s="1">
        <v>0</v>
      </c>
      <c r="S1619" s="1">
        <v>0</v>
      </c>
      <c r="T1619" s="1">
        <v>0</v>
      </c>
      <c r="U1619" s="1">
        <v>0</v>
      </c>
      <c r="V1619" s="1" t="s">
        <v>301</v>
      </c>
    </row>
    <row r="1620" spans="1:22">
      <c r="A1620" t="s">
        <v>55</v>
      </c>
      <c r="B1620" t="s">
        <v>57</v>
      </c>
      <c r="C1620" t="s">
        <v>58</v>
      </c>
      <c r="D1620" s="1">
        <v>0</v>
      </c>
      <c r="E1620" s="1">
        <v>0</v>
      </c>
      <c r="F1620" s="1">
        <v>0</v>
      </c>
      <c r="G1620" s="1">
        <v>0</v>
      </c>
      <c r="H1620" s="1">
        <v>0</v>
      </c>
      <c r="I1620" s="1">
        <v>0</v>
      </c>
      <c r="J1620" s="1">
        <v>0</v>
      </c>
      <c r="K1620" s="1">
        <v>0</v>
      </c>
      <c r="L1620" s="1">
        <v>0</v>
      </c>
      <c r="M1620" s="1">
        <v>0</v>
      </c>
      <c r="N1620" s="1">
        <v>0</v>
      </c>
      <c r="O1620" s="1">
        <v>0</v>
      </c>
      <c r="P1620" s="1">
        <v>0</v>
      </c>
      <c r="Q1620" s="1">
        <v>0</v>
      </c>
      <c r="R1620" s="1">
        <v>0</v>
      </c>
      <c r="S1620" s="1">
        <v>0</v>
      </c>
      <c r="T1620" s="1">
        <v>0</v>
      </c>
      <c r="U1620" s="1">
        <v>64</v>
      </c>
      <c r="V1620" s="1" t="s">
        <v>301</v>
      </c>
    </row>
    <row r="1621" spans="1:22">
      <c r="A1621" t="s">
        <v>55</v>
      </c>
      <c r="B1621" t="s">
        <v>57</v>
      </c>
      <c r="C1621" t="s">
        <v>59</v>
      </c>
      <c r="D1621" s="1">
        <v>1</v>
      </c>
      <c r="E1621" s="1">
        <v>1</v>
      </c>
      <c r="F1621" s="1">
        <v>1</v>
      </c>
      <c r="G1621" s="1">
        <v>1</v>
      </c>
      <c r="H1621" s="1">
        <v>0</v>
      </c>
      <c r="I1621" s="1">
        <v>0</v>
      </c>
      <c r="J1621" s="1">
        <v>2</v>
      </c>
      <c r="K1621" s="1">
        <v>0</v>
      </c>
      <c r="L1621" s="1">
        <v>2</v>
      </c>
      <c r="M1621" s="1">
        <v>0</v>
      </c>
      <c r="N1621" s="1">
        <v>1</v>
      </c>
      <c r="O1621" s="1">
        <v>1</v>
      </c>
      <c r="P1621" s="1">
        <v>1</v>
      </c>
      <c r="Q1621" s="1">
        <v>1</v>
      </c>
      <c r="R1621" s="1">
        <v>1</v>
      </c>
      <c r="S1621" s="1">
        <v>3</v>
      </c>
      <c r="T1621" s="1">
        <v>0</v>
      </c>
      <c r="U1621" s="1">
        <v>4</v>
      </c>
      <c r="V1621" s="1" t="s">
        <v>301</v>
      </c>
    </row>
    <row r="1622" spans="1:22">
      <c r="A1622" t="s">
        <v>55</v>
      </c>
      <c r="B1622" t="s">
        <v>57</v>
      </c>
      <c r="C1622" t="s">
        <v>60</v>
      </c>
      <c r="D1622" s="1">
        <v>0</v>
      </c>
      <c r="E1622" s="1">
        <v>0</v>
      </c>
      <c r="F1622" s="1">
        <v>0</v>
      </c>
      <c r="G1622" s="1">
        <v>0</v>
      </c>
      <c r="H1622" s="1">
        <v>0</v>
      </c>
      <c r="I1622" s="1">
        <v>0</v>
      </c>
      <c r="J1622" s="1">
        <v>0</v>
      </c>
      <c r="K1622" s="1">
        <v>0</v>
      </c>
      <c r="L1622" s="1">
        <v>0</v>
      </c>
      <c r="M1622" s="1">
        <v>0</v>
      </c>
      <c r="N1622" s="1">
        <v>0</v>
      </c>
      <c r="O1622" s="1">
        <v>0</v>
      </c>
      <c r="P1622" s="1">
        <v>0</v>
      </c>
      <c r="Q1622" s="1">
        <v>0</v>
      </c>
      <c r="R1622" s="1">
        <v>0</v>
      </c>
      <c r="S1622" s="1">
        <v>0</v>
      </c>
      <c r="T1622" s="1">
        <v>0</v>
      </c>
      <c r="U1622" s="1">
        <v>0</v>
      </c>
      <c r="V1622" s="1" t="s">
        <v>301</v>
      </c>
    </row>
    <row r="1623" spans="1:22">
      <c r="A1623" t="s">
        <v>55</v>
      </c>
      <c r="B1623" t="s">
        <v>57</v>
      </c>
      <c r="C1623" t="s">
        <v>61</v>
      </c>
      <c r="D1623" s="1">
        <v>0</v>
      </c>
      <c r="E1623" s="1">
        <v>0</v>
      </c>
      <c r="F1623" s="1">
        <v>0</v>
      </c>
      <c r="G1623" s="1">
        <v>0</v>
      </c>
      <c r="H1623" s="1">
        <v>0</v>
      </c>
      <c r="I1623" s="1">
        <v>0</v>
      </c>
      <c r="J1623" s="1">
        <v>0</v>
      </c>
      <c r="K1623" s="1">
        <v>0</v>
      </c>
      <c r="L1623" s="1">
        <v>0</v>
      </c>
      <c r="M1623" s="1">
        <v>0</v>
      </c>
      <c r="N1623" s="1">
        <v>0</v>
      </c>
      <c r="O1623" s="1">
        <v>0</v>
      </c>
      <c r="P1623" s="1">
        <v>0</v>
      </c>
      <c r="Q1623" s="1">
        <v>0</v>
      </c>
      <c r="R1623" s="1">
        <v>0</v>
      </c>
      <c r="S1623" s="1">
        <v>0</v>
      </c>
      <c r="T1623" s="1">
        <v>0</v>
      </c>
      <c r="U1623" s="1">
        <v>0</v>
      </c>
      <c r="V1623" s="1" t="s">
        <v>301</v>
      </c>
    </row>
    <row r="1624" spans="1:22">
      <c r="A1624" t="s">
        <v>55</v>
      </c>
      <c r="B1624" t="s">
        <v>57</v>
      </c>
      <c r="C1624" t="s">
        <v>62</v>
      </c>
      <c r="D1624" s="1">
        <v>0</v>
      </c>
      <c r="E1624" s="1">
        <v>0</v>
      </c>
      <c r="F1624" s="1">
        <v>0</v>
      </c>
      <c r="G1624" s="1">
        <v>0</v>
      </c>
      <c r="H1624" s="1">
        <v>0</v>
      </c>
      <c r="I1624" s="1">
        <v>0</v>
      </c>
      <c r="J1624" s="1">
        <v>0</v>
      </c>
      <c r="K1624" s="1">
        <v>0</v>
      </c>
      <c r="L1624" s="1">
        <v>0</v>
      </c>
      <c r="M1624" s="1">
        <v>0</v>
      </c>
      <c r="N1624" s="1">
        <v>0</v>
      </c>
      <c r="O1624" s="1">
        <v>0</v>
      </c>
      <c r="P1624" s="1">
        <v>0</v>
      </c>
      <c r="Q1624" s="1">
        <v>0</v>
      </c>
      <c r="R1624" s="1">
        <v>0</v>
      </c>
      <c r="S1624" s="1">
        <v>0</v>
      </c>
      <c r="T1624" s="1">
        <v>0</v>
      </c>
      <c r="U1624" s="1">
        <v>0</v>
      </c>
      <c r="V1624" s="1" t="s">
        <v>301</v>
      </c>
    </row>
    <row r="1625" spans="1:22">
      <c r="A1625" t="s">
        <v>55</v>
      </c>
      <c r="B1625" t="s">
        <v>57</v>
      </c>
      <c r="C1625" t="s">
        <v>63</v>
      </c>
      <c r="D1625" s="1">
        <v>0</v>
      </c>
      <c r="E1625" s="1">
        <v>0</v>
      </c>
      <c r="F1625" s="1">
        <v>0</v>
      </c>
      <c r="G1625" s="1">
        <v>0</v>
      </c>
      <c r="H1625" s="1">
        <v>0</v>
      </c>
      <c r="I1625" s="1">
        <v>0</v>
      </c>
      <c r="J1625" s="1">
        <v>0</v>
      </c>
      <c r="K1625" s="1">
        <v>0</v>
      </c>
      <c r="L1625" s="1">
        <v>0</v>
      </c>
      <c r="M1625" s="1">
        <v>0</v>
      </c>
      <c r="N1625" s="1">
        <v>0</v>
      </c>
      <c r="O1625" s="1">
        <v>0</v>
      </c>
      <c r="P1625" s="1">
        <v>0</v>
      </c>
      <c r="Q1625" s="1">
        <v>0</v>
      </c>
      <c r="R1625" s="1">
        <v>0</v>
      </c>
      <c r="S1625" s="1">
        <v>0</v>
      </c>
      <c r="T1625" s="1">
        <v>0</v>
      </c>
      <c r="U1625" s="1">
        <v>0</v>
      </c>
      <c r="V1625" s="1" t="s">
        <v>301</v>
      </c>
    </row>
    <row r="1626" spans="1:22">
      <c r="A1626" t="s">
        <v>55</v>
      </c>
      <c r="B1626" t="s">
        <v>57</v>
      </c>
      <c r="C1626" t="s">
        <v>64</v>
      </c>
      <c r="D1626" s="1">
        <v>1</v>
      </c>
      <c r="E1626" s="1">
        <v>1</v>
      </c>
      <c r="F1626" s="1">
        <v>1</v>
      </c>
      <c r="G1626" s="1">
        <v>1</v>
      </c>
      <c r="H1626" s="1">
        <v>0</v>
      </c>
      <c r="I1626" s="1">
        <v>0</v>
      </c>
      <c r="J1626" s="1">
        <v>2</v>
      </c>
      <c r="K1626" s="1">
        <v>0</v>
      </c>
      <c r="L1626" s="1">
        <v>2</v>
      </c>
      <c r="M1626" s="1">
        <v>0</v>
      </c>
      <c r="N1626" s="1">
        <v>1</v>
      </c>
      <c r="O1626" s="1">
        <v>1</v>
      </c>
      <c r="P1626" s="1">
        <v>1</v>
      </c>
      <c r="Q1626" s="1">
        <v>1</v>
      </c>
      <c r="R1626" s="1">
        <v>1</v>
      </c>
      <c r="S1626" s="1">
        <v>3</v>
      </c>
      <c r="T1626" s="1">
        <v>0</v>
      </c>
      <c r="U1626" s="1">
        <v>4</v>
      </c>
      <c r="V1626" s="1" t="s">
        <v>301</v>
      </c>
    </row>
    <row r="1627" spans="1:22">
      <c r="A1627" t="s">
        <v>55</v>
      </c>
      <c r="B1627" t="s">
        <v>57</v>
      </c>
      <c r="C1627" t="s">
        <v>65</v>
      </c>
      <c r="D1627" s="1">
        <v>0</v>
      </c>
      <c r="E1627" s="1">
        <v>0</v>
      </c>
      <c r="F1627" s="1">
        <v>0</v>
      </c>
      <c r="G1627" s="1">
        <v>0</v>
      </c>
      <c r="H1627" s="1">
        <v>0</v>
      </c>
      <c r="I1627" s="1">
        <v>0</v>
      </c>
      <c r="J1627" s="1">
        <v>0</v>
      </c>
      <c r="K1627" s="1">
        <v>0</v>
      </c>
      <c r="L1627" s="1">
        <v>0</v>
      </c>
      <c r="M1627" s="1">
        <v>0</v>
      </c>
      <c r="N1627" s="1">
        <v>0</v>
      </c>
      <c r="O1627" s="1">
        <v>0</v>
      </c>
      <c r="P1627" s="1">
        <v>0</v>
      </c>
      <c r="Q1627" s="1">
        <v>0</v>
      </c>
      <c r="R1627" s="1">
        <v>0</v>
      </c>
      <c r="S1627" s="1">
        <v>0</v>
      </c>
      <c r="T1627" s="1">
        <v>0</v>
      </c>
      <c r="U1627" s="1">
        <v>0</v>
      </c>
      <c r="V1627" s="1" t="s">
        <v>301</v>
      </c>
    </row>
    <row r="1629" spans="1:22">
      <c r="A1629">
        <f>setup!C31</f>
        <v>3836</v>
      </c>
    </row>
    <row r="1630" spans="1:22">
      <c r="A1630" t="str">
        <f>_xlfn.CONCAT(setup!D31," - ",setup!E31)</f>
        <v>OSEP – Speech Impairment - Digital - OSEP_SI_D</v>
      </c>
      <c r="D1630" s="1"/>
      <c r="E1630" s="1"/>
      <c r="F1630" s="1"/>
      <c r="G1630" s="1"/>
      <c r="H1630" s="1"/>
      <c r="I1630" s="1"/>
      <c r="J1630" s="1"/>
      <c r="K1630" s="1"/>
      <c r="L1630" s="1"/>
      <c r="M1630" s="1"/>
      <c r="N1630" s="1"/>
      <c r="O1630" s="1"/>
      <c r="P1630" s="1"/>
      <c r="Q1630" s="1"/>
      <c r="R1630" s="1"/>
      <c r="S1630" s="1"/>
      <c r="T1630" s="1"/>
      <c r="U1630" s="1"/>
    </row>
    <row r="1631" spans="1:22">
      <c r="A1631" t="s">
        <v>35</v>
      </c>
      <c r="B1631" t="s">
        <v>36</v>
      </c>
      <c r="C1631" t="s">
        <v>37</v>
      </c>
      <c r="D1631" s="1" t="s">
        <v>38</v>
      </c>
      <c r="E1631" s="1" t="s">
        <v>39</v>
      </c>
      <c r="F1631" s="1" t="s">
        <v>40</v>
      </c>
      <c r="G1631" s="1" t="s">
        <v>41</v>
      </c>
      <c r="H1631" s="1" t="s">
        <v>42</v>
      </c>
      <c r="I1631" s="1" t="s">
        <v>43</v>
      </c>
      <c r="J1631" s="1" t="s">
        <v>44</v>
      </c>
      <c r="K1631" s="1" t="s">
        <v>45</v>
      </c>
      <c r="L1631" s="1" t="s">
        <v>46</v>
      </c>
      <c r="M1631" s="1" t="s">
        <v>47</v>
      </c>
      <c r="N1631" s="1" t="s">
        <v>48</v>
      </c>
      <c r="O1631" s="1" t="s">
        <v>49</v>
      </c>
      <c r="P1631" s="1" t="s">
        <v>50</v>
      </c>
      <c r="Q1631" s="1" t="s">
        <v>51</v>
      </c>
      <c r="R1631" s="1" t="s">
        <v>52</v>
      </c>
      <c r="S1631" s="1" t="s">
        <v>53</v>
      </c>
      <c r="T1631" t="s">
        <v>54</v>
      </c>
      <c r="U1631" s="1" t="s">
        <v>55</v>
      </c>
      <c r="V1631" t="s">
        <v>56</v>
      </c>
    </row>
    <row r="1632" spans="1:22">
      <c r="A1632" t="s">
        <v>187</v>
      </c>
      <c r="B1632" t="s">
        <v>57</v>
      </c>
      <c r="C1632" t="s">
        <v>58</v>
      </c>
      <c r="D1632" s="1">
        <v>0</v>
      </c>
      <c r="E1632" s="1">
        <v>0</v>
      </c>
      <c r="F1632" s="1">
        <v>0</v>
      </c>
      <c r="G1632" s="1">
        <v>0</v>
      </c>
      <c r="H1632" s="1">
        <v>0</v>
      </c>
      <c r="I1632" s="1">
        <v>0</v>
      </c>
      <c r="J1632" s="1">
        <v>0</v>
      </c>
      <c r="K1632" s="1">
        <v>0</v>
      </c>
      <c r="L1632" s="1">
        <v>0</v>
      </c>
      <c r="M1632" s="1">
        <v>0</v>
      </c>
      <c r="N1632" s="1">
        <v>0</v>
      </c>
      <c r="O1632" s="1">
        <v>0</v>
      </c>
      <c r="P1632" s="1">
        <v>0</v>
      </c>
      <c r="Q1632" s="1">
        <v>0</v>
      </c>
      <c r="R1632" s="1">
        <v>0</v>
      </c>
      <c r="S1632" s="1">
        <v>0</v>
      </c>
      <c r="T1632" s="1">
        <v>0</v>
      </c>
      <c r="U1632" s="1">
        <v>2</v>
      </c>
      <c r="V1632" s="1" t="s">
        <v>301</v>
      </c>
    </row>
    <row r="1633" spans="1:22">
      <c r="A1633" t="s">
        <v>187</v>
      </c>
      <c r="B1633" t="s">
        <v>57</v>
      </c>
      <c r="C1633" t="s">
        <v>59</v>
      </c>
      <c r="D1633" s="1">
        <v>0</v>
      </c>
      <c r="E1633" s="1">
        <v>0</v>
      </c>
      <c r="F1633" s="1">
        <v>0</v>
      </c>
      <c r="G1633" s="1">
        <v>0</v>
      </c>
      <c r="H1633" s="1">
        <v>0</v>
      </c>
      <c r="I1633" s="1">
        <v>0</v>
      </c>
      <c r="J1633" s="1">
        <v>0</v>
      </c>
      <c r="K1633" s="1">
        <v>0</v>
      </c>
      <c r="L1633" s="1">
        <v>0</v>
      </c>
      <c r="M1633" s="1">
        <v>0</v>
      </c>
      <c r="N1633" s="1">
        <v>0</v>
      </c>
      <c r="O1633" s="1">
        <v>0</v>
      </c>
      <c r="P1633" s="1">
        <v>0</v>
      </c>
      <c r="Q1633" s="1">
        <v>0</v>
      </c>
      <c r="R1633" s="1">
        <v>0</v>
      </c>
      <c r="S1633" s="1">
        <v>0</v>
      </c>
      <c r="T1633" s="1">
        <v>0</v>
      </c>
      <c r="U1633" s="1">
        <v>0</v>
      </c>
      <c r="V1633" s="1" t="s">
        <v>301</v>
      </c>
    </row>
    <row r="1634" spans="1:22">
      <c r="A1634" t="s">
        <v>187</v>
      </c>
      <c r="B1634" t="s">
        <v>57</v>
      </c>
      <c r="C1634" t="s">
        <v>60</v>
      </c>
      <c r="D1634" s="1">
        <v>0</v>
      </c>
      <c r="E1634" s="1">
        <v>0</v>
      </c>
      <c r="F1634" s="1">
        <v>0</v>
      </c>
      <c r="G1634" s="1">
        <v>0</v>
      </c>
      <c r="H1634" s="1">
        <v>0</v>
      </c>
      <c r="I1634" s="1">
        <v>0</v>
      </c>
      <c r="J1634" s="1">
        <v>0</v>
      </c>
      <c r="K1634" s="1">
        <v>0</v>
      </c>
      <c r="L1634" s="1">
        <v>0</v>
      </c>
      <c r="M1634" s="1">
        <v>0</v>
      </c>
      <c r="N1634" s="1">
        <v>0</v>
      </c>
      <c r="O1634" s="1">
        <v>0</v>
      </c>
      <c r="P1634" s="1">
        <v>0</v>
      </c>
      <c r="Q1634" s="1">
        <v>0</v>
      </c>
      <c r="R1634" s="1">
        <v>0</v>
      </c>
      <c r="S1634" s="1">
        <v>0</v>
      </c>
      <c r="T1634" s="1">
        <v>0</v>
      </c>
      <c r="U1634" s="1">
        <v>0</v>
      </c>
      <c r="V1634" s="1" t="s">
        <v>301</v>
      </c>
    </row>
    <row r="1635" spans="1:22">
      <c r="A1635" t="s">
        <v>187</v>
      </c>
      <c r="B1635" t="s">
        <v>57</v>
      </c>
      <c r="C1635" t="s">
        <v>61</v>
      </c>
      <c r="D1635" s="1">
        <v>0</v>
      </c>
      <c r="E1635" s="1">
        <v>0</v>
      </c>
      <c r="F1635" s="1">
        <v>0</v>
      </c>
      <c r="G1635" s="1">
        <v>0</v>
      </c>
      <c r="H1635" s="1">
        <v>0</v>
      </c>
      <c r="I1635" s="1">
        <v>0</v>
      </c>
      <c r="J1635" s="1">
        <v>0</v>
      </c>
      <c r="K1635" s="1">
        <v>0</v>
      </c>
      <c r="L1635" s="1">
        <v>0</v>
      </c>
      <c r="M1635" s="1">
        <v>0</v>
      </c>
      <c r="N1635" s="1">
        <v>0</v>
      </c>
      <c r="O1635" s="1">
        <v>0</v>
      </c>
      <c r="P1635" s="1">
        <v>0</v>
      </c>
      <c r="Q1635" s="1">
        <v>0</v>
      </c>
      <c r="R1635" s="1">
        <v>0</v>
      </c>
      <c r="S1635" s="1">
        <v>0</v>
      </c>
      <c r="T1635" s="1">
        <v>0</v>
      </c>
      <c r="U1635" s="1">
        <v>0</v>
      </c>
      <c r="V1635" s="1" t="s">
        <v>301</v>
      </c>
    </row>
    <row r="1636" spans="1:22">
      <c r="A1636" t="s">
        <v>187</v>
      </c>
      <c r="B1636" t="s">
        <v>57</v>
      </c>
      <c r="C1636" t="s">
        <v>62</v>
      </c>
      <c r="D1636" s="1">
        <v>0</v>
      </c>
      <c r="E1636" s="1">
        <v>0</v>
      </c>
      <c r="F1636" s="1">
        <v>0</v>
      </c>
      <c r="G1636" s="1">
        <v>0</v>
      </c>
      <c r="H1636" s="1">
        <v>0</v>
      </c>
      <c r="I1636" s="1">
        <v>0</v>
      </c>
      <c r="J1636" s="1">
        <v>0</v>
      </c>
      <c r="K1636" s="1">
        <v>0</v>
      </c>
      <c r="L1636" s="1">
        <v>0</v>
      </c>
      <c r="M1636" s="1">
        <v>0</v>
      </c>
      <c r="N1636" s="1">
        <v>0</v>
      </c>
      <c r="O1636" s="1">
        <v>0</v>
      </c>
      <c r="P1636" s="1">
        <v>0</v>
      </c>
      <c r="Q1636" s="1">
        <v>0</v>
      </c>
      <c r="R1636" s="1">
        <v>0</v>
      </c>
      <c r="S1636" s="1">
        <v>0</v>
      </c>
      <c r="T1636" s="1">
        <v>0</v>
      </c>
      <c r="U1636" s="1">
        <v>0</v>
      </c>
      <c r="V1636" s="1" t="s">
        <v>301</v>
      </c>
    </row>
    <row r="1637" spans="1:22">
      <c r="A1637" t="s">
        <v>187</v>
      </c>
      <c r="B1637" t="s">
        <v>57</v>
      </c>
      <c r="C1637" t="s">
        <v>63</v>
      </c>
      <c r="D1637" s="1">
        <v>0</v>
      </c>
      <c r="E1637" s="1">
        <v>0</v>
      </c>
      <c r="F1637" s="1">
        <v>0</v>
      </c>
      <c r="G1637" s="1">
        <v>0</v>
      </c>
      <c r="H1637" s="1">
        <v>0</v>
      </c>
      <c r="I1637" s="1">
        <v>0</v>
      </c>
      <c r="J1637" s="1">
        <v>0</v>
      </c>
      <c r="K1637" s="1">
        <v>0</v>
      </c>
      <c r="L1637" s="1">
        <v>0</v>
      </c>
      <c r="M1637" s="1">
        <v>0</v>
      </c>
      <c r="N1637" s="1">
        <v>0</v>
      </c>
      <c r="O1637" s="1">
        <v>0</v>
      </c>
      <c r="P1637" s="1">
        <v>0</v>
      </c>
      <c r="Q1637" s="1">
        <v>0</v>
      </c>
      <c r="R1637" s="1">
        <v>0</v>
      </c>
      <c r="S1637" s="1">
        <v>0</v>
      </c>
      <c r="T1637" s="1">
        <v>0</v>
      </c>
      <c r="U1637" s="1">
        <v>0</v>
      </c>
      <c r="V1637" s="1" t="s">
        <v>301</v>
      </c>
    </row>
    <row r="1638" spans="1:22">
      <c r="A1638" t="s">
        <v>187</v>
      </c>
      <c r="B1638" t="s">
        <v>57</v>
      </c>
      <c r="C1638" t="s">
        <v>64</v>
      </c>
      <c r="D1638" s="1">
        <v>0</v>
      </c>
      <c r="E1638" s="1">
        <v>0</v>
      </c>
      <c r="F1638" s="1">
        <v>0</v>
      </c>
      <c r="G1638" s="1">
        <v>0</v>
      </c>
      <c r="H1638" s="1">
        <v>0</v>
      </c>
      <c r="I1638" s="1">
        <v>0</v>
      </c>
      <c r="J1638" s="1">
        <v>0</v>
      </c>
      <c r="K1638" s="1">
        <v>0</v>
      </c>
      <c r="L1638" s="1">
        <v>0</v>
      </c>
      <c r="M1638" s="1">
        <v>0</v>
      </c>
      <c r="N1638" s="1">
        <v>0</v>
      </c>
      <c r="O1638" s="1">
        <v>0</v>
      </c>
      <c r="P1638" s="1">
        <v>0</v>
      </c>
      <c r="Q1638" s="1">
        <v>0</v>
      </c>
      <c r="R1638" s="1">
        <v>0</v>
      </c>
      <c r="S1638" s="1">
        <v>0</v>
      </c>
      <c r="T1638" s="1">
        <v>0</v>
      </c>
      <c r="U1638" s="1">
        <v>0</v>
      </c>
      <c r="V1638" s="1" t="s">
        <v>301</v>
      </c>
    </row>
    <row r="1639" spans="1:22">
      <c r="A1639" t="s">
        <v>187</v>
      </c>
      <c r="B1639" t="s">
        <v>57</v>
      </c>
      <c r="C1639" t="s">
        <v>65</v>
      </c>
      <c r="D1639" s="1">
        <v>0</v>
      </c>
      <c r="E1639" s="1">
        <v>0</v>
      </c>
      <c r="F1639" s="1">
        <v>0</v>
      </c>
      <c r="G1639" s="1">
        <v>0</v>
      </c>
      <c r="H1639" s="1">
        <v>0</v>
      </c>
      <c r="I1639" s="1">
        <v>0</v>
      </c>
      <c r="J1639" s="1">
        <v>0</v>
      </c>
      <c r="K1639" s="1">
        <v>0</v>
      </c>
      <c r="L1639" s="1">
        <v>0</v>
      </c>
      <c r="M1639" s="1">
        <v>0</v>
      </c>
      <c r="N1639" s="1">
        <v>0</v>
      </c>
      <c r="O1639" s="1">
        <v>0</v>
      </c>
      <c r="P1639" s="1">
        <v>0</v>
      </c>
      <c r="Q1639" s="1">
        <v>0</v>
      </c>
      <c r="R1639" s="1">
        <v>0</v>
      </c>
      <c r="S1639" s="1">
        <v>0</v>
      </c>
      <c r="T1639" s="1">
        <v>0</v>
      </c>
      <c r="U1639" s="1">
        <v>0</v>
      </c>
      <c r="V1639" s="1" t="s">
        <v>301</v>
      </c>
    </row>
    <row r="1640" spans="1:22">
      <c r="A1640" t="s">
        <v>188</v>
      </c>
      <c r="B1640" t="s">
        <v>57</v>
      </c>
      <c r="C1640" t="s">
        <v>58</v>
      </c>
      <c r="D1640" s="1">
        <v>0</v>
      </c>
      <c r="E1640" s="1">
        <v>0</v>
      </c>
      <c r="F1640" s="1">
        <v>0</v>
      </c>
      <c r="G1640" s="1">
        <v>0</v>
      </c>
      <c r="H1640" s="1">
        <v>0</v>
      </c>
      <c r="I1640" s="1">
        <v>0</v>
      </c>
      <c r="J1640" s="1">
        <v>0</v>
      </c>
      <c r="K1640" s="1">
        <v>0</v>
      </c>
      <c r="L1640" s="1">
        <v>0</v>
      </c>
      <c r="M1640" s="1">
        <v>0</v>
      </c>
      <c r="N1640" s="1">
        <v>0</v>
      </c>
      <c r="O1640" s="1">
        <v>0</v>
      </c>
      <c r="P1640" s="1">
        <v>0</v>
      </c>
      <c r="Q1640" s="1">
        <v>0</v>
      </c>
      <c r="R1640" s="1">
        <v>0</v>
      </c>
      <c r="S1640" s="1">
        <v>0</v>
      </c>
      <c r="T1640" s="1">
        <v>0</v>
      </c>
      <c r="U1640" s="1">
        <v>2</v>
      </c>
      <c r="V1640" s="1" t="s">
        <v>301</v>
      </c>
    </row>
    <row r="1641" spans="1:22">
      <c r="A1641" t="s">
        <v>188</v>
      </c>
      <c r="B1641" t="s">
        <v>57</v>
      </c>
      <c r="C1641" t="s">
        <v>59</v>
      </c>
      <c r="D1641" s="1">
        <v>0</v>
      </c>
      <c r="E1641" s="1">
        <v>0</v>
      </c>
      <c r="F1641" s="1">
        <v>0</v>
      </c>
      <c r="G1641" s="1">
        <v>0</v>
      </c>
      <c r="H1641" s="1">
        <v>0</v>
      </c>
      <c r="I1641" s="1">
        <v>0</v>
      </c>
      <c r="J1641" s="1">
        <v>0</v>
      </c>
      <c r="K1641" s="1">
        <v>0</v>
      </c>
      <c r="L1641" s="1">
        <v>0</v>
      </c>
      <c r="M1641" s="1">
        <v>0</v>
      </c>
      <c r="N1641" s="1">
        <v>0</v>
      </c>
      <c r="O1641" s="1">
        <v>0</v>
      </c>
      <c r="P1641" s="1">
        <v>0</v>
      </c>
      <c r="Q1641" s="1">
        <v>0</v>
      </c>
      <c r="R1641" s="1">
        <v>0</v>
      </c>
      <c r="S1641" s="1">
        <v>0</v>
      </c>
      <c r="T1641" s="1">
        <v>0</v>
      </c>
      <c r="U1641" s="1">
        <v>0</v>
      </c>
      <c r="V1641" s="1" t="s">
        <v>301</v>
      </c>
    </row>
    <row r="1642" spans="1:22">
      <c r="A1642" t="s">
        <v>188</v>
      </c>
      <c r="B1642" t="s">
        <v>57</v>
      </c>
      <c r="C1642" t="s">
        <v>60</v>
      </c>
      <c r="D1642" s="1">
        <v>0</v>
      </c>
      <c r="E1642" s="1">
        <v>0</v>
      </c>
      <c r="F1642" s="1">
        <v>0</v>
      </c>
      <c r="G1642" s="1">
        <v>0</v>
      </c>
      <c r="H1642" s="1">
        <v>0</v>
      </c>
      <c r="I1642" s="1">
        <v>0</v>
      </c>
      <c r="J1642" s="1">
        <v>0</v>
      </c>
      <c r="K1642" s="1">
        <v>0</v>
      </c>
      <c r="L1642" s="1">
        <v>0</v>
      </c>
      <c r="M1642" s="1">
        <v>0</v>
      </c>
      <c r="N1642" s="1">
        <v>0</v>
      </c>
      <c r="O1642" s="1">
        <v>0</v>
      </c>
      <c r="P1642" s="1">
        <v>0</v>
      </c>
      <c r="Q1642" s="1">
        <v>0</v>
      </c>
      <c r="R1642" s="1">
        <v>0</v>
      </c>
      <c r="S1642" s="1">
        <v>0</v>
      </c>
      <c r="T1642" s="1">
        <v>0</v>
      </c>
      <c r="U1642" s="1">
        <v>0</v>
      </c>
      <c r="V1642" s="1" t="s">
        <v>301</v>
      </c>
    </row>
    <row r="1643" spans="1:22">
      <c r="A1643" t="s">
        <v>188</v>
      </c>
      <c r="B1643" t="s">
        <v>57</v>
      </c>
      <c r="C1643" t="s">
        <v>61</v>
      </c>
      <c r="D1643" s="1">
        <v>0</v>
      </c>
      <c r="E1643" s="1">
        <v>0</v>
      </c>
      <c r="F1643" s="1">
        <v>0</v>
      </c>
      <c r="G1643" s="1">
        <v>0</v>
      </c>
      <c r="H1643" s="1">
        <v>0</v>
      </c>
      <c r="I1643" s="1">
        <v>0</v>
      </c>
      <c r="J1643" s="1">
        <v>0</v>
      </c>
      <c r="K1643" s="1">
        <v>0</v>
      </c>
      <c r="L1643" s="1">
        <v>0</v>
      </c>
      <c r="M1643" s="1">
        <v>0</v>
      </c>
      <c r="N1643" s="1">
        <v>0</v>
      </c>
      <c r="O1643" s="1">
        <v>0</v>
      </c>
      <c r="P1643" s="1">
        <v>0</v>
      </c>
      <c r="Q1643" s="1">
        <v>0</v>
      </c>
      <c r="R1643" s="1">
        <v>0</v>
      </c>
      <c r="S1643" s="1">
        <v>0</v>
      </c>
      <c r="T1643" s="1">
        <v>0</v>
      </c>
      <c r="U1643" s="1">
        <v>0</v>
      </c>
      <c r="V1643" s="1" t="s">
        <v>301</v>
      </c>
    </row>
    <row r="1644" spans="1:22">
      <c r="A1644" t="s">
        <v>188</v>
      </c>
      <c r="B1644" t="s">
        <v>57</v>
      </c>
      <c r="C1644" t="s">
        <v>62</v>
      </c>
      <c r="D1644" s="1">
        <v>0</v>
      </c>
      <c r="E1644" s="1">
        <v>0</v>
      </c>
      <c r="F1644" s="1">
        <v>0</v>
      </c>
      <c r="G1644" s="1">
        <v>0</v>
      </c>
      <c r="H1644" s="1">
        <v>0</v>
      </c>
      <c r="I1644" s="1">
        <v>0</v>
      </c>
      <c r="J1644" s="1">
        <v>0</v>
      </c>
      <c r="K1644" s="1">
        <v>0</v>
      </c>
      <c r="L1644" s="1">
        <v>0</v>
      </c>
      <c r="M1644" s="1">
        <v>0</v>
      </c>
      <c r="N1644" s="1">
        <v>0</v>
      </c>
      <c r="O1644" s="1">
        <v>0</v>
      </c>
      <c r="P1644" s="1">
        <v>0</v>
      </c>
      <c r="Q1644" s="1">
        <v>0</v>
      </c>
      <c r="R1644" s="1">
        <v>0</v>
      </c>
      <c r="S1644" s="1">
        <v>0</v>
      </c>
      <c r="T1644" s="1">
        <v>0</v>
      </c>
      <c r="U1644" s="1">
        <v>0</v>
      </c>
      <c r="V1644" s="1" t="s">
        <v>301</v>
      </c>
    </row>
    <row r="1645" spans="1:22">
      <c r="A1645" t="s">
        <v>188</v>
      </c>
      <c r="B1645" t="s">
        <v>57</v>
      </c>
      <c r="C1645" t="s">
        <v>63</v>
      </c>
      <c r="D1645" s="1">
        <v>0</v>
      </c>
      <c r="E1645" s="1">
        <v>0</v>
      </c>
      <c r="F1645" s="1">
        <v>0</v>
      </c>
      <c r="G1645" s="1">
        <v>0</v>
      </c>
      <c r="H1645" s="1">
        <v>0</v>
      </c>
      <c r="I1645" s="1">
        <v>0</v>
      </c>
      <c r="J1645" s="1">
        <v>0</v>
      </c>
      <c r="K1645" s="1">
        <v>0</v>
      </c>
      <c r="L1645" s="1">
        <v>0</v>
      </c>
      <c r="M1645" s="1">
        <v>0</v>
      </c>
      <c r="N1645" s="1">
        <v>0</v>
      </c>
      <c r="O1645" s="1">
        <v>0</v>
      </c>
      <c r="P1645" s="1">
        <v>0</v>
      </c>
      <c r="Q1645" s="1">
        <v>0</v>
      </c>
      <c r="R1645" s="1">
        <v>0</v>
      </c>
      <c r="S1645" s="1">
        <v>0</v>
      </c>
      <c r="T1645" s="1">
        <v>0</v>
      </c>
      <c r="U1645" s="1">
        <v>0</v>
      </c>
      <c r="V1645" s="1" t="s">
        <v>301</v>
      </c>
    </row>
    <row r="1646" spans="1:22">
      <c r="A1646" t="s">
        <v>188</v>
      </c>
      <c r="B1646" t="s">
        <v>57</v>
      </c>
      <c r="C1646" t="s">
        <v>64</v>
      </c>
      <c r="D1646" s="1">
        <v>0</v>
      </c>
      <c r="E1646" s="1">
        <v>0</v>
      </c>
      <c r="F1646" s="1">
        <v>0</v>
      </c>
      <c r="G1646" s="1">
        <v>0</v>
      </c>
      <c r="H1646" s="1">
        <v>0</v>
      </c>
      <c r="I1646" s="1">
        <v>0</v>
      </c>
      <c r="J1646" s="1">
        <v>0</v>
      </c>
      <c r="K1646" s="1">
        <v>0</v>
      </c>
      <c r="L1646" s="1">
        <v>0</v>
      </c>
      <c r="M1646" s="1">
        <v>0</v>
      </c>
      <c r="N1646" s="1">
        <v>0</v>
      </c>
      <c r="O1646" s="1">
        <v>0</v>
      </c>
      <c r="P1646" s="1">
        <v>0</v>
      </c>
      <c r="Q1646" s="1">
        <v>0</v>
      </c>
      <c r="R1646" s="1">
        <v>0</v>
      </c>
      <c r="S1646" s="1">
        <v>0</v>
      </c>
      <c r="T1646" s="1">
        <v>0</v>
      </c>
      <c r="U1646" s="1">
        <v>0</v>
      </c>
      <c r="V1646" s="1" t="s">
        <v>301</v>
      </c>
    </row>
    <row r="1647" spans="1:22">
      <c r="A1647" t="s">
        <v>188</v>
      </c>
      <c r="B1647" t="s">
        <v>57</v>
      </c>
      <c r="C1647" t="s">
        <v>65</v>
      </c>
      <c r="D1647" s="1">
        <v>0</v>
      </c>
      <c r="E1647" s="1">
        <v>0</v>
      </c>
      <c r="F1647" s="1">
        <v>0</v>
      </c>
      <c r="G1647" s="1">
        <v>0</v>
      </c>
      <c r="H1647" s="1">
        <v>0</v>
      </c>
      <c r="I1647" s="1">
        <v>0</v>
      </c>
      <c r="J1647" s="1">
        <v>0</v>
      </c>
      <c r="K1647" s="1">
        <v>0</v>
      </c>
      <c r="L1647" s="1">
        <v>0</v>
      </c>
      <c r="M1647" s="1">
        <v>0</v>
      </c>
      <c r="N1647" s="1">
        <v>0</v>
      </c>
      <c r="O1647" s="1">
        <v>0</v>
      </c>
      <c r="P1647" s="1">
        <v>0</v>
      </c>
      <c r="Q1647" s="1">
        <v>0</v>
      </c>
      <c r="R1647" s="1">
        <v>0</v>
      </c>
      <c r="S1647" s="1">
        <v>0</v>
      </c>
      <c r="T1647" s="1">
        <v>0</v>
      </c>
      <c r="U1647" s="1">
        <v>0</v>
      </c>
      <c r="V1647" s="1" t="s">
        <v>301</v>
      </c>
    </row>
    <row r="1648" spans="1:22">
      <c r="A1648" t="s">
        <v>66</v>
      </c>
      <c r="B1648" t="s">
        <v>57</v>
      </c>
      <c r="C1648" t="s">
        <v>58</v>
      </c>
      <c r="D1648" s="1">
        <v>0</v>
      </c>
      <c r="E1648" s="1">
        <v>0</v>
      </c>
      <c r="F1648" s="1">
        <v>0</v>
      </c>
      <c r="G1648" s="1">
        <v>0</v>
      </c>
      <c r="H1648" s="1">
        <v>0</v>
      </c>
      <c r="I1648" s="1">
        <v>0</v>
      </c>
      <c r="J1648" s="1">
        <v>0</v>
      </c>
      <c r="K1648" s="1">
        <v>0</v>
      </c>
      <c r="L1648" s="1">
        <v>0</v>
      </c>
      <c r="M1648" s="1">
        <v>0</v>
      </c>
      <c r="N1648" s="1">
        <v>0</v>
      </c>
      <c r="O1648" s="1">
        <v>0</v>
      </c>
      <c r="P1648" s="1">
        <v>0</v>
      </c>
      <c r="Q1648" s="1">
        <v>0</v>
      </c>
      <c r="R1648" s="1">
        <v>0</v>
      </c>
      <c r="S1648" s="1">
        <v>0</v>
      </c>
      <c r="T1648" s="1">
        <v>0</v>
      </c>
      <c r="U1648" s="1">
        <v>2</v>
      </c>
      <c r="V1648" s="1" t="s">
        <v>301</v>
      </c>
    </row>
    <row r="1649" spans="1:22">
      <c r="A1649" t="s">
        <v>66</v>
      </c>
      <c r="B1649" t="s">
        <v>57</v>
      </c>
      <c r="C1649" t="s">
        <v>59</v>
      </c>
      <c r="D1649" s="1">
        <v>0</v>
      </c>
      <c r="E1649" s="1">
        <v>0</v>
      </c>
      <c r="F1649" s="1">
        <v>0</v>
      </c>
      <c r="G1649" s="1">
        <v>0</v>
      </c>
      <c r="H1649" s="1">
        <v>0</v>
      </c>
      <c r="I1649" s="1">
        <v>0</v>
      </c>
      <c r="J1649" s="1">
        <v>0</v>
      </c>
      <c r="K1649" s="1">
        <v>0</v>
      </c>
      <c r="L1649" s="1">
        <v>0</v>
      </c>
      <c r="M1649" s="1">
        <v>0</v>
      </c>
      <c r="N1649" s="1">
        <v>0</v>
      </c>
      <c r="O1649" s="1">
        <v>0</v>
      </c>
      <c r="P1649" s="1">
        <v>0</v>
      </c>
      <c r="Q1649" s="1">
        <v>0</v>
      </c>
      <c r="R1649" s="1">
        <v>0</v>
      </c>
      <c r="S1649" s="1">
        <v>0</v>
      </c>
      <c r="T1649" s="1">
        <v>0</v>
      </c>
      <c r="U1649" s="1">
        <v>0</v>
      </c>
      <c r="V1649" s="1" t="s">
        <v>301</v>
      </c>
    </row>
    <row r="1650" spans="1:22">
      <c r="A1650" t="s">
        <v>66</v>
      </c>
      <c r="B1650" t="s">
        <v>57</v>
      </c>
      <c r="C1650" t="s">
        <v>60</v>
      </c>
      <c r="D1650" s="1">
        <v>0</v>
      </c>
      <c r="E1650" s="1">
        <v>0</v>
      </c>
      <c r="F1650" s="1">
        <v>0</v>
      </c>
      <c r="G1650" s="1">
        <v>0</v>
      </c>
      <c r="H1650" s="1">
        <v>0</v>
      </c>
      <c r="I1650" s="1">
        <v>0</v>
      </c>
      <c r="J1650" s="1">
        <v>0</v>
      </c>
      <c r="K1650" s="1">
        <v>0</v>
      </c>
      <c r="L1650" s="1">
        <v>0</v>
      </c>
      <c r="M1650" s="1">
        <v>0</v>
      </c>
      <c r="N1650" s="1">
        <v>0</v>
      </c>
      <c r="O1650" s="1">
        <v>0</v>
      </c>
      <c r="P1650" s="1">
        <v>0</v>
      </c>
      <c r="Q1650" s="1">
        <v>0</v>
      </c>
      <c r="R1650" s="1">
        <v>0</v>
      </c>
      <c r="S1650" s="1">
        <v>0</v>
      </c>
      <c r="T1650" s="1">
        <v>0</v>
      </c>
      <c r="U1650" s="1">
        <v>0</v>
      </c>
      <c r="V1650" s="1" t="s">
        <v>301</v>
      </c>
    </row>
    <row r="1651" spans="1:22">
      <c r="A1651" t="s">
        <v>66</v>
      </c>
      <c r="B1651" t="s">
        <v>57</v>
      </c>
      <c r="C1651" t="s">
        <v>61</v>
      </c>
      <c r="D1651" s="1">
        <v>0</v>
      </c>
      <c r="E1651" s="1">
        <v>0</v>
      </c>
      <c r="F1651" s="1">
        <v>0</v>
      </c>
      <c r="G1651" s="1">
        <v>0</v>
      </c>
      <c r="H1651" s="1">
        <v>0</v>
      </c>
      <c r="I1651" s="1">
        <v>0</v>
      </c>
      <c r="J1651" s="1">
        <v>0</v>
      </c>
      <c r="K1651" s="1">
        <v>0</v>
      </c>
      <c r="L1651" s="1">
        <v>0</v>
      </c>
      <c r="M1651" s="1">
        <v>0</v>
      </c>
      <c r="N1651" s="1">
        <v>0</v>
      </c>
      <c r="O1651" s="1">
        <v>0</v>
      </c>
      <c r="P1651" s="1">
        <v>0</v>
      </c>
      <c r="Q1651" s="1">
        <v>0</v>
      </c>
      <c r="R1651" s="1">
        <v>0</v>
      </c>
      <c r="S1651" s="1">
        <v>0</v>
      </c>
      <c r="T1651" s="1">
        <v>0</v>
      </c>
      <c r="U1651" s="1">
        <v>0</v>
      </c>
      <c r="V1651" s="1" t="s">
        <v>301</v>
      </c>
    </row>
    <row r="1652" spans="1:22">
      <c r="A1652" t="s">
        <v>66</v>
      </c>
      <c r="B1652" t="s">
        <v>57</v>
      </c>
      <c r="C1652" t="s">
        <v>62</v>
      </c>
      <c r="D1652" s="1">
        <v>0</v>
      </c>
      <c r="E1652" s="1">
        <v>0</v>
      </c>
      <c r="F1652" s="1">
        <v>0</v>
      </c>
      <c r="G1652" s="1">
        <v>0</v>
      </c>
      <c r="H1652" s="1">
        <v>0</v>
      </c>
      <c r="I1652" s="1">
        <v>0</v>
      </c>
      <c r="J1652" s="1">
        <v>0</v>
      </c>
      <c r="K1652" s="1">
        <v>0</v>
      </c>
      <c r="L1652" s="1">
        <v>0</v>
      </c>
      <c r="M1652" s="1">
        <v>0</v>
      </c>
      <c r="N1652" s="1">
        <v>0</v>
      </c>
      <c r="O1652" s="1">
        <v>0</v>
      </c>
      <c r="P1652" s="1">
        <v>0</v>
      </c>
      <c r="Q1652" s="1">
        <v>0</v>
      </c>
      <c r="R1652" s="1">
        <v>0</v>
      </c>
      <c r="S1652" s="1">
        <v>0</v>
      </c>
      <c r="T1652" s="1">
        <v>0</v>
      </c>
      <c r="U1652" s="1">
        <v>0</v>
      </c>
      <c r="V1652" s="1" t="s">
        <v>301</v>
      </c>
    </row>
    <row r="1653" spans="1:22">
      <c r="A1653" t="s">
        <v>66</v>
      </c>
      <c r="B1653" t="s">
        <v>57</v>
      </c>
      <c r="C1653" t="s">
        <v>63</v>
      </c>
      <c r="D1653" s="1">
        <v>0</v>
      </c>
      <c r="E1653" s="1">
        <v>0</v>
      </c>
      <c r="F1653" s="1">
        <v>0</v>
      </c>
      <c r="G1653" s="1">
        <v>0</v>
      </c>
      <c r="H1653" s="1">
        <v>0</v>
      </c>
      <c r="I1653" s="1">
        <v>0</v>
      </c>
      <c r="J1653" s="1">
        <v>0</v>
      </c>
      <c r="K1653" s="1">
        <v>0</v>
      </c>
      <c r="L1653" s="1">
        <v>0</v>
      </c>
      <c r="M1653" s="1">
        <v>0</v>
      </c>
      <c r="N1653" s="1">
        <v>0</v>
      </c>
      <c r="O1653" s="1">
        <v>0</v>
      </c>
      <c r="P1653" s="1">
        <v>0</v>
      </c>
      <c r="Q1653" s="1">
        <v>0</v>
      </c>
      <c r="R1653" s="1">
        <v>0</v>
      </c>
      <c r="S1653" s="1">
        <v>0</v>
      </c>
      <c r="T1653" s="1">
        <v>0</v>
      </c>
      <c r="U1653" s="1">
        <v>0</v>
      </c>
      <c r="V1653" s="1" t="s">
        <v>301</v>
      </c>
    </row>
    <row r="1654" spans="1:22">
      <c r="A1654" t="s">
        <v>66</v>
      </c>
      <c r="B1654" t="s">
        <v>57</v>
      </c>
      <c r="C1654" t="s">
        <v>64</v>
      </c>
      <c r="D1654" s="1">
        <v>0</v>
      </c>
      <c r="E1654" s="1">
        <v>0</v>
      </c>
      <c r="F1654" s="1">
        <v>0</v>
      </c>
      <c r="G1654" s="1">
        <v>0</v>
      </c>
      <c r="H1654" s="1">
        <v>0</v>
      </c>
      <c r="I1654" s="1">
        <v>0</v>
      </c>
      <c r="J1654" s="1">
        <v>0</v>
      </c>
      <c r="K1654" s="1">
        <v>0</v>
      </c>
      <c r="L1654" s="1">
        <v>0</v>
      </c>
      <c r="M1654" s="1">
        <v>0</v>
      </c>
      <c r="N1654" s="1">
        <v>0</v>
      </c>
      <c r="O1654" s="1">
        <v>0</v>
      </c>
      <c r="P1654" s="1">
        <v>0</v>
      </c>
      <c r="Q1654" s="1">
        <v>0</v>
      </c>
      <c r="R1654" s="1">
        <v>0</v>
      </c>
      <c r="S1654" s="1">
        <v>0</v>
      </c>
      <c r="T1654" s="1">
        <v>0</v>
      </c>
      <c r="U1654" s="1">
        <v>0</v>
      </c>
      <c r="V1654" s="1" t="s">
        <v>301</v>
      </c>
    </row>
    <row r="1655" spans="1:22">
      <c r="A1655" t="s">
        <v>66</v>
      </c>
      <c r="B1655" t="s">
        <v>57</v>
      </c>
      <c r="C1655" t="s">
        <v>65</v>
      </c>
      <c r="D1655" s="1">
        <v>0</v>
      </c>
      <c r="E1655" s="1">
        <v>0</v>
      </c>
      <c r="F1655" s="1">
        <v>0</v>
      </c>
      <c r="G1655" s="1">
        <v>0</v>
      </c>
      <c r="H1655" s="1">
        <v>0</v>
      </c>
      <c r="I1655" s="1">
        <v>0</v>
      </c>
      <c r="J1655" s="1">
        <v>0</v>
      </c>
      <c r="K1655" s="1">
        <v>0</v>
      </c>
      <c r="L1655" s="1">
        <v>0</v>
      </c>
      <c r="M1655" s="1">
        <v>0</v>
      </c>
      <c r="N1655" s="1">
        <v>0</v>
      </c>
      <c r="O1655" s="1">
        <v>0</v>
      </c>
      <c r="P1655" s="1">
        <v>0</v>
      </c>
      <c r="Q1655" s="1">
        <v>0</v>
      </c>
      <c r="R1655" s="1">
        <v>0</v>
      </c>
      <c r="S1655" s="1">
        <v>0</v>
      </c>
      <c r="T1655" s="1">
        <v>0</v>
      </c>
      <c r="U1655" s="1">
        <v>0</v>
      </c>
      <c r="V1655" s="1" t="s">
        <v>301</v>
      </c>
    </row>
    <row r="1656" spans="1:22">
      <c r="A1656" t="s">
        <v>189</v>
      </c>
      <c r="B1656" t="s">
        <v>57</v>
      </c>
      <c r="C1656" t="s">
        <v>58</v>
      </c>
      <c r="D1656" s="1">
        <v>0</v>
      </c>
      <c r="E1656" s="1">
        <v>0</v>
      </c>
      <c r="F1656" s="1">
        <v>0</v>
      </c>
      <c r="G1656" s="1">
        <v>0</v>
      </c>
      <c r="H1656" s="1">
        <v>0</v>
      </c>
      <c r="I1656" s="1">
        <v>0</v>
      </c>
      <c r="J1656" s="1">
        <v>0</v>
      </c>
      <c r="K1656" s="1">
        <v>0</v>
      </c>
      <c r="L1656" s="1">
        <v>0</v>
      </c>
      <c r="M1656" s="1">
        <v>0</v>
      </c>
      <c r="N1656" s="1">
        <v>0</v>
      </c>
      <c r="O1656" s="1">
        <v>0</v>
      </c>
      <c r="P1656" s="1">
        <v>0</v>
      </c>
      <c r="Q1656" s="1">
        <v>0</v>
      </c>
      <c r="R1656" s="1">
        <v>0</v>
      </c>
      <c r="S1656" s="1">
        <v>0</v>
      </c>
      <c r="T1656" s="1">
        <v>0</v>
      </c>
      <c r="U1656" s="1">
        <v>2</v>
      </c>
      <c r="V1656" s="1" t="s">
        <v>301</v>
      </c>
    </row>
    <row r="1657" spans="1:22">
      <c r="A1657" t="s">
        <v>189</v>
      </c>
      <c r="B1657" t="s">
        <v>57</v>
      </c>
      <c r="C1657" t="s">
        <v>59</v>
      </c>
      <c r="D1657" s="1">
        <v>0</v>
      </c>
      <c r="E1657" s="1">
        <v>0</v>
      </c>
      <c r="F1657" s="1">
        <v>0</v>
      </c>
      <c r="G1657" s="1">
        <v>0</v>
      </c>
      <c r="H1657" s="1">
        <v>0</v>
      </c>
      <c r="I1657" s="1">
        <v>0</v>
      </c>
      <c r="J1657" s="1">
        <v>0</v>
      </c>
      <c r="K1657" s="1">
        <v>0</v>
      </c>
      <c r="L1657" s="1">
        <v>0</v>
      </c>
      <c r="M1657" s="1">
        <v>0</v>
      </c>
      <c r="N1657" s="1">
        <v>0</v>
      </c>
      <c r="O1657" s="1">
        <v>0</v>
      </c>
      <c r="P1657" s="1">
        <v>0</v>
      </c>
      <c r="Q1657" s="1">
        <v>0</v>
      </c>
      <c r="R1657" s="1">
        <v>0</v>
      </c>
      <c r="S1657" s="1">
        <v>0</v>
      </c>
      <c r="T1657" s="1">
        <v>0</v>
      </c>
      <c r="U1657" s="1">
        <v>0</v>
      </c>
      <c r="V1657" s="1" t="s">
        <v>301</v>
      </c>
    </row>
    <row r="1658" spans="1:22">
      <c r="A1658" t="s">
        <v>189</v>
      </c>
      <c r="B1658" t="s">
        <v>57</v>
      </c>
      <c r="C1658" t="s">
        <v>60</v>
      </c>
      <c r="D1658" s="1">
        <v>0</v>
      </c>
      <c r="E1658" s="1">
        <v>0</v>
      </c>
      <c r="F1658" s="1">
        <v>0</v>
      </c>
      <c r="G1658" s="1">
        <v>0</v>
      </c>
      <c r="H1658" s="1">
        <v>0</v>
      </c>
      <c r="I1658" s="1">
        <v>0</v>
      </c>
      <c r="J1658" s="1">
        <v>0</v>
      </c>
      <c r="K1658" s="1">
        <v>0</v>
      </c>
      <c r="L1658" s="1">
        <v>0</v>
      </c>
      <c r="M1658" s="1">
        <v>0</v>
      </c>
      <c r="N1658" s="1">
        <v>0</v>
      </c>
      <c r="O1658" s="1">
        <v>0</v>
      </c>
      <c r="P1658" s="1">
        <v>0</v>
      </c>
      <c r="Q1658" s="1">
        <v>0</v>
      </c>
      <c r="R1658" s="1">
        <v>0</v>
      </c>
      <c r="S1658" s="1">
        <v>0</v>
      </c>
      <c r="T1658" s="1">
        <v>0</v>
      </c>
      <c r="U1658" s="1">
        <v>0</v>
      </c>
      <c r="V1658" s="1" t="s">
        <v>301</v>
      </c>
    </row>
    <row r="1659" spans="1:22">
      <c r="A1659" t="s">
        <v>189</v>
      </c>
      <c r="B1659" t="s">
        <v>57</v>
      </c>
      <c r="C1659" t="s">
        <v>61</v>
      </c>
      <c r="D1659" s="1">
        <v>0</v>
      </c>
      <c r="E1659" s="1">
        <v>0</v>
      </c>
      <c r="F1659" s="1">
        <v>0</v>
      </c>
      <c r="G1659" s="1">
        <v>0</v>
      </c>
      <c r="H1659" s="1">
        <v>0</v>
      </c>
      <c r="I1659" s="1">
        <v>0</v>
      </c>
      <c r="J1659" s="1">
        <v>0</v>
      </c>
      <c r="K1659" s="1">
        <v>0</v>
      </c>
      <c r="L1659" s="1">
        <v>0</v>
      </c>
      <c r="M1659" s="1">
        <v>0</v>
      </c>
      <c r="N1659" s="1">
        <v>0</v>
      </c>
      <c r="O1659" s="1">
        <v>0</v>
      </c>
      <c r="P1659" s="1">
        <v>0</v>
      </c>
      <c r="Q1659" s="1">
        <v>0</v>
      </c>
      <c r="R1659" s="1">
        <v>0</v>
      </c>
      <c r="S1659" s="1">
        <v>0</v>
      </c>
      <c r="T1659" s="1">
        <v>0</v>
      </c>
      <c r="U1659" s="1">
        <v>0</v>
      </c>
      <c r="V1659" s="1" t="s">
        <v>301</v>
      </c>
    </row>
    <row r="1660" spans="1:22">
      <c r="A1660" t="s">
        <v>189</v>
      </c>
      <c r="B1660" t="s">
        <v>57</v>
      </c>
      <c r="C1660" t="s">
        <v>62</v>
      </c>
      <c r="D1660" s="1">
        <v>0</v>
      </c>
      <c r="E1660" s="1">
        <v>0</v>
      </c>
      <c r="F1660" s="1">
        <v>0</v>
      </c>
      <c r="G1660" s="1">
        <v>0</v>
      </c>
      <c r="H1660" s="1">
        <v>0</v>
      </c>
      <c r="I1660" s="1">
        <v>0</v>
      </c>
      <c r="J1660" s="1">
        <v>0</v>
      </c>
      <c r="K1660" s="1">
        <v>0</v>
      </c>
      <c r="L1660" s="1">
        <v>0</v>
      </c>
      <c r="M1660" s="1">
        <v>0</v>
      </c>
      <c r="N1660" s="1">
        <v>0</v>
      </c>
      <c r="O1660" s="1">
        <v>0</v>
      </c>
      <c r="P1660" s="1">
        <v>0</v>
      </c>
      <c r="Q1660" s="1">
        <v>0</v>
      </c>
      <c r="R1660" s="1">
        <v>0</v>
      </c>
      <c r="S1660" s="1">
        <v>0</v>
      </c>
      <c r="T1660" s="1">
        <v>0</v>
      </c>
      <c r="U1660" s="1">
        <v>0</v>
      </c>
      <c r="V1660" s="1" t="s">
        <v>301</v>
      </c>
    </row>
    <row r="1661" spans="1:22">
      <c r="A1661" t="s">
        <v>189</v>
      </c>
      <c r="B1661" t="s">
        <v>57</v>
      </c>
      <c r="C1661" t="s">
        <v>63</v>
      </c>
      <c r="D1661" s="1">
        <v>0</v>
      </c>
      <c r="E1661" s="1">
        <v>0</v>
      </c>
      <c r="F1661" s="1">
        <v>0</v>
      </c>
      <c r="G1661" s="1">
        <v>0</v>
      </c>
      <c r="H1661" s="1">
        <v>0</v>
      </c>
      <c r="I1661" s="1">
        <v>0</v>
      </c>
      <c r="J1661" s="1">
        <v>0</v>
      </c>
      <c r="K1661" s="1">
        <v>0</v>
      </c>
      <c r="L1661" s="1">
        <v>0</v>
      </c>
      <c r="M1661" s="1">
        <v>0</v>
      </c>
      <c r="N1661" s="1">
        <v>0</v>
      </c>
      <c r="O1661" s="1">
        <v>0</v>
      </c>
      <c r="P1661" s="1">
        <v>0</v>
      </c>
      <c r="Q1661" s="1">
        <v>0</v>
      </c>
      <c r="R1661" s="1">
        <v>0</v>
      </c>
      <c r="S1661" s="1">
        <v>0</v>
      </c>
      <c r="T1661" s="1">
        <v>0</v>
      </c>
      <c r="U1661" s="1">
        <v>0</v>
      </c>
      <c r="V1661" s="1" t="s">
        <v>301</v>
      </c>
    </row>
    <row r="1662" spans="1:22">
      <c r="A1662" t="s">
        <v>189</v>
      </c>
      <c r="B1662" t="s">
        <v>57</v>
      </c>
      <c r="C1662" t="s">
        <v>64</v>
      </c>
      <c r="D1662" s="1">
        <v>0</v>
      </c>
      <c r="E1662" s="1">
        <v>0</v>
      </c>
      <c r="F1662" s="1">
        <v>0</v>
      </c>
      <c r="G1662" s="1">
        <v>0</v>
      </c>
      <c r="H1662" s="1">
        <v>0</v>
      </c>
      <c r="I1662" s="1">
        <v>0</v>
      </c>
      <c r="J1662" s="1">
        <v>0</v>
      </c>
      <c r="K1662" s="1">
        <v>0</v>
      </c>
      <c r="L1662" s="1">
        <v>0</v>
      </c>
      <c r="M1662" s="1">
        <v>0</v>
      </c>
      <c r="N1662" s="1">
        <v>0</v>
      </c>
      <c r="O1662" s="1">
        <v>0</v>
      </c>
      <c r="P1662" s="1">
        <v>0</v>
      </c>
      <c r="Q1662" s="1">
        <v>0</v>
      </c>
      <c r="R1662" s="1">
        <v>0</v>
      </c>
      <c r="S1662" s="1">
        <v>0</v>
      </c>
      <c r="T1662" s="1">
        <v>0</v>
      </c>
      <c r="U1662" s="1">
        <v>0</v>
      </c>
      <c r="V1662" s="1" t="s">
        <v>301</v>
      </c>
    </row>
    <row r="1663" spans="1:22">
      <c r="A1663" t="s">
        <v>189</v>
      </c>
      <c r="B1663" t="s">
        <v>57</v>
      </c>
      <c r="C1663" t="s">
        <v>65</v>
      </c>
      <c r="D1663" s="1">
        <v>0</v>
      </c>
      <c r="E1663" s="1">
        <v>0</v>
      </c>
      <c r="F1663" s="1">
        <v>0</v>
      </c>
      <c r="G1663" s="1">
        <v>0</v>
      </c>
      <c r="H1663" s="1">
        <v>0</v>
      </c>
      <c r="I1663" s="1">
        <v>0</v>
      </c>
      <c r="J1663" s="1">
        <v>0</v>
      </c>
      <c r="K1663" s="1">
        <v>0</v>
      </c>
      <c r="L1663" s="1">
        <v>0</v>
      </c>
      <c r="M1663" s="1">
        <v>0</v>
      </c>
      <c r="N1663" s="1">
        <v>0</v>
      </c>
      <c r="O1663" s="1">
        <v>0</v>
      </c>
      <c r="P1663" s="1">
        <v>0</v>
      </c>
      <c r="Q1663" s="1">
        <v>0</v>
      </c>
      <c r="R1663" s="1">
        <v>0</v>
      </c>
      <c r="S1663" s="1">
        <v>0</v>
      </c>
      <c r="T1663" s="1">
        <v>0</v>
      </c>
      <c r="U1663" s="1">
        <v>0</v>
      </c>
      <c r="V1663" s="1" t="s">
        <v>301</v>
      </c>
    </row>
    <row r="1664" spans="1:22">
      <c r="A1664" t="s">
        <v>190</v>
      </c>
      <c r="B1664" t="s">
        <v>57</v>
      </c>
      <c r="C1664" t="s">
        <v>58</v>
      </c>
      <c r="D1664" s="1">
        <v>0</v>
      </c>
      <c r="E1664" s="1">
        <v>0</v>
      </c>
      <c r="F1664" s="1">
        <v>0</v>
      </c>
      <c r="G1664" s="1">
        <v>0</v>
      </c>
      <c r="H1664" s="1">
        <v>0</v>
      </c>
      <c r="I1664" s="1">
        <v>0</v>
      </c>
      <c r="J1664" s="1">
        <v>0</v>
      </c>
      <c r="K1664" s="1">
        <v>0</v>
      </c>
      <c r="L1664" s="1">
        <v>0</v>
      </c>
      <c r="M1664" s="1">
        <v>0</v>
      </c>
      <c r="N1664" s="1">
        <v>0</v>
      </c>
      <c r="O1664" s="1">
        <v>0</v>
      </c>
      <c r="P1664" s="1">
        <v>0</v>
      </c>
      <c r="Q1664" s="1">
        <v>0</v>
      </c>
      <c r="R1664" s="1">
        <v>0</v>
      </c>
      <c r="S1664" s="1">
        <v>0</v>
      </c>
      <c r="T1664" s="1">
        <v>0</v>
      </c>
      <c r="U1664" s="1">
        <v>2</v>
      </c>
      <c r="V1664" s="1" t="s">
        <v>301</v>
      </c>
    </row>
    <row r="1665" spans="1:22">
      <c r="A1665" t="s">
        <v>190</v>
      </c>
      <c r="B1665" t="s">
        <v>57</v>
      </c>
      <c r="C1665" t="s">
        <v>59</v>
      </c>
      <c r="D1665" s="1">
        <v>0</v>
      </c>
      <c r="E1665" s="1">
        <v>0</v>
      </c>
      <c r="F1665" s="1">
        <v>0</v>
      </c>
      <c r="G1665" s="1">
        <v>0</v>
      </c>
      <c r="H1665" s="1">
        <v>0</v>
      </c>
      <c r="I1665" s="1">
        <v>0</v>
      </c>
      <c r="J1665" s="1">
        <v>0</v>
      </c>
      <c r="K1665" s="1">
        <v>0</v>
      </c>
      <c r="L1665" s="1">
        <v>0</v>
      </c>
      <c r="M1665" s="1">
        <v>0</v>
      </c>
      <c r="N1665" s="1">
        <v>0</v>
      </c>
      <c r="O1665" s="1">
        <v>0</v>
      </c>
      <c r="P1665" s="1">
        <v>0</v>
      </c>
      <c r="Q1665" s="1">
        <v>0</v>
      </c>
      <c r="R1665" s="1">
        <v>0</v>
      </c>
      <c r="S1665" s="1">
        <v>0</v>
      </c>
      <c r="T1665" s="1">
        <v>0</v>
      </c>
      <c r="U1665" s="1">
        <v>0</v>
      </c>
      <c r="V1665" s="1" t="s">
        <v>301</v>
      </c>
    </row>
    <row r="1666" spans="1:22">
      <c r="A1666" t="s">
        <v>190</v>
      </c>
      <c r="B1666" t="s">
        <v>57</v>
      </c>
      <c r="C1666" t="s">
        <v>60</v>
      </c>
      <c r="D1666" s="1">
        <v>0</v>
      </c>
      <c r="E1666" s="1">
        <v>0</v>
      </c>
      <c r="F1666" s="1">
        <v>0</v>
      </c>
      <c r="G1666" s="1">
        <v>0</v>
      </c>
      <c r="H1666" s="1">
        <v>0</v>
      </c>
      <c r="I1666" s="1">
        <v>0</v>
      </c>
      <c r="J1666" s="1">
        <v>0</v>
      </c>
      <c r="K1666" s="1">
        <v>0</v>
      </c>
      <c r="L1666" s="1">
        <v>0</v>
      </c>
      <c r="M1666" s="1">
        <v>0</v>
      </c>
      <c r="N1666" s="1">
        <v>0</v>
      </c>
      <c r="O1666" s="1">
        <v>0</v>
      </c>
      <c r="P1666" s="1">
        <v>0</v>
      </c>
      <c r="Q1666" s="1">
        <v>0</v>
      </c>
      <c r="R1666" s="1">
        <v>0</v>
      </c>
      <c r="S1666" s="1">
        <v>0</v>
      </c>
      <c r="T1666" s="1">
        <v>0</v>
      </c>
      <c r="U1666" s="1">
        <v>0</v>
      </c>
      <c r="V1666" s="1" t="s">
        <v>301</v>
      </c>
    </row>
    <row r="1667" spans="1:22">
      <c r="A1667" t="s">
        <v>190</v>
      </c>
      <c r="B1667" t="s">
        <v>57</v>
      </c>
      <c r="C1667" t="s">
        <v>61</v>
      </c>
      <c r="D1667" s="1">
        <v>0</v>
      </c>
      <c r="E1667" s="1">
        <v>0</v>
      </c>
      <c r="F1667" s="1">
        <v>0</v>
      </c>
      <c r="G1667" s="1">
        <v>0</v>
      </c>
      <c r="H1667" s="1">
        <v>0</v>
      </c>
      <c r="I1667" s="1">
        <v>0</v>
      </c>
      <c r="J1667" s="1">
        <v>0</v>
      </c>
      <c r="K1667" s="1">
        <v>0</v>
      </c>
      <c r="L1667" s="1">
        <v>0</v>
      </c>
      <c r="M1667" s="1">
        <v>0</v>
      </c>
      <c r="N1667" s="1">
        <v>0</v>
      </c>
      <c r="O1667" s="1">
        <v>0</v>
      </c>
      <c r="P1667" s="1">
        <v>0</v>
      </c>
      <c r="Q1667" s="1">
        <v>0</v>
      </c>
      <c r="R1667" s="1">
        <v>0</v>
      </c>
      <c r="S1667" s="1">
        <v>0</v>
      </c>
      <c r="T1667" s="1">
        <v>0</v>
      </c>
      <c r="U1667" s="1">
        <v>0</v>
      </c>
      <c r="V1667" s="1" t="s">
        <v>301</v>
      </c>
    </row>
    <row r="1668" spans="1:22">
      <c r="A1668" t="s">
        <v>190</v>
      </c>
      <c r="B1668" t="s">
        <v>57</v>
      </c>
      <c r="C1668" t="s">
        <v>62</v>
      </c>
      <c r="D1668" s="1">
        <v>0</v>
      </c>
      <c r="E1668" s="1">
        <v>0</v>
      </c>
      <c r="F1668" s="1">
        <v>0</v>
      </c>
      <c r="G1668" s="1">
        <v>0</v>
      </c>
      <c r="H1668" s="1">
        <v>0</v>
      </c>
      <c r="I1668" s="1">
        <v>0</v>
      </c>
      <c r="J1668" s="1">
        <v>0</v>
      </c>
      <c r="K1668" s="1">
        <v>0</v>
      </c>
      <c r="L1668" s="1">
        <v>0</v>
      </c>
      <c r="M1668" s="1">
        <v>0</v>
      </c>
      <c r="N1668" s="1">
        <v>0</v>
      </c>
      <c r="O1668" s="1">
        <v>0</v>
      </c>
      <c r="P1668" s="1">
        <v>0</v>
      </c>
      <c r="Q1668" s="1">
        <v>0</v>
      </c>
      <c r="R1668" s="1">
        <v>0</v>
      </c>
      <c r="S1668" s="1">
        <v>0</v>
      </c>
      <c r="T1668" s="1">
        <v>0</v>
      </c>
      <c r="U1668" s="1">
        <v>0</v>
      </c>
      <c r="V1668" s="1" t="s">
        <v>301</v>
      </c>
    </row>
    <row r="1669" spans="1:22">
      <c r="A1669" t="s">
        <v>190</v>
      </c>
      <c r="B1669" t="s">
        <v>57</v>
      </c>
      <c r="C1669" t="s">
        <v>63</v>
      </c>
      <c r="D1669" s="1">
        <v>0</v>
      </c>
      <c r="E1669" s="1">
        <v>0</v>
      </c>
      <c r="F1669" s="1">
        <v>0</v>
      </c>
      <c r="G1669" s="1">
        <v>0</v>
      </c>
      <c r="H1669" s="1">
        <v>0</v>
      </c>
      <c r="I1669" s="1">
        <v>0</v>
      </c>
      <c r="J1669" s="1">
        <v>0</v>
      </c>
      <c r="K1669" s="1">
        <v>0</v>
      </c>
      <c r="L1669" s="1">
        <v>0</v>
      </c>
      <c r="M1669" s="1">
        <v>0</v>
      </c>
      <c r="N1669" s="1">
        <v>0</v>
      </c>
      <c r="O1669" s="1">
        <v>0</v>
      </c>
      <c r="P1669" s="1">
        <v>0</v>
      </c>
      <c r="Q1669" s="1">
        <v>0</v>
      </c>
      <c r="R1669" s="1">
        <v>0</v>
      </c>
      <c r="S1669" s="1">
        <v>0</v>
      </c>
      <c r="T1669" s="1">
        <v>0</v>
      </c>
      <c r="U1669" s="1">
        <v>0</v>
      </c>
      <c r="V1669" s="1" t="s">
        <v>301</v>
      </c>
    </row>
    <row r="1670" spans="1:22">
      <c r="A1670" t="s">
        <v>190</v>
      </c>
      <c r="B1670" t="s">
        <v>57</v>
      </c>
      <c r="C1670" t="s">
        <v>64</v>
      </c>
      <c r="D1670" s="1">
        <v>0</v>
      </c>
      <c r="E1670" s="1">
        <v>0</v>
      </c>
      <c r="F1670" s="1">
        <v>0</v>
      </c>
      <c r="G1670" s="1">
        <v>0</v>
      </c>
      <c r="H1670" s="1">
        <v>0</v>
      </c>
      <c r="I1670" s="1">
        <v>0</v>
      </c>
      <c r="J1670" s="1">
        <v>0</v>
      </c>
      <c r="K1670" s="1">
        <v>0</v>
      </c>
      <c r="L1670" s="1">
        <v>0</v>
      </c>
      <c r="M1670" s="1">
        <v>0</v>
      </c>
      <c r="N1670" s="1">
        <v>0</v>
      </c>
      <c r="O1670" s="1">
        <v>0</v>
      </c>
      <c r="P1670" s="1">
        <v>0</v>
      </c>
      <c r="Q1670" s="1">
        <v>0</v>
      </c>
      <c r="R1670" s="1">
        <v>0</v>
      </c>
      <c r="S1670" s="1">
        <v>0</v>
      </c>
      <c r="T1670" s="1">
        <v>0</v>
      </c>
      <c r="U1670" s="1">
        <v>0</v>
      </c>
      <c r="V1670" s="1" t="s">
        <v>301</v>
      </c>
    </row>
    <row r="1671" spans="1:22">
      <c r="A1671" t="s">
        <v>190</v>
      </c>
      <c r="B1671" t="s">
        <v>57</v>
      </c>
      <c r="C1671" t="s">
        <v>65</v>
      </c>
      <c r="D1671" s="1">
        <v>0</v>
      </c>
      <c r="E1671" s="1">
        <v>0</v>
      </c>
      <c r="F1671" s="1">
        <v>0</v>
      </c>
      <c r="G1671" s="1">
        <v>0</v>
      </c>
      <c r="H1671" s="1">
        <v>0</v>
      </c>
      <c r="I1671" s="1">
        <v>0</v>
      </c>
      <c r="J1671" s="1">
        <v>0</v>
      </c>
      <c r="K1671" s="1">
        <v>0</v>
      </c>
      <c r="L1671" s="1">
        <v>0</v>
      </c>
      <c r="M1671" s="1">
        <v>0</v>
      </c>
      <c r="N1671" s="1">
        <v>0</v>
      </c>
      <c r="O1671" s="1">
        <v>0</v>
      </c>
      <c r="P1671" s="1">
        <v>0</v>
      </c>
      <c r="Q1671" s="1">
        <v>0</v>
      </c>
      <c r="R1671" s="1">
        <v>0</v>
      </c>
      <c r="S1671" s="1">
        <v>0</v>
      </c>
      <c r="T1671" s="1">
        <v>0</v>
      </c>
      <c r="U1671" s="1">
        <v>0</v>
      </c>
      <c r="V1671" s="1" t="s">
        <v>301</v>
      </c>
    </row>
    <row r="1672" spans="1:22">
      <c r="A1672" t="s">
        <v>191</v>
      </c>
      <c r="B1672" t="s">
        <v>57</v>
      </c>
      <c r="C1672" t="s">
        <v>58</v>
      </c>
      <c r="D1672" s="1">
        <v>0</v>
      </c>
      <c r="E1672" s="1">
        <v>0</v>
      </c>
      <c r="F1672" s="1">
        <v>0</v>
      </c>
      <c r="G1672" s="1">
        <v>0</v>
      </c>
      <c r="H1672" s="1">
        <v>0</v>
      </c>
      <c r="I1672" s="1">
        <v>0</v>
      </c>
      <c r="J1672" s="1">
        <v>0</v>
      </c>
      <c r="K1672" s="1">
        <v>0</v>
      </c>
      <c r="L1672" s="1">
        <v>0</v>
      </c>
      <c r="M1672" s="1">
        <v>0</v>
      </c>
      <c r="N1672" s="1">
        <v>0</v>
      </c>
      <c r="O1672" s="1">
        <v>0</v>
      </c>
      <c r="P1672" s="1">
        <v>0</v>
      </c>
      <c r="Q1672" s="1">
        <v>0</v>
      </c>
      <c r="R1672" s="1">
        <v>0</v>
      </c>
      <c r="S1672" s="1">
        <v>0</v>
      </c>
      <c r="T1672" s="1">
        <v>0</v>
      </c>
      <c r="U1672" s="1">
        <v>1</v>
      </c>
      <c r="V1672" s="1" t="s">
        <v>301</v>
      </c>
    </row>
    <row r="1673" spans="1:22">
      <c r="A1673" t="s">
        <v>191</v>
      </c>
      <c r="B1673" t="s">
        <v>57</v>
      </c>
      <c r="C1673" t="s">
        <v>59</v>
      </c>
      <c r="D1673" s="1">
        <v>0</v>
      </c>
      <c r="E1673" s="1">
        <v>0</v>
      </c>
      <c r="F1673" s="1">
        <v>0</v>
      </c>
      <c r="G1673" s="1">
        <v>0</v>
      </c>
      <c r="H1673" s="1">
        <v>0</v>
      </c>
      <c r="I1673" s="1">
        <v>0</v>
      </c>
      <c r="J1673" s="1">
        <v>0</v>
      </c>
      <c r="K1673" s="1">
        <v>0</v>
      </c>
      <c r="L1673" s="1">
        <v>0</v>
      </c>
      <c r="M1673" s="1">
        <v>0</v>
      </c>
      <c r="N1673" s="1">
        <v>0</v>
      </c>
      <c r="O1673" s="1">
        <v>0</v>
      </c>
      <c r="P1673" s="1">
        <v>0</v>
      </c>
      <c r="Q1673" s="1">
        <v>0</v>
      </c>
      <c r="R1673" s="1">
        <v>0</v>
      </c>
      <c r="S1673" s="1">
        <v>0</v>
      </c>
      <c r="T1673" s="1">
        <v>0</v>
      </c>
      <c r="U1673" s="1">
        <v>0</v>
      </c>
      <c r="V1673" s="1" t="s">
        <v>301</v>
      </c>
    </row>
    <row r="1674" spans="1:22">
      <c r="A1674" t="s">
        <v>191</v>
      </c>
      <c r="B1674" t="s">
        <v>57</v>
      </c>
      <c r="C1674" t="s">
        <v>60</v>
      </c>
      <c r="D1674" s="1">
        <v>0</v>
      </c>
      <c r="E1674" s="1">
        <v>0</v>
      </c>
      <c r="F1674" s="1">
        <v>0</v>
      </c>
      <c r="G1674" s="1">
        <v>0</v>
      </c>
      <c r="H1674" s="1">
        <v>0</v>
      </c>
      <c r="I1674" s="1">
        <v>0</v>
      </c>
      <c r="J1674" s="1">
        <v>0</v>
      </c>
      <c r="K1674" s="1">
        <v>0</v>
      </c>
      <c r="L1674" s="1">
        <v>0</v>
      </c>
      <c r="M1674" s="1">
        <v>0</v>
      </c>
      <c r="N1674" s="1">
        <v>0</v>
      </c>
      <c r="O1674" s="1">
        <v>0</v>
      </c>
      <c r="P1674" s="1">
        <v>0</v>
      </c>
      <c r="Q1674" s="1">
        <v>0</v>
      </c>
      <c r="R1674" s="1">
        <v>0</v>
      </c>
      <c r="S1674" s="1">
        <v>0</v>
      </c>
      <c r="T1674" s="1">
        <v>0</v>
      </c>
      <c r="U1674" s="1">
        <v>0</v>
      </c>
      <c r="V1674" s="1" t="s">
        <v>301</v>
      </c>
    </row>
    <row r="1675" spans="1:22">
      <c r="A1675" t="s">
        <v>191</v>
      </c>
      <c r="B1675" t="s">
        <v>57</v>
      </c>
      <c r="C1675" t="s">
        <v>61</v>
      </c>
      <c r="D1675" s="1">
        <v>0</v>
      </c>
      <c r="E1675" s="1">
        <v>0</v>
      </c>
      <c r="F1675" s="1">
        <v>0</v>
      </c>
      <c r="G1675" s="1">
        <v>0</v>
      </c>
      <c r="H1675" s="1">
        <v>0</v>
      </c>
      <c r="I1675" s="1">
        <v>0</v>
      </c>
      <c r="J1675" s="1">
        <v>0</v>
      </c>
      <c r="K1675" s="1">
        <v>0</v>
      </c>
      <c r="L1675" s="1">
        <v>0</v>
      </c>
      <c r="M1675" s="1">
        <v>0</v>
      </c>
      <c r="N1675" s="1">
        <v>0</v>
      </c>
      <c r="O1675" s="1">
        <v>0</v>
      </c>
      <c r="P1675" s="1">
        <v>0</v>
      </c>
      <c r="Q1675" s="1">
        <v>0</v>
      </c>
      <c r="R1675" s="1">
        <v>0</v>
      </c>
      <c r="S1675" s="1">
        <v>0</v>
      </c>
      <c r="T1675" s="1">
        <v>0</v>
      </c>
      <c r="U1675" s="1">
        <v>0</v>
      </c>
      <c r="V1675" s="1" t="s">
        <v>301</v>
      </c>
    </row>
    <row r="1676" spans="1:22">
      <c r="A1676" t="s">
        <v>191</v>
      </c>
      <c r="B1676" t="s">
        <v>57</v>
      </c>
      <c r="C1676" t="s">
        <v>62</v>
      </c>
      <c r="D1676" s="1">
        <v>0</v>
      </c>
      <c r="E1676" s="1">
        <v>0</v>
      </c>
      <c r="F1676" s="1">
        <v>0</v>
      </c>
      <c r="G1676" s="1">
        <v>0</v>
      </c>
      <c r="H1676" s="1">
        <v>0</v>
      </c>
      <c r="I1676" s="1">
        <v>0</v>
      </c>
      <c r="J1676" s="1">
        <v>0</v>
      </c>
      <c r="K1676" s="1">
        <v>0</v>
      </c>
      <c r="L1676" s="1">
        <v>0</v>
      </c>
      <c r="M1676" s="1">
        <v>0</v>
      </c>
      <c r="N1676" s="1">
        <v>0</v>
      </c>
      <c r="O1676" s="1">
        <v>0</v>
      </c>
      <c r="P1676" s="1">
        <v>0</v>
      </c>
      <c r="Q1676" s="1">
        <v>0</v>
      </c>
      <c r="R1676" s="1">
        <v>0</v>
      </c>
      <c r="S1676" s="1">
        <v>0</v>
      </c>
      <c r="T1676" s="1">
        <v>0</v>
      </c>
      <c r="U1676" s="1">
        <v>0</v>
      </c>
      <c r="V1676" s="1" t="s">
        <v>301</v>
      </c>
    </row>
    <row r="1677" spans="1:22">
      <c r="A1677" t="s">
        <v>191</v>
      </c>
      <c r="B1677" t="s">
        <v>57</v>
      </c>
      <c r="C1677" t="s">
        <v>63</v>
      </c>
      <c r="D1677" s="1">
        <v>0</v>
      </c>
      <c r="E1677" s="1">
        <v>0</v>
      </c>
      <c r="F1677" s="1">
        <v>0</v>
      </c>
      <c r="G1677" s="1">
        <v>0</v>
      </c>
      <c r="H1677" s="1">
        <v>0</v>
      </c>
      <c r="I1677" s="1">
        <v>0</v>
      </c>
      <c r="J1677" s="1">
        <v>0</v>
      </c>
      <c r="K1677" s="1">
        <v>0</v>
      </c>
      <c r="L1677" s="1">
        <v>0</v>
      </c>
      <c r="M1677" s="1">
        <v>0</v>
      </c>
      <c r="N1677" s="1">
        <v>0</v>
      </c>
      <c r="O1677" s="1">
        <v>0</v>
      </c>
      <c r="P1677" s="1">
        <v>0</v>
      </c>
      <c r="Q1677" s="1">
        <v>0</v>
      </c>
      <c r="R1677" s="1">
        <v>0</v>
      </c>
      <c r="S1677" s="1">
        <v>0</v>
      </c>
      <c r="T1677" s="1">
        <v>0</v>
      </c>
      <c r="U1677" s="1">
        <v>0</v>
      </c>
      <c r="V1677" s="1" t="s">
        <v>301</v>
      </c>
    </row>
    <row r="1678" spans="1:22">
      <c r="A1678" t="s">
        <v>191</v>
      </c>
      <c r="B1678" t="s">
        <v>57</v>
      </c>
      <c r="C1678" t="s">
        <v>64</v>
      </c>
      <c r="D1678" s="1">
        <v>0</v>
      </c>
      <c r="E1678" s="1">
        <v>0</v>
      </c>
      <c r="F1678" s="1">
        <v>0</v>
      </c>
      <c r="G1678" s="1">
        <v>0</v>
      </c>
      <c r="H1678" s="1">
        <v>0</v>
      </c>
      <c r="I1678" s="1">
        <v>0</v>
      </c>
      <c r="J1678" s="1">
        <v>0</v>
      </c>
      <c r="K1678" s="1">
        <v>0</v>
      </c>
      <c r="L1678" s="1">
        <v>0</v>
      </c>
      <c r="M1678" s="1">
        <v>0</v>
      </c>
      <c r="N1678" s="1">
        <v>0</v>
      </c>
      <c r="O1678" s="1">
        <v>0</v>
      </c>
      <c r="P1678" s="1">
        <v>0</v>
      </c>
      <c r="Q1678" s="1">
        <v>0</v>
      </c>
      <c r="R1678" s="1">
        <v>0</v>
      </c>
      <c r="S1678" s="1">
        <v>0</v>
      </c>
      <c r="T1678" s="1">
        <v>0</v>
      </c>
      <c r="U1678" s="1">
        <v>0</v>
      </c>
      <c r="V1678" s="1" t="s">
        <v>301</v>
      </c>
    </row>
    <row r="1679" spans="1:22">
      <c r="A1679" t="s">
        <v>191</v>
      </c>
      <c r="B1679" t="s">
        <v>57</v>
      </c>
      <c r="C1679" t="s">
        <v>65</v>
      </c>
      <c r="D1679" s="1">
        <v>0</v>
      </c>
      <c r="E1679" s="1">
        <v>0</v>
      </c>
      <c r="F1679" s="1">
        <v>0</v>
      </c>
      <c r="G1679" s="1">
        <v>0</v>
      </c>
      <c r="H1679" s="1">
        <v>0</v>
      </c>
      <c r="I1679" s="1">
        <v>0</v>
      </c>
      <c r="J1679" s="1">
        <v>0</v>
      </c>
      <c r="K1679" s="1">
        <v>0</v>
      </c>
      <c r="L1679" s="1">
        <v>0</v>
      </c>
      <c r="M1679" s="1">
        <v>0</v>
      </c>
      <c r="N1679" s="1">
        <v>0</v>
      </c>
      <c r="O1679" s="1">
        <v>0</v>
      </c>
      <c r="P1679" s="1">
        <v>0</v>
      </c>
      <c r="Q1679" s="1">
        <v>0</v>
      </c>
      <c r="R1679" s="1">
        <v>0</v>
      </c>
      <c r="S1679" s="1">
        <v>0</v>
      </c>
      <c r="T1679" s="1">
        <v>0</v>
      </c>
      <c r="U1679" s="1">
        <v>0</v>
      </c>
      <c r="V1679" s="1" t="s">
        <v>301</v>
      </c>
    </row>
    <row r="1680" spans="1:22">
      <c r="A1680" t="s">
        <v>192</v>
      </c>
      <c r="B1680" t="s">
        <v>57</v>
      </c>
      <c r="C1680" t="s">
        <v>58</v>
      </c>
      <c r="D1680" s="1">
        <v>0</v>
      </c>
      <c r="E1680" s="1">
        <v>0</v>
      </c>
      <c r="F1680" s="1">
        <v>0</v>
      </c>
      <c r="G1680" s="1">
        <v>0</v>
      </c>
      <c r="H1680" s="1">
        <v>0</v>
      </c>
      <c r="I1680" s="1">
        <v>0</v>
      </c>
      <c r="J1680" s="1">
        <v>0</v>
      </c>
      <c r="K1680" s="1">
        <v>0</v>
      </c>
      <c r="L1680" s="1">
        <v>0</v>
      </c>
      <c r="M1680" s="1">
        <v>0</v>
      </c>
      <c r="N1680" s="1">
        <v>0</v>
      </c>
      <c r="O1680" s="1">
        <v>0</v>
      </c>
      <c r="P1680" s="1">
        <v>0</v>
      </c>
      <c r="Q1680" s="1">
        <v>0</v>
      </c>
      <c r="R1680" s="1">
        <v>0</v>
      </c>
      <c r="S1680" s="1">
        <v>0</v>
      </c>
      <c r="T1680" s="1">
        <v>0</v>
      </c>
      <c r="U1680" s="1">
        <v>1</v>
      </c>
      <c r="V1680" s="1" t="s">
        <v>301</v>
      </c>
    </row>
    <row r="1681" spans="1:22">
      <c r="A1681" t="s">
        <v>192</v>
      </c>
      <c r="B1681" t="s">
        <v>57</v>
      </c>
      <c r="C1681" t="s">
        <v>59</v>
      </c>
      <c r="D1681" s="1">
        <v>0</v>
      </c>
      <c r="E1681" s="1">
        <v>0</v>
      </c>
      <c r="F1681" s="1">
        <v>0</v>
      </c>
      <c r="G1681" s="1">
        <v>0</v>
      </c>
      <c r="H1681" s="1">
        <v>0</v>
      </c>
      <c r="I1681" s="1">
        <v>0</v>
      </c>
      <c r="J1681" s="1">
        <v>0</v>
      </c>
      <c r="K1681" s="1">
        <v>0</v>
      </c>
      <c r="L1681" s="1">
        <v>0</v>
      </c>
      <c r="M1681" s="1">
        <v>0</v>
      </c>
      <c r="N1681" s="1">
        <v>0</v>
      </c>
      <c r="O1681" s="1">
        <v>0</v>
      </c>
      <c r="P1681" s="1">
        <v>0</v>
      </c>
      <c r="Q1681" s="1">
        <v>0</v>
      </c>
      <c r="R1681" s="1">
        <v>0</v>
      </c>
      <c r="S1681" s="1">
        <v>0</v>
      </c>
      <c r="T1681" s="1">
        <v>0</v>
      </c>
      <c r="U1681" s="1">
        <v>0</v>
      </c>
      <c r="V1681" s="1" t="s">
        <v>301</v>
      </c>
    </row>
    <row r="1682" spans="1:22">
      <c r="A1682" t="s">
        <v>192</v>
      </c>
      <c r="B1682" t="s">
        <v>57</v>
      </c>
      <c r="C1682" t="s">
        <v>60</v>
      </c>
      <c r="D1682" s="1">
        <v>0</v>
      </c>
      <c r="E1682" s="1">
        <v>0</v>
      </c>
      <c r="F1682" s="1">
        <v>0</v>
      </c>
      <c r="G1682" s="1">
        <v>0</v>
      </c>
      <c r="H1682" s="1">
        <v>0</v>
      </c>
      <c r="I1682" s="1">
        <v>0</v>
      </c>
      <c r="J1682" s="1">
        <v>0</v>
      </c>
      <c r="K1682" s="1">
        <v>0</v>
      </c>
      <c r="L1682" s="1">
        <v>0</v>
      </c>
      <c r="M1682" s="1">
        <v>0</v>
      </c>
      <c r="N1682" s="1">
        <v>0</v>
      </c>
      <c r="O1682" s="1">
        <v>0</v>
      </c>
      <c r="P1682" s="1">
        <v>0</v>
      </c>
      <c r="Q1682" s="1">
        <v>0</v>
      </c>
      <c r="R1682" s="1">
        <v>0</v>
      </c>
      <c r="S1682" s="1">
        <v>0</v>
      </c>
      <c r="T1682" s="1">
        <v>0</v>
      </c>
      <c r="U1682" s="1">
        <v>0</v>
      </c>
      <c r="V1682" s="1" t="s">
        <v>301</v>
      </c>
    </row>
    <row r="1683" spans="1:22">
      <c r="A1683" t="s">
        <v>192</v>
      </c>
      <c r="B1683" t="s">
        <v>57</v>
      </c>
      <c r="C1683" t="s">
        <v>61</v>
      </c>
      <c r="D1683" s="1">
        <v>0</v>
      </c>
      <c r="E1683" s="1">
        <v>0</v>
      </c>
      <c r="F1683" s="1">
        <v>0</v>
      </c>
      <c r="G1683" s="1">
        <v>0</v>
      </c>
      <c r="H1683" s="1">
        <v>0</v>
      </c>
      <c r="I1683" s="1">
        <v>0</v>
      </c>
      <c r="J1683" s="1">
        <v>0</v>
      </c>
      <c r="K1683" s="1">
        <v>0</v>
      </c>
      <c r="L1683" s="1">
        <v>0</v>
      </c>
      <c r="M1683" s="1">
        <v>0</v>
      </c>
      <c r="N1683" s="1">
        <v>0</v>
      </c>
      <c r="O1683" s="1">
        <v>0</v>
      </c>
      <c r="P1683" s="1">
        <v>0</v>
      </c>
      <c r="Q1683" s="1">
        <v>0</v>
      </c>
      <c r="R1683" s="1">
        <v>0</v>
      </c>
      <c r="S1683" s="1">
        <v>0</v>
      </c>
      <c r="T1683" s="1">
        <v>0</v>
      </c>
      <c r="U1683" s="1">
        <v>0</v>
      </c>
      <c r="V1683" s="1" t="s">
        <v>301</v>
      </c>
    </row>
    <row r="1684" spans="1:22">
      <c r="A1684" t="s">
        <v>192</v>
      </c>
      <c r="B1684" t="s">
        <v>57</v>
      </c>
      <c r="C1684" t="s">
        <v>62</v>
      </c>
      <c r="D1684" s="1">
        <v>0</v>
      </c>
      <c r="E1684" s="1">
        <v>0</v>
      </c>
      <c r="F1684" s="1">
        <v>0</v>
      </c>
      <c r="G1684" s="1">
        <v>0</v>
      </c>
      <c r="H1684" s="1">
        <v>0</v>
      </c>
      <c r="I1684" s="1">
        <v>0</v>
      </c>
      <c r="J1684" s="1">
        <v>0</v>
      </c>
      <c r="K1684" s="1">
        <v>0</v>
      </c>
      <c r="L1684" s="1">
        <v>0</v>
      </c>
      <c r="M1684" s="1">
        <v>0</v>
      </c>
      <c r="N1684" s="1">
        <v>0</v>
      </c>
      <c r="O1684" s="1">
        <v>0</v>
      </c>
      <c r="P1684" s="1">
        <v>0</v>
      </c>
      <c r="Q1684" s="1">
        <v>0</v>
      </c>
      <c r="R1684" s="1">
        <v>0</v>
      </c>
      <c r="S1684" s="1">
        <v>0</v>
      </c>
      <c r="T1684" s="1">
        <v>0</v>
      </c>
      <c r="U1684" s="1">
        <v>0</v>
      </c>
      <c r="V1684" s="1" t="s">
        <v>301</v>
      </c>
    </row>
    <row r="1685" spans="1:22">
      <c r="A1685" t="s">
        <v>192</v>
      </c>
      <c r="B1685" t="s">
        <v>57</v>
      </c>
      <c r="C1685" t="s">
        <v>63</v>
      </c>
      <c r="D1685" s="1">
        <v>0</v>
      </c>
      <c r="E1685" s="1">
        <v>0</v>
      </c>
      <c r="F1685" s="1">
        <v>0</v>
      </c>
      <c r="G1685" s="1">
        <v>0</v>
      </c>
      <c r="H1685" s="1">
        <v>0</v>
      </c>
      <c r="I1685" s="1">
        <v>0</v>
      </c>
      <c r="J1685" s="1">
        <v>0</v>
      </c>
      <c r="K1685" s="1">
        <v>0</v>
      </c>
      <c r="L1685" s="1">
        <v>0</v>
      </c>
      <c r="M1685" s="1">
        <v>0</v>
      </c>
      <c r="N1685" s="1">
        <v>0</v>
      </c>
      <c r="O1685" s="1">
        <v>0</v>
      </c>
      <c r="P1685" s="1">
        <v>0</v>
      </c>
      <c r="Q1685" s="1">
        <v>0</v>
      </c>
      <c r="R1685" s="1">
        <v>0</v>
      </c>
      <c r="S1685" s="1">
        <v>0</v>
      </c>
      <c r="T1685" s="1">
        <v>0</v>
      </c>
      <c r="U1685" s="1">
        <v>0</v>
      </c>
      <c r="V1685" s="1" t="s">
        <v>301</v>
      </c>
    </row>
    <row r="1686" spans="1:22">
      <c r="A1686" t="s">
        <v>192</v>
      </c>
      <c r="B1686" t="s">
        <v>57</v>
      </c>
      <c r="C1686" t="s">
        <v>64</v>
      </c>
      <c r="D1686" s="1">
        <v>0</v>
      </c>
      <c r="E1686" s="1">
        <v>0</v>
      </c>
      <c r="F1686" s="1">
        <v>0</v>
      </c>
      <c r="G1686" s="1">
        <v>0</v>
      </c>
      <c r="H1686" s="1">
        <v>0</v>
      </c>
      <c r="I1686" s="1">
        <v>0</v>
      </c>
      <c r="J1686" s="1">
        <v>0</v>
      </c>
      <c r="K1686" s="1">
        <v>0</v>
      </c>
      <c r="L1686" s="1">
        <v>0</v>
      </c>
      <c r="M1686" s="1">
        <v>0</v>
      </c>
      <c r="N1686" s="1">
        <v>0</v>
      </c>
      <c r="O1686" s="1">
        <v>0</v>
      </c>
      <c r="P1686" s="1">
        <v>0</v>
      </c>
      <c r="Q1686" s="1">
        <v>0</v>
      </c>
      <c r="R1686" s="1">
        <v>0</v>
      </c>
      <c r="S1686" s="1">
        <v>0</v>
      </c>
      <c r="T1686" s="1">
        <v>0</v>
      </c>
      <c r="U1686" s="1">
        <v>0</v>
      </c>
      <c r="V1686" s="1" t="s">
        <v>301</v>
      </c>
    </row>
    <row r="1687" spans="1:22">
      <c r="A1687" t="s">
        <v>192</v>
      </c>
      <c r="B1687" t="s">
        <v>57</v>
      </c>
      <c r="C1687" t="s">
        <v>65</v>
      </c>
      <c r="D1687" s="1">
        <v>0</v>
      </c>
      <c r="E1687" s="1">
        <v>0</v>
      </c>
      <c r="F1687" s="1">
        <v>0</v>
      </c>
      <c r="G1687" s="1">
        <v>0</v>
      </c>
      <c r="H1687" s="1">
        <v>0</v>
      </c>
      <c r="I1687" s="1">
        <v>0</v>
      </c>
      <c r="J1687" s="1">
        <v>0</v>
      </c>
      <c r="K1687" s="1">
        <v>0</v>
      </c>
      <c r="L1687" s="1">
        <v>0</v>
      </c>
      <c r="M1687" s="1">
        <v>0</v>
      </c>
      <c r="N1687" s="1">
        <v>0</v>
      </c>
      <c r="O1687" s="1">
        <v>0</v>
      </c>
      <c r="P1687" s="1">
        <v>0</v>
      </c>
      <c r="Q1687" s="1">
        <v>0</v>
      </c>
      <c r="R1687" s="1">
        <v>0</v>
      </c>
      <c r="S1687" s="1">
        <v>0</v>
      </c>
      <c r="T1687" s="1">
        <v>0</v>
      </c>
      <c r="U1687" s="1">
        <v>0</v>
      </c>
      <c r="V1687" s="1" t="s">
        <v>301</v>
      </c>
    </row>
    <row r="1688" spans="1:22">
      <c r="A1688" t="s">
        <v>193</v>
      </c>
      <c r="B1688" t="s">
        <v>57</v>
      </c>
      <c r="C1688" t="s">
        <v>58</v>
      </c>
      <c r="D1688" s="1">
        <v>0</v>
      </c>
      <c r="E1688" s="1">
        <v>0</v>
      </c>
      <c r="F1688" s="1">
        <v>0</v>
      </c>
      <c r="G1688" s="1">
        <v>0</v>
      </c>
      <c r="H1688" s="1">
        <v>0</v>
      </c>
      <c r="I1688" s="1">
        <v>0</v>
      </c>
      <c r="J1688" s="1">
        <v>0</v>
      </c>
      <c r="K1688" s="1">
        <v>0</v>
      </c>
      <c r="L1688" s="1">
        <v>0</v>
      </c>
      <c r="M1688" s="1">
        <v>0</v>
      </c>
      <c r="N1688" s="1">
        <v>0</v>
      </c>
      <c r="O1688" s="1">
        <v>0</v>
      </c>
      <c r="P1688" s="1">
        <v>0</v>
      </c>
      <c r="Q1688" s="1">
        <v>0</v>
      </c>
      <c r="R1688" s="1">
        <v>0</v>
      </c>
      <c r="S1688" s="1">
        <v>0</v>
      </c>
      <c r="T1688" s="1">
        <v>0</v>
      </c>
      <c r="U1688" s="1">
        <v>1</v>
      </c>
      <c r="V1688" s="1" t="s">
        <v>301</v>
      </c>
    </row>
    <row r="1689" spans="1:22">
      <c r="A1689" t="s">
        <v>193</v>
      </c>
      <c r="B1689" t="s">
        <v>57</v>
      </c>
      <c r="C1689" t="s">
        <v>59</v>
      </c>
      <c r="D1689" s="1">
        <v>0</v>
      </c>
      <c r="E1689" s="1">
        <v>0</v>
      </c>
      <c r="F1689" s="1">
        <v>0</v>
      </c>
      <c r="G1689" s="1">
        <v>0</v>
      </c>
      <c r="H1689" s="1">
        <v>0</v>
      </c>
      <c r="I1689" s="1">
        <v>0</v>
      </c>
      <c r="J1689" s="1">
        <v>0</v>
      </c>
      <c r="K1689" s="1">
        <v>0</v>
      </c>
      <c r="L1689" s="1">
        <v>0</v>
      </c>
      <c r="M1689" s="1">
        <v>0</v>
      </c>
      <c r="N1689" s="1">
        <v>0</v>
      </c>
      <c r="O1689" s="1">
        <v>0</v>
      </c>
      <c r="P1689" s="1">
        <v>0</v>
      </c>
      <c r="Q1689" s="1">
        <v>0</v>
      </c>
      <c r="R1689" s="1">
        <v>0</v>
      </c>
      <c r="S1689" s="1">
        <v>0</v>
      </c>
      <c r="T1689" s="1">
        <v>0</v>
      </c>
      <c r="U1689" s="1">
        <v>0</v>
      </c>
      <c r="V1689" s="1" t="s">
        <v>301</v>
      </c>
    </row>
    <row r="1690" spans="1:22">
      <c r="A1690" t="s">
        <v>193</v>
      </c>
      <c r="B1690" t="s">
        <v>57</v>
      </c>
      <c r="C1690" t="s">
        <v>60</v>
      </c>
      <c r="D1690" s="1">
        <v>0</v>
      </c>
      <c r="E1690" s="1">
        <v>0</v>
      </c>
      <c r="F1690" s="1">
        <v>0</v>
      </c>
      <c r="G1690" s="1">
        <v>0</v>
      </c>
      <c r="H1690" s="1">
        <v>0</v>
      </c>
      <c r="I1690" s="1">
        <v>0</v>
      </c>
      <c r="J1690" s="1">
        <v>0</v>
      </c>
      <c r="K1690" s="1">
        <v>0</v>
      </c>
      <c r="L1690" s="1">
        <v>0</v>
      </c>
      <c r="M1690" s="1">
        <v>0</v>
      </c>
      <c r="N1690" s="1">
        <v>0</v>
      </c>
      <c r="O1690" s="1">
        <v>0</v>
      </c>
      <c r="P1690" s="1">
        <v>0</v>
      </c>
      <c r="Q1690" s="1">
        <v>0</v>
      </c>
      <c r="R1690" s="1">
        <v>0</v>
      </c>
      <c r="S1690" s="1">
        <v>0</v>
      </c>
      <c r="T1690" s="1">
        <v>0</v>
      </c>
      <c r="U1690" s="1">
        <v>0</v>
      </c>
      <c r="V1690" s="1" t="s">
        <v>301</v>
      </c>
    </row>
    <row r="1691" spans="1:22">
      <c r="A1691" t="s">
        <v>193</v>
      </c>
      <c r="B1691" t="s">
        <v>57</v>
      </c>
      <c r="C1691" t="s">
        <v>61</v>
      </c>
      <c r="D1691" s="1">
        <v>0</v>
      </c>
      <c r="E1691" s="1">
        <v>0</v>
      </c>
      <c r="F1691" s="1">
        <v>0</v>
      </c>
      <c r="G1691" s="1">
        <v>0</v>
      </c>
      <c r="H1691" s="1">
        <v>0</v>
      </c>
      <c r="I1691" s="1">
        <v>0</v>
      </c>
      <c r="J1691" s="1">
        <v>0</v>
      </c>
      <c r="K1691" s="1">
        <v>0</v>
      </c>
      <c r="L1691" s="1">
        <v>0</v>
      </c>
      <c r="M1691" s="1">
        <v>0</v>
      </c>
      <c r="N1691" s="1">
        <v>0</v>
      </c>
      <c r="O1691" s="1">
        <v>0</v>
      </c>
      <c r="P1691" s="1">
        <v>0</v>
      </c>
      <c r="Q1691" s="1">
        <v>0</v>
      </c>
      <c r="R1691" s="1">
        <v>0</v>
      </c>
      <c r="S1691" s="1">
        <v>0</v>
      </c>
      <c r="T1691" s="1">
        <v>0</v>
      </c>
      <c r="U1691" s="1">
        <v>0</v>
      </c>
      <c r="V1691" s="1" t="s">
        <v>301</v>
      </c>
    </row>
    <row r="1692" spans="1:22">
      <c r="A1692" t="s">
        <v>193</v>
      </c>
      <c r="B1692" t="s">
        <v>57</v>
      </c>
      <c r="C1692" t="s">
        <v>62</v>
      </c>
      <c r="D1692" s="1">
        <v>0</v>
      </c>
      <c r="E1692" s="1">
        <v>0</v>
      </c>
      <c r="F1692" s="1">
        <v>0</v>
      </c>
      <c r="G1692" s="1">
        <v>0</v>
      </c>
      <c r="H1692" s="1">
        <v>0</v>
      </c>
      <c r="I1692" s="1">
        <v>0</v>
      </c>
      <c r="J1692" s="1">
        <v>0</v>
      </c>
      <c r="K1692" s="1">
        <v>0</v>
      </c>
      <c r="L1692" s="1">
        <v>0</v>
      </c>
      <c r="M1692" s="1">
        <v>0</v>
      </c>
      <c r="N1692" s="1">
        <v>0</v>
      </c>
      <c r="O1692" s="1">
        <v>0</v>
      </c>
      <c r="P1692" s="1">
        <v>0</v>
      </c>
      <c r="Q1692" s="1">
        <v>0</v>
      </c>
      <c r="R1692" s="1">
        <v>0</v>
      </c>
      <c r="S1692" s="1">
        <v>0</v>
      </c>
      <c r="T1692" s="1">
        <v>0</v>
      </c>
      <c r="U1692" s="1">
        <v>0</v>
      </c>
      <c r="V1692" s="1" t="s">
        <v>301</v>
      </c>
    </row>
    <row r="1693" spans="1:22">
      <c r="A1693" t="s">
        <v>193</v>
      </c>
      <c r="B1693" t="s">
        <v>57</v>
      </c>
      <c r="C1693" t="s">
        <v>63</v>
      </c>
      <c r="D1693" s="1">
        <v>0</v>
      </c>
      <c r="E1693" s="1">
        <v>0</v>
      </c>
      <c r="F1693" s="1">
        <v>0</v>
      </c>
      <c r="G1693" s="1">
        <v>0</v>
      </c>
      <c r="H1693" s="1">
        <v>0</v>
      </c>
      <c r="I1693" s="1">
        <v>0</v>
      </c>
      <c r="J1693" s="1">
        <v>0</v>
      </c>
      <c r="K1693" s="1">
        <v>0</v>
      </c>
      <c r="L1693" s="1">
        <v>0</v>
      </c>
      <c r="M1693" s="1">
        <v>0</v>
      </c>
      <c r="N1693" s="1">
        <v>0</v>
      </c>
      <c r="O1693" s="1">
        <v>0</v>
      </c>
      <c r="P1693" s="1">
        <v>0</v>
      </c>
      <c r="Q1693" s="1">
        <v>0</v>
      </c>
      <c r="R1693" s="1">
        <v>0</v>
      </c>
      <c r="S1693" s="1">
        <v>0</v>
      </c>
      <c r="T1693" s="1">
        <v>0</v>
      </c>
      <c r="U1693" s="1">
        <v>0</v>
      </c>
      <c r="V1693" s="1" t="s">
        <v>301</v>
      </c>
    </row>
    <row r="1694" spans="1:22">
      <c r="A1694" t="s">
        <v>193</v>
      </c>
      <c r="B1694" t="s">
        <v>57</v>
      </c>
      <c r="C1694" t="s">
        <v>64</v>
      </c>
      <c r="D1694" s="1">
        <v>0</v>
      </c>
      <c r="E1694" s="1">
        <v>0</v>
      </c>
      <c r="F1694" s="1">
        <v>0</v>
      </c>
      <c r="G1694" s="1">
        <v>0</v>
      </c>
      <c r="H1694" s="1">
        <v>0</v>
      </c>
      <c r="I1694" s="1">
        <v>0</v>
      </c>
      <c r="J1694" s="1">
        <v>0</v>
      </c>
      <c r="K1694" s="1">
        <v>0</v>
      </c>
      <c r="L1694" s="1">
        <v>0</v>
      </c>
      <c r="M1694" s="1">
        <v>0</v>
      </c>
      <c r="N1694" s="1">
        <v>0</v>
      </c>
      <c r="O1694" s="1">
        <v>0</v>
      </c>
      <c r="P1694" s="1">
        <v>0</v>
      </c>
      <c r="Q1694" s="1">
        <v>0</v>
      </c>
      <c r="R1694" s="1">
        <v>0</v>
      </c>
      <c r="S1694" s="1">
        <v>0</v>
      </c>
      <c r="T1694" s="1">
        <v>0</v>
      </c>
      <c r="U1694" s="1">
        <v>0</v>
      </c>
      <c r="V1694" s="1" t="s">
        <v>301</v>
      </c>
    </row>
    <row r="1695" spans="1:22">
      <c r="A1695" t="s">
        <v>193</v>
      </c>
      <c r="B1695" t="s">
        <v>57</v>
      </c>
      <c r="C1695" t="s">
        <v>65</v>
      </c>
      <c r="D1695" s="1">
        <v>0</v>
      </c>
      <c r="E1695" s="1">
        <v>0</v>
      </c>
      <c r="F1695" s="1">
        <v>0</v>
      </c>
      <c r="G1695" s="1">
        <v>0</v>
      </c>
      <c r="H1695" s="1">
        <v>0</v>
      </c>
      <c r="I1695" s="1">
        <v>0</v>
      </c>
      <c r="J1695" s="1">
        <v>0</v>
      </c>
      <c r="K1695" s="1">
        <v>0</v>
      </c>
      <c r="L1695" s="1">
        <v>0</v>
      </c>
      <c r="M1695" s="1">
        <v>0</v>
      </c>
      <c r="N1695" s="1">
        <v>0</v>
      </c>
      <c r="O1695" s="1">
        <v>0</v>
      </c>
      <c r="P1695" s="1">
        <v>0</v>
      </c>
      <c r="Q1695" s="1">
        <v>0</v>
      </c>
      <c r="R1695" s="1">
        <v>0</v>
      </c>
      <c r="S1695" s="1">
        <v>0</v>
      </c>
      <c r="T1695" s="1">
        <v>0</v>
      </c>
      <c r="U1695" s="1">
        <v>0</v>
      </c>
      <c r="V1695" s="1" t="s">
        <v>301</v>
      </c>
    </row>
    <row r="1696" spans="1:22">
      <c r="A1696" t="s">
        <v>194</v>
      </c>
      <c r="B1696" t="s">
        <v>57</v>
      </c>
      <c r="C1696" t="s">
        <v>58</v>
      </c>
      <c r="D1696" s="1">
        <v>0</v>
      </c>
      <c r="E1696" s="1">
        <v>0</v>
      </c>
      <c r="F1696" s="1">
        <v>0</v>
      </c>
      <c r="G1696" s="1">
        <v>0</v>
      </c>
      <c r="H1696" s="1">
        <v>0</v>
      </c>
      <c r="I1696" s="1">
        <v>0</v>
      </c>
      <c r="J1696" s="1">
        <v>0</v>
      </c>
      <c r="K1696" s="1">
        <v>0</v>
      </c>
      <c r="L1696" s="1">
        <v>0</v>
      </c>
      <c r="M1696" s="1">
        <v>0</v>
      </c>
      <c r="N1696" s="1">
        <v>0</v>
      </c>
      <c r="O1696" s="1">
        <v>0</v>
      </c>
      <c r="P1696" s="1">
        <v>0</v>
      </c>
      <c r="Q1696" s="1">
        <v>0</v>
      </c>
      <c r="R1696" s="1">
        <v>0</v>
      </c>
      <c r="S1696" s="1">
        <v>0</v>
      </c>
      <c r="T1696" s="1">
        <v>0</v>
      </c>
      <c r="U1696" s="1">
        <v>1</v>
      </c>
      <c r="V1696" s="1" t="s">
        <v>301</v>
      </c>
    </row>
    <row r="1697" spans="1:22">
      <c r="A1697" t="s">
        <v>194</v>
      </c>
      <c r="B1697" t="s">
        <v>57</v>
      </c>
      <c r="C1697" t="s">
        <v>59</v>
      </c>
      <c r="D1697" s="1">
        <v>0</v>
      </c>
      <c r="E1697" s="1">
        <v>0</v>
      </c>
      <c r="F1697" s="1">
        <v>0</v>
      </c>
      <c r="G1697" s="1">
        <v>0</v>
      </c>
      <c r="H1697" s="1">
        <v>0</v>
      </c>
      <c r="I1697" s="1">
        <v>0</v>
      </c>
      <c r="J1697" s="1">
        <v>0</v>
      </c>
      <c r="K1697" s="1">
        <v>0</v>
      </c>
      <c r="L1697" s="1">
        <v>0</v>
      </c>
      <c r="M1697" s="1">
        <v>0</v>
      </c>
      <c r="N1697" s="1">
        <v>0</v>
      </c>
      <c r="O1697" s="1">
        <v>0</v>
      </c>
      <c r="P1697" s="1">
        <v>0</v>
      </c>
      <c r="Q1697" s="1">
        <v>0</v>
      </c>
      <c r="R1697" s="1">
        <v>0</v>
      </c>
      <c r="S1697" s="1">
        <v>0</v>
      </c>
      <c r="T1697" s="1">
        <v>0</v>
      </c>
      <c r="U1697" s="1">
        <v>0</v>
      </c>
      <c r="V1697" s="1" t="s">
        <v>301</v>
      </c>
    </row>
    <row r="1698" spans="1:22">
      <c r="A1698" t="s">
        <v>194</v>
      </c>
      <c r="B1698" t="s">
        <v>57</v>
      </c>
      <c r="C1698" t="s">
        <v>60</v>
      </c>
      <c r="D1698" s="1">
        <v>0</v>
      </c>
      <c r="E1698" s="1">
        <v>0</v>
      </c>
      <c r="F1698" s="1">
        <v>0</v>
      </c>
      <c r="G1698" s="1">
        <v>0</v>
      </c>
      <c r="H1698" s="1">
        <v>0</v>
      </c>
      <c r="I1698" s="1">
        <v>0</v>
      </c>
      <c r="J1698" s="1">
        <v>0</v>
      </c>
      <c r="K1698" s="1">
        <v>0</v>
      </c>
      <c r="L1698" s="1">
        <v>0</v>
      </c>
      <c r="M1698" s="1">
        <v>0</v>
      </c>
      <c r="N1698" s="1">
        <v>0</v>
      </c>
      <c r="O1698" s="1">
        <v>0</v>
      </c>
      <c r="P1698" s="1">
        <v>0</v>
      </c>
      <c r="Q1698" s="1">
        <v>0</v>
      </c>
      <c r="R1698" s="1">
        <v>0</v>
      </c>
      <c r="S1698" s="1">
        <v>0</v>
      </c>
      <c r="T1698" s="1">
        <v>0</v>
      </c>
      <c r="U1698" s="1">
        <v>0</v>
      </c>
      <c r="V1698" s="1" t="s">
        <v>301</v>
      </c>
    </row>
    <row r="1699" spans="1:22">
      <c r="A1699" t="s">
        <v>194</v>
      </c>
      <c r="B1699" t="s">
        <v>57</v>
      </c>
      <c r="C1699" t="s">
        <v>61</v>
      </c>
      <c r="D1699" s="1">
        <v>0</v>
      </c>
      <c r="E1699" s="1">
        <v>0</v>
      </c>
      <c r="F1699" s="1">
        <v>0</v>
      </c>
      <c r="G1699" s="1">
        <v>0</v>
      </c>
      <c r="H1699" s="1">
        <v>0</v>
      </c>
      <c r="I1699" s="1">
        <v>0</v>
      </c>
      <c r="J1699" s="1">
        <v>0</v>
      </c>
      <c r="K1699" s="1">
        <v>0</v>
      </c>
      <c r="L1699" s="1">
        <v>0</v>
      </c>
      <c r="M1699" s="1">
        <v>0</v>
      </c>
      <c r="N1699" s="1">
        <v>0</v>
      </c>
      <c r="O1699" s="1">
        <v>0</v>
      </c>
      <c r="P1699" s="1">
        <v>0</v>
      </c>
      <c r="Q1699" s="1">
        <v>0</v>
      </c>
      <c r="R1699" s="1">
        <v>0</v>
      </c>
      <c r="S1699" s="1">
        <v>0</v>
      </c>
      <c r="T1699" s="1">
        <v>0</v>
      </c>
      <c r="U1699" s="1">
        <v>0</v>
      </c>
      <c r="V1699" s="1" t="s">
        <v>301</v>
      </c>
    </row>
    <row r="1700" spans="1:22">
      <c r="A1700" t="s">
        <v>194</v>
      </c>
      <c r="B1700" t="s">
        <v>57</v>
      </c>
      <c r="C1700" t="s">
        <v>62</v>
      </c>
      <c r="D1700" s="1">
        <v>0</v>
      </c>
      <c r="E1700" s="1">
        <v>0</v>
      </c>
      <c r="F1700" s="1">
        <v>0</v>
      </c>
      <c r="G1700" s="1">
        <v>0</v>
      </c>
      <c r="H1700" s="1">
        <v>0</v>
      </c>
      <c r="I1700" s="1">
        <v>0</v>
      </c>
      <c r="J1700" s="1">
        <v>0</v>
      </c>
      <c r="K1700" s="1">
        <v>0</v>
      </c>
      <c r="L1700" s="1">
        <v>0</v>
      </c>
      <c r="M1700" s="1">
        <v>0</v>
      </c>
      <c r="N1700" s="1">
        <v>0</v>
      </c>
      <c r="O1700" s="1">
        <v>0</v>
      </c>
      <c r="P1700" s="1">
        <v>0</v>
      </c>
      <c r="Q1700" s="1">
        <v>0</v>
      </c>
      <c r="R1700" s="1">
        <v>0</v>
      </c>
      <c r="S1700" s="1">
        <v>0</v>
      </c>
      <c r="T1700" s="1">
        <v>0</v>
      </c>
      <c r="U1700" s="1">
        <v>0</v>
      </c>
      <c r="V1700" s="1" t="s">
        <v>301</v>
      </c>
    </row>
    <row r="1701" spans="1:22">
      <c r="A1701" t="s">
        <v>194</v>
      </c>
      <c r="B1701" t="s">
        <v>57</v>
      </c>
      <c r="C1701" t="s">
        <v>63</v>
      </c>
      <c r="D1701" s="1">
        <v>0</v>
      </c>
      <c r="E1701" s="1">
        <v>0</v>
      </c>
      <c r="F1701" s="1">
        <v>0</v>
      </c>
      <c r="G1701" s="1">
        <v>0</v>
      </c>
      <c r="H1701" s="1">
        <v>0</v>
      </c>
      <c r="I1701" s="1">
        <v>0</v>
      </c>
      <c r="J1701" s="1">
        <v>0</v>
      </c>
      <c r="K1701" s="1">
        <v>0</v>
      </c>
      <c r="L1701" s="1">
        <v>0</v>
      </c>
      <c r="M1701" s="1">
        <v>0</v>
      </c>
      <c r="N1701" s="1">
        <v>0</v>
      </c>
      <c r="O1701" s="1">
        <v>0</v>
      </c>
      <c r="P1701" s="1">
        <v>0</v>
      </c>
      <c r="Q1701" s="1">
        <v>0</v>
      </c>
      <c r="R1701" s="1">
        <v>0</v>
      </c>
      <c r="S1701" s="1">
        <v>0</v>
      </c>
      <c r="T1701" s="1">
        <v>0</v>
      </c>
      <c r="U1701" s="1">
        <v>0</v>
      </c>
      <c r="V1701" s="1" t="s">
        <v>301</v>
      </c>
    </row>
    <row r="1702" spans="1:22">
      <c r="A1702" t="s">
        <v>194</v>
      </c>
      <c r="B1702" t="s">
        <v>57</v>
      </c>
      <c r="C1702" t="s">
        <v>64</v>
      </c>
      <c r="D1702" s="1">
        <v>0</v>
      </c>
      <c r="E1702" s="1">
        <v>0</v>
      </c>
      <c r="F1702" s="1">
        <v>0</v>
      </c>
      <c r="G1702" s="1">
        <v>0</v>
      </c>
      <c r="H1702" s="1">
        <v>0</v>
      </c>
      <c r="I1702" s="1">
        <v>0</v>
      </c>
      <c r="J1702" s="1">
        <v>0</v>
      </c>
      <c r="K1702" s="1">
        <v>0</v>
      </c>
      <c r="L1702" s="1">
        <v>0</v>
      </c>
      <c r="M1702" s="1">
        <v>0</v>
      </c>
      <c r="N1702" s="1">
        <v>0</v>
      </c>
      <c r="O1702" s="1">
        <v>0</v>
      </c>
      <c r="P1702" s="1">
        <v>0</v>
      </c>
      <c r="Q1702" s="1">
        <v>0</v>
      </c>
      <c r="R1702" s="1">
        <v>0</v>
      </c>
      <c r="S1702" s="1">
        <v>0</v>
      </c>
      <c r="T1702" s="1">
        <v>0</v>
      </c>
      <c r="U1702" s="1">
        <v>0</v>
      </c>
      <c r="V1702" s="1" t="s">
        <v>301</v>
      </c>
    </row>
    <row r="1703" spans="1:22">
      <c r="A1703" t="s">
        <v>194</v>
      </c>
      <c r="B1703" t="s">
        <v>57</v>
      </c>
      <c r="C1703" t="s">
        <v>65</v>
      </c>
      <c r="D1703" s="1">
        <v>0</v>
      </c>
      <c r="E1703" s="1">
        <v>0</v>
      </c>
      <c r="F1703" s="1">
        <v>0</v>
      </c>
      <c r="G1703" s="1">
        <v>0</v>
      </c>
      <c r="H1703" s="1">
        <v>0</v>
      </c>
      <c r="I1703" s="1">
        <v>0</v>
      </c>
      <c r="J1703" s="1">
        <v>0</v>
      </c>
      <c r="K1703" s="1">
        <v>0</v>
      </c>
      <c r="L1703" s="1">
        <v>0</v>
      </c>
      <c r="M1703" s="1">
        <v>0</v>
      </c>
      <c r="N1703" s="1">
        <v>0</v>
      </c>
      <c r="O1703" s="1">
        <v>0</v>
      </c>
      <c r="P1703" s="1">
        <v>0</v>
      </c>
      <c r="Q1703" s="1">
        <v>0</v>
      </c>
      <c r="R1703" s="1">
        <v>0</v>
      </c>
      <c r="S1703" s="1">
        <v>0</v>
      </c>
      <c r="T1703" s="1">
        <v>0</v>
      </c>
      <c r="U1703" s="1">
        <v>0</v>
      </c>
      <c r="V1703" s="1" t="s">
        <v>301</v>
      </c>
    </row>
    <row r="1704" spans="1:22">
      <c r="A1704" t="s">
        <v>195</v>
      </c>
      <c r="B1704" t="s">
        <v>57</v>
      </c>
      <c r="C1704" t="s">
        <v>58</v>
      </c>
      <c r="D1704" s="1">
        <v>0</v>
      </c>
      <c r="E1704" s="1">
        <v>0</v>
      </c>
      <c r="F1704" s="1">
        <v>0</v>
      </c>
      <c r="G1704" s="1">
        <v>0</v>
      </c>
      <c r="H1704" s="1">
        <v>0</v>
      </c>
      <c r="I1704" s="1">
        <v>0</v>
      </c>
      <c r="J1704" s="1">
        <v>0</v>
      </c>
      <c r="K1704" s="1">
        <v>0</v>
      </c>
      <c r="L1704" s="1">
        <v>0</v>
      </c>
      <c r="M1704" s="1">
        <v>0</v>
      </c>
      <c r="N1704" s="1">
        <v>0</v>
      </c>
      <c r="O1704" s="1">
        <v>0</v>
      </c>
      <c r="P1704" s="1">
        <v>0</v>
      </c>
      <c r="Q1704" s="1">
        <v>0</v>
      </c>
      <c r="R1704" s="1">
        <v>0</v>
      </c>
      <c r="S1704" s="1">
        <v>0</v>
      </c>
      <c r="T1704" s="1">
        <v>0</v>
      </c>
      <c r="U1704" s="1">
        <v>1</v>
      </c>
      <c r="V1704" s="1" t="s">
        <v>301</v>
      </c>
    </row>
    <row r="1705" spans="1:22">
      <c r="A1705" t="s">
        <v>195</v>
      </c>
      <c r="B1705" t="s">
        <v>57</v>
      </c>
      <c r="C1705" t="s">
        <v>59</v>
      </c>
      <c r="D1705" s="1">
        <v>0</v>
      </c>
      <c r="E1705" s="1">
        <v>0</v>
      </c>
      <c r="F1705" s="1">
        <v>0</v>
      </c>
      <c r="G1705" s="1">
        <v>0</v>
      </c>
      <c r="H1705" s="1">
        <v>0</v>
      </c>
      <c r="I1705" s="1">
        <v>0</v>
      </c>
      <c r="J1705" s="1">
        <v>0</v>
      </c>
      <c r="K1705" s="1">
        <v>0</v>
      </c>
      <c r="L1705" s="1">
        <v>0</v>
      </c>
      <c r="M1705" s="1">
        <v>0</v>
      </c>
      <c r="N1705" s="1">
        <v>0</v>
      </c>
      <c r="O1705" s="1">
        <v>0</v>
      </c>
      <c r="P1705" s="1">
        <v>0</v>
      </c>
      <c r="Q1705" s="1">
        <v>0</v>
      </c>
      <c r="R1705" s="1">
        <v>0</v>
      </c>
      <c r="S1705" s="1">
        <v>0</v>
      </c>
      <c r="T1705" s="1">
        <v>0</v>
      </c>
      <c r="U1705" s="1">
        <v>0</v>
      </c>
      <c r="V1705" s="1" t="s">
        <v>301</v>
      </c>
    </row>
    <row r="1706" spans="1:22">
      <c r="A1706" t="s">
        <v>195</v>
      </c>
      <c r="B1706" t="s">
        <v>57</v>
      </c>
      <c r="C1706" t="s">
        <v>60</v>
      </c>
      <c r="D1706" s="1">
        <v>0</v>
      </c>
      <c r="E1706" s="1">
        <v>0</v>
      </c>
      <c r="F1706" s="1">
        <v>0</v>
      </c>
      <c r="G1706" s="1">
        <v>0</v>
      </c>
      <c r="H1706" s="1">
        <v>0</v>
      </c>
      <c r="I1706" s="1">
        <v>0</v>
      </c>
      <c r="J1706" s="1">
        <v>0</v>
      </c>
      <c r="K1706" s="1">
        <v>0</v>
      </c>
      <c r="L1706" s="1">
        <v>0</v>
      </c>
      <c r="M1706" s="1">
        <v>0</v>
      </c>
      <c r="N1706" s="1">
        <v>0</v>
      </c>
      <c r="O1706" s="1">
        <v>0</v>
      </c>
      <c r="P1706" s="1">
        <v>0</v>
      </c>
      <c r="Q1706" s="1">
        <v>0</v>
      </c>
      <c r="R1706" s="1">
        <v>0</v>
      </c>
      <c r="S1706" s="1">
        <v>0</v>
      </c>
      <c r="T1706" s="1">
        <v>0</v>
      </c>
      <c r="U1706" s="1">
        <v>0</v>
      </c>
      <c r="V1706" s="1" t="s">
        <v>301</v>
      </c>
    </row>
    <row r="1707" spans="1:22">
      <c r="A1707" t="s">
        <v>195</v>
      </c>
      <c r="B1707" t="s">
        <v>57</v>
      </c>
      <c r="C1707" t="s">
        <v>61</v>
      </c>
      <c r="D1707" s="1">
        <v>0</v>
      </c>
      <c r="E1707" s="1">
        <v>0</v>
      </c>
      <c r="F1707" s="1">
        <v>0</v>
      </c>
      <c r="G1707" s="1">
        <v>0</v>
      </c>
      <c r="H1707" s="1">
        <v>0</v>
      </c>
      <c r="I1707" s="1">
        <v>0</v>
      </c>
      <c r="J1707" s="1">
        <v>0</v>
      </c>
      <c r="K1707" s="1">
        <v>0</v>
      </c>
      <c r="L1707" s="1">
        <v>0</v>
      </c>
      <c r="M1707" s="1">
        <v>0</v>
      </c>
      <c r="N1707" s="1">
        <v>0</v>
      </c>
      <c r="O1707" s="1">
        <v>0</v>
      </c>
      <c r="P1707" s="1">
        <v>0</v>
      </c>
      <c r="Q1707" s="1">
        <v>0</v>
      </c>
      <c r="R1707" s="1">
        <v>0</v>
      </c>
      <c r="S1707" s="1">
        <v>0</v>
      </c>
      <c r="T1707" s="1">
        <v>0</v>
      </c>
      <c r="U1707" s="1">
        <v>0</v>
      </c>
      <c r="V1707" s="1" t="s">
        <v>301</v>
      </c>
    </row>
    <row r="1708" spans="1:22">
      <c r="A1708" t="s">
        <v>195</v>
      </c>
      <c r="B1708" t="s">
        <v>57</v>
      </c>
      <c r="C1708" t="s">
        <v>62</v>
      </c>
      <c r="D1708" s="1">
        <v>0</v>
      </c>
      <c r="E1708" s="1">
        <v>0</v>
      </c>
      <c r="F1708" s="1">
        <v>0</v>
      </c>
      <c r="G1708" s="1">
        <v>0</v>
      </c>
      <c r="H1708" s="1">
        <v>0</v>
      </c>
      <c r="I1708" s="1">
        <v>0</v>
      </c>
      <c r="J1708" s="1">
        <v>0</v>
      </c>
      <c r="K1708" s="1">
        <v>0</v>
      </c>
      <c r="L1708" s="1">
        <v>0</v>
      </c>
      <c r="M1708" s="1">
        <v>0</v>
      </c>
      <c r="N1708" s="1">
        <v>0</v>
      </c>
      <c r="O1708" s="1">
        <v>0</v>
      </c>
      <c r="P1708" s="1">
        <v>0</v>
      </c>
      <c r="Q1708" s="1">
        <v>0</v>
      </c>
      <c r="R1708" s="1">
        <v>0</v>
      </c>
      <c r="S1708" s="1">
        <v>0</v>
      </c>
      <c r="T1708" s="1">
        <v>0</v>
      </c>
      <c r="U1708" s="1">
        <v>0</v>
      </c>
      <c r="V1708" s="1" t="s">
        <v>301</v>
      </c>
    </row>
    <row r="1709" spans="1:22">
      <c r="A1709" t="s">
        <v>195</v>
      </c>
      <c r="B1709" t="s">
        <v>57</v>
      </c>
      <c r="C1709" t="s">
        <v>63</v>
      </c>
      <c r="D1709" s="1">
        <v>0</v>
      </c>
      <c r="E1709" s="1">
        <v>0</v>
      </c>
      <c r="F1709" s="1">
        <v>0</v>
      </c>
      <c r="G1709" s="1">
        <v>0</v>
      </c>
      <c r="H1709" s="1">
        <v>0</v>
      </c>
      <c r="I1709" s="1">
        <v>0</v>
      </c>
      <c r="J1709" s="1">
        <v>0</v>
      </c>
      <c r="K1709" s="1">
        <v>0</v>
      </c>
      <c r="L1709" s="1">
        <v>0</v>
      </c>
      <c r="M1709" s="1">
        <v>0</v>
      </c>
      <c r="N1709" s="1">
        <v>0</v>
      </c>
      <c r="O1709" s="1">
        <v>0</v>
      </c>
      <c r="P1709" s="1">
        <v>0</v>
      </c>
      <c r="Q1709" s="1">
        <v>0</v>
      </c>
      <c r="R1709" s="1">
        <v>0</v>
      </c>
      <c r="S1709" s="1">
        <v>0</v>
      </c>
      <c r="T1709" s="1">
        <v>0</v>
      </c>
      <c r="U1709" s="1">
        <v>0</v>
      </c>
      <c r="V1709" s="1" t="s">
        <v>301</v>
      </c>
    </row>
    <row r="1710" spans="1:22">
      <c r="A1710" t="s">
        <v>195</v>
      </c>
      <c r="B1710" t="s">
        <v>57</v>
      </c>
      <c r="C1710" t="s">
        <v>64</v>
      </c>
      <c r="D1710" s="1">
        <v>0</v>
      </c>
      <c r="E1710" s="1">
        <v>0</v>
      </c>
      <c r="F1710" s="1">
        <v>0</v>
      </c>
      <c r="G1710" s="1">
        <v>0</v>
      </c>
      <c r="H1710" s="1">
        <v>0</v>
      </c>
      <c r="I1710" s="1">
        <v>0</v>
      </c>
      <c r="J1710" s="1">
        <v>0</v>
      </c>
      <c r="K1710" s="1">
        <v>0</v>
      </c>
      <c r="L1710" s="1">
        <v>0</v>
      </c>
      <c r="M1710" s="1">
        <v>0</v>
      </c>
      <c r="N1710" s="1">
        <v>0</v>
      </c>
      <c r="O1710" s="1">
        <v>0</v>
      </c>
      <c r="P1710" s="1">
        <v>0</v>
      </c>
      <c r="Q1710" s="1">
        <v>0</v>
      </c>
      <c r="R1710" s="1">
        <v>0</v>
      </c>
      <c r="S1710" s="1">
        <v>0</v>
      </c>
      <c r="T1710" s="1">
        <v>0</v>
      </c>
      <c r="U1710" s="1">
        <v>0</v>
      </c>
      <c r="V1710" s="1" t="s">
        <v>301</v>
      </c>
    </row>
    <row r="1711" spans="1:22">
      <c r="A1711" t="s">
        <v>195</v>
      </c>
      <c r="B1711" t="s">
        <v>57</v>
      </c>
      <c r="C1711" t="s">
        <v>65</v>
      </c>
      <c r="D1711" s="1">
        <v>0</v>
      </c>
      <c r="E1711" s="1">
        <v>0</v>
      </c>
      <c r="F1711" s="1">
        <v>0</v>
      </c>
      <c r="G1711" s="1">
        <v>0</v>
      </c>
      <c r="H1711" s="1">
        <v>0</v>
      </c>
      <c r="I1711" s="1">
        <v>0</v>
      </c>
      <c r="J1711" s="1">
        <v>0</v>
      </c>
      <c r="K1711" s="1">
        <v>0</v>
      </c>
      <c r="L1711" s="1">
        <v>0</v>
      </c>
      <c r="M1711" s="1">
        <v>0</v>
      </c>
      <c r="N1711" s="1">
        <v>0</v>
      </c>
      <c r="O1711" s="1">
        <v>0</v>
      </c>
      <c r="P1711" s="1">
        <v>0</v>
      </c>
      <c r="Q1711" s="1">
        <v>0</v>
      </c>
      <c r="R1711" s="1">
        <v>0</v>
      </c>
      <c r="S1711" s="1">
        <v>0</v>
      </c>
      <c r="T1711" s="1">
        <v>0</v>
      </c>
      <c r="U1711" s="1">
        <v>0</v>
      </c>
      <c r="V1711" s="1" t="s">
        <v>301</v>
      </c>
    </row>
    <row r="1712" spans="1:22">
      <c r="A1712" t="s">
        <v>196</v>
      </c>
      <c r="B1712" t="s">
        <v>57</v>
      </c>
      <c r="C1712" t="s">
        <v>58</v>
      </c>
      <c r="D1712" s="1">
        <v>0</v>
      </c>
      <c r="E1712" s="1">
        <v>0</v>
      </c>
      <c r="F1712" s="1">
        <v>0</v>
      </c>
      <c r="G1712" s="1">
        <v>0</v>
      </c>
      <c r="H1712" s="1">
        <v>0</v>
      </c>
      <c r="I1712" s="1">
        <v>0</v>
      </c>
      <c r="J1712" s="1">
        <v>0</v>
      </c>
      <c r="K1712" s="1">
        <v>0</v>
      </c>
      <c r="L1712" s="1">
        <v>0</v>
      </c>
      <c r="M1712" s="1">
        <v>0</v>
      </c>
      <c r="N1712" s="1">
        <v>0</v>
      </c>
      <c r="O1712" s="1">
        <v>0</v>
      </c>
      <c r="P1712" s="1">
        <v>0</v>
      </c>
      <c r="Q1712" s="1">
        <v>0</v>
      </c>
      <c r="R1712" s="1">
        <v>0</v>
      </c>
      <c r="S1712" s="1">
        <v>0</v>
      </c>
      <c r="T1712" s="1">
        <v>0</v>
      </c>
      <c r="U1712" s="1">
        <v>1</v>
      </c>
      <c r="V1712" s="1" t="s">
        <v>301</v>
      </c>
    </row>
    <row r="1713" spans="1:22">
      <c r="A1713" t="s">
        <v>196</v>
      </c>
      <c r="B1713" t="s">
        <v>57</v>
      </c>
      <c r="C1713" t="s">
        <v>59</v>
      </c>
      <c r="D1713" s="1">
        <v>0</v>
      </c>
      <c r="E1713" s="1">
        <v>0</v>
      </c>
      <c r="F1713" s="1">
        <v>0</v>
      </c>
      <c r="G1713" s="1">
        <v>0</v>
      </c>
      <c r="H1713" s="1">
        <v>0</v>
      </c>
      <c r="I1713" s="1">
        <v>0</v>
      </c>
      <c r="J1713" s="1">
        <v>0</v>
      </c>
      <c r="K1713" s="1">
        <v>0</v>
      </c>
      <c r="L1713" s="1">
        <v>0</v>
      </c>
      <c r="M1713" s="1">
        <v>0</v>
      </c>
      <c r="N1713" s="1">
        <v>0</v>
      </c>
      <c r="O1713" s="1">
        <v>0</v>
      </c>
      <c r="P1713" s="1">
        <v>0</v>
      </c>
      <c r="Q1713" s="1">
        <v>0</v>
      </c>
      <c r="R1713" s="1">
        <v>0</v>
      </c>
      <c r="S1713" s="1">
        <v>0</v>
      </c>
      <c r="T1713" s="1">
        <v>0</v>
      </c>
      <c r="U1713" s="1">
        <v>0</v>
      </c>
      <c r="V1713" s="1" t="s">
        <v>301</v>
      </c>
    </row>
    <row r="1714" spans="1:22">
      <c r="A1714" t="s">
        <v>196</v>
      </c>
      <c r="B1714" t="s">
        <v>57</v>
      </c>
      <c r="C1714" t="s">
        <v>60</v>
      </c>
      <c r="D1714" s="1">
        <v>0</v>
      </c>
      <c r="E1714" s="1">
        <v>0</v>
      </c>
      <c r="F1714" s="1">
        <v>0</v>
      </c>
      <c r="G1714" s="1">
        <v>0</v>
      </c>
      <c r="H1714" s="1">
        <v>0</v>
      </c>
      <c r="I1714" s="1">
        <v>0</v>
      </c>
      <c r="J1714" s="1">
        <v>0</v>
      </c>
      <c r="K1714" s="1">
        <v>0</v>
      </c>
      <c r="L1714" s="1">
        <v>0</v>
      </c>
      <c r="M1714" s="1">
        <v>0</v>
      </c>
      <c r="N1714" s="1">
        <v>0</v>
      </c>
      <c r="O1714" s="1">
        <v>0</v>
      </c>
      <c r="P1714" s="1">
        <v>0</v>
      </c>
      <c r="Q1714" s="1">
        <v>0</v>
      </c>
      <c r="R1714" s="1">
        <v>0</v>
      </c>
      <c r="S1714" s="1">
        <v>0</v>
      </c>
      <c r="T1714" s="1">
        <v>0</v>
      </c>
      <c r="U1714" s="1">
        <v>0</v>
      </c>
      <c r="V1714" s="1" t="s">
        <v>301</v>
      </c>
    </row>
    <row r="1715" spans="1:22">
      <c r="A1715" t="s">
        <v>196</v>
      </c>
      <c r="B1715" t="s">
        <v>57</v>
      </c>
      <c r="C1715" t="s">
        <v>61</v>
      </c>
      <c r="D1715" s="1">
        <v>0</v>
      </c>
      <c r="E1715" s="1">
        <v>0</v>
      </c>
      <c r="F1715" s="1">
        <v>0</v>
      </c>
      <c r="G1715" s="1">
        <v>0</v>
      </c>
      <c r="H1715" s="1">
        <v>0</v>
      </c>
      <c r="I1715" s="1">
        <v>0</v>
      </c>
      <c r="J1715" s="1">
        <v>0</v>
      </c>
      <c r="K1715" s="1">
        <v>0</v>
      </c>
      <c r="L1715" s="1">
        <v>0</v>
      </c>
      <c r="M1715" s="1">
        <v>0</v>
      </c>
      <c r="N1715" s="1">
        <v>0</v>
      </c>
      <c r="O1715" s="1">
        <v>0</v>
      </c>
      <c r="P1715" s="1">
        <v>0</v>
      </c>
      <c r="Q1715" s="1">
        <v>0</v>
      </c>
      <c r="R1715" s="1">
        <v>0</v>
      </c>
      <c r="S1715" s="1">
        <v>0</v>
      </c>
      <c r="T1715" s="1">
        <v>0</v>
      </c>
      <c r="U1715" s="1">
        <v>0</v>
      </c>
      <c r="V1715" s="1" t="s">
        <v>301</v>
      </c>
    </row>
    <row r="1716" spans="1:22">
      <c r="A1716" t="s">
        <v>196</v>
      </c>
      <c r="B1716" t="s">
        <v>57</v>
      </c>
      <c r="C1716" t="s">
        <v>62</v>
      </c>
      <c r="D1716" s="1">
        <v>0</v>
      </c>
      <c r="E1716" s="1">
        <v>0</v>
      </c>
      <c r="F1716" s="1">
        <v>0</v>
      </c>
      <c r="G1716" s="1">
        <v>0</v>
      </c>
      <c r="H1716" s="1">
        <v>0</v>
      </c>
      <c r="I1716" s="1">
        <v>0</v>
      </c>
      <c r="J1716" s="1">
        <v>0</v>
      </c>
      <c r="K1716" s="1">
        <v>0</v>
      </c>
      <c r="L1716" s="1">
        <v>0</v>
      </c>
      <c r="M1716" s="1">
        <v>0</v>
      </c>
      <c r="N1716" s="1">
        <v>0</v>
      </c>
      <c r="O1716" s="1">
        <v>0</v>
      </c>
      <c r="P1716" s="1">
        <v>0</v>
      </c>
      <c r="Q1716" s="1">
        <v>0</v>
      </c>
      <c r="R1716" s="1">
        <v>0</v>
      </c>
      <c r="S1716" s="1">
        <v>0</v>
      </c>
      <c r="T1716" s="1">
        <v>0</v>
      </c>
      <c r="U1716" s="1">
        <v>0</v>
      </c>
      <c r="V1716" s="1" t="s">
        <v>301</v>
      </c>
    </row>
    <row r="1717" spans="1:22">
      <c r="A1717" t="s">
        <v>196</v>
      </c>
      <c r="B1717" t="s">
        <v>57</v>
      </c>
      <c r="C1717" t="s">
        <v>63</v>
      </c>
      <c r="D1717" s="1">
        <v>0</v>
      </c>
      <c r="E1717" s="1">
        <v>0</v>
      </c>
      <c r="F1717" s="1">
        <v>0</v>
      </c>
      <c r="G1717" s="1">
        <v>0</v>
      </c>
      <c r="H1717" s="1">
        <v>0</v>
      </c>
      <c r="I1717" s="1">
        <v>0</v>
      </c>
      <c r="J1717" s="1">
        <v>0</v>
      </c>
      <c r="K1717" s="1">
        <v>0</v>
      </c>
      <c r="L1717" s="1">
        <v>0</v>
      </c>
      <c r="M1717" s="1">
        <v>0</v>
      </c>
      <c r="N1717" s="1">
        <v>0</v>
      </c>
      <c r="O1717" s="1">
        <v>0</v>
      </c>
      <c r="P1717" s="1">
        <v>0</v>
      </c>
      <c r="Q1717" s="1">
        <v>0</v>
      </c>
      <c r="R1717" s="1">
        <v>0</v>
      </c>
      <c r="S1717" s="1">
        <v>0</v>
      </c>
      <c r="T1717" s="1">
        <v>0</v>
      </c>
      <c r="U1717" s="1">
        <v>0</v>
      </c>
      <c r="V1717" s="1" t="s">
        <v>301</v>
      </c>
    </row>
    <row r="1718" spans="1:22">
      <c r="A1718" t="s">
        <v>196</v>
      </c>
      <c r="B1718" t="s">
        <v>57</v>
      </c>
      <c r="C1718" t="s">
        <v>64</v>
      </c>
      <c r="D1718" s="1">
        <v>0</v>
      </c>
      <c r="E1718" s="1">
        <v>0</v>
      </c>
      <c r="F1718" s="1">
        <v>0</v>
      </c>
      <c r="G1718" s="1">
        <v>0</v>
      </c>
      <c r="H1718" s="1">
        <v>0</v>
      </c>
      <c r="I1718" s="1">
        <v>0</v>
      </c>
      <c r="J1718" s="1">
        <v>0</v>
      </c>
      <c r="K1718" s="1">
        <v>0</v>
      </c>
      <c r="L1718" s="1">
        <v>0</v>
      </c>
      <c r="M1718" s="1">
        <v>0</v>
      </c>
      <c r="N1718" s="1">
        <v>0</v>
      </c>
      <c r="O1718" s="1">
        <v>0</v>
      </c>
      <c r="P1718" s="1">
        <v>0</v>
      </c>
      <c r="Q1718" s="1">
        <v>0</v>
      </c>
      <c r="R1718" s="1">
        <v>0</v>
      </c>
      <c r="S1718" s="1">
        <v>0</v>
      </c>
      <c r="T1718" s="1">
        <v>0</v>
      </c>
      <c r="U1718" s="1">
        <v>0</v>
      </c>
      <c r="V1718" s="1" t="s">
        <v>301</v>
      </c>
    </row>
    <row r="1719" spans="1:22">
      <c r="A1719" t="s">
        <v>196</v>
      </c>
      <c r="B1719" t="s">
        <v>57</v>
      </c>
      <c r="C1719" t="s">
        <v>65</v>
      </c>
      <c r="D1719" s="1">
        <v>0</v>
      </c>
      <c r="E1719" s="1">
        <v>0</v>
      </c>
      <c r="F1719" s="1">
        <v>0</v>
      </c>
      <c r="G1719" s="1">
        <v>0</v>
      </c>
      <c r="H1719" s="1">
        <v>0</v>
      </c>
      <c r="I1719" s="1">
        <v>0</v>
      </c>
      <c r="J1719" s="1">
        <v>0</v>
      </c>
      <c r="K1719" s="1">
        <v>0</v>
      </c>
      <c r="L1719" s="1">
        <v>0</v>
      </c>
      <c r="M1719" s="1">
        <v>0</v>
      </c>
      <c r="N1719" s="1">
        <v>0</v>
      </c>
      <c r="O1719" s="1">
        <v>0</v>
      </c>
      <c r="P1719" s="1">
        <v>0</v>
      </c>
      <c r="Q1719" s="1">
        <v>0</v>
      </c>
      <c r="R1719" s="1">
        <v>0</v>
      </c>
      <c r="S1719" s="1">
        <v>0</v>
      </c>
      <c r="T1719" s="1">
        <v>0</v>
      </c>
      <c r="U1719" s="1">
        <v>0</v>
      </c>
      <c r="V1719" s="1" t="s">
        <v>301</v>
      </c>
    </row>
    <row r="1720" spans="1:22">
      <c r="A1720" t="s">
        <v>55</v>
      </c>
      <c r="B1720" t="s">
        <v>57</v>
      </c>
      <c r="C1720" t="s">
        <v>58</v>
      </c>
      <c r="D1720" s="1">
        <v>0</v>
      </c>
      <c r="E1720" s="1">
        <v>0</v>
      </c>
      <c r="F1720" s="1">
        <v>0</v>
      </c>
      <c r="G1720" s="1">
        <v>0</v>
      </c>
      <c r="H1720" s="1">
        <v>0</v>
      </c>
      <c r="I1720" s="1">
        <v>0</v>
      </c>
      <c r="J1720" s="1">
        <v>0</v>
      </c>
      <c r="K1720" s="1">
        <v>0</v>
      </c>
      <c r="L1720" s="1">
        <v>0</v>
      </c>
      <c r="M1720" s="1">
        <v>0</v>
      </c>
      <c r="N1720" s="1">
        <v>0</v>
      </c>
      <c r="O1720" s="1">
        <v>0</v>
      </c>
      <c r="P1720" s="1">
        <v>0</v>
      </c>
      <c r="Q1720" s="1">
        <v>0</v>
      </c>
      <c r="R1720" s="1">
        <v>0</v>
      </c>
      <c r="S1720" s="1">
        <v>0</v>
      </c>
      <c r="T1720" s="1">
        <v>0</v>
      </c>
      <c r="U1720" s="1">
        <v>16</v>
      </c>
      <c r="V1720" s="1" t="s">
        <v>301</v>
      </c>
    </row>
    <row r="1721" spans="1:22">
      <c r="A1721" t="s">
        <v>55</v>
      </c>
      <c r="B1721" t="s">
        <v>57</v>
      </c>
      <c r="C1721" t="s">
        <v>59</v>
      </c>
      <c r="D1721" s="1">
        <v>0</v>
      </c>
      <c r="E1721" s="1">
        <v>0</v>
      </c>
      <c r="F1721" s="1">
        <v>0</v>
      </c>
      <c r="G1721" s="1">
        <v>0</v>
      </c>
      <c r="H1721" s="1">
        <v>0</v>
      </c>
      <c r="I1721" s="1">
        <v>0</v>
      </c>
      <c r="J1721" s="1">
        <v>0</v>
      </c>
      <c r="K1721" s="1">
        <v>0</v>
      </c>
      <c r="L1721" s="1">
        <v>0</v>
      </c>
      <c r="M1721" s="1">
        <v>0</v>
      </c>
      <c r="N1721" s="1">
        <v>0</v>
      </c>
      <c r="O1721" s="1">
        <v>0</v>
      </c>
      <c r="P1721" s="1">
        <v>0</v>
      </c>
      <c r="Q1721" s="1">
        <v>0</v>
      </c>
      <c r="R1721" s="1">
        <v>0</v>
      </c>
      <c r="S1721" s="1">
        <v>0</v>
      </c>
      <c r="T1721" s="1">
        <v>0</v>
      </c>
      <c r="U1721" s="1">
        <v>0</v>
      </c>
      <c r="V1721" s="1" t="s">
        <v>301</v>
      </c>
    </row>
    <row r="1722" spans="1:22">
      <c r="A1722" t="s">
        <v>55</v>
      </c>
      <c r="B1722" t="s">
        <v>57</v>
      </c>
      <c r="C1722" t="s">
        <v>60</v>
      </c>
      <c r="D1722" s="1">
        <v>0</v>
      </c>
      <c r="E1722" s="1">
        <v>0</v>
      </c>
      <c r="F1722" s="1">
        <v>0</v>
      </c>
      <c r="G1722" s="1">
        <v>0</v>
      </c>
      <c r="H1722" s="1">
        <v>0</v>
      </c>
      <c r="I1722" s="1">
        <v>0</v>
      </c>
      <c r="J1722" s="1">
        <v>0</v>
      </c>
      <c r="K1722" s="1">
        <v>0</v>
      </c>
      <c r="L1722" s="1">
        <v>0</v>
      </c>
      <c r="M1722" s="1">
        <v>0</v>
      </c>
      <c r="N1722" s="1">
        <v>0</v>
      </c>
      <c r="O1722" s="1">
        <v>0</v>
      </c>
      <c r="P1722" s="1">
        <v>0</v>
      </c>
      <c r="Q1722" s="1">
        <v>0</v>
      </c>
      <c r="R1722" s="1">
        <v>0</v>
      </c>
      <c r="S1722" s="1">
        <v>0</v>
      </c>
      <c r="T1722" s="1">
        <v>0</v>
      </c>
      <c r="U1722" s="1">
        <v>0</v>
      </c>
      <c r="V1722" s="1" t="s">
        <v>301</v>
      </c>
    </row>
    <row r="1723" spans="1:22">
      <c r="A1723" t="s">
        <v>55</v>
      </c>
      <c r="B1723" t="s">
        <v>57</v>
      </c>
      <c r="C1723" t="s">
        <v>61</v>
      </c>
      <c r="D1723" s="1">
        <v>0</v>
      </c>
      <c r="E1723" s="1">
        <v>0</v>
      </c>
      <c r="F1723" s="1">
        <v>0</v>
      </c>
      <c r="G1723" s="1">
        <v>0</v>
      </c>
      <c r="H1723" s="1">
        <v>0</v>
      </c>
      <c r="I1723" s="1">
        <v>0</v>
      </c>
      <c r="J1723" s="1">
        <v>0</v>
      </c>
      <c r="K1723" s="1">
        <v>0</v>
      </c>
      <c r="L1723" s="1">
        <v>0</v>
      </c>
      <c r="M1723" s="1">
        <v>0</v>
      </c>
      <c r="N1723" s="1">
        <v>0</v>
      </c>
      <c r="O1723" s="1">
        <v>0</v>
      </c>
      <c r="P1723" s="1">
        <v>0</v>
      </c>
      <c r="Q1723" s="1">
        <v>0</v>
      </c>
      <c r="R1723" s="1">
        <v>0</v>
      </c>
      <c r="S1723" s="1">
        <v>0</v>
      </c>
      <c r="T1723" s="1">
        <v>0</v>
      </c>
      <c r="U1723" s="1">
        <v>0</v>
      </c>
      <c r="V1723" s="1" t="s">
        <v>301</v>
      </c>
    </row>
    <row r="1724" spans="1:22">
      <c r="A1724" t="s">
        <v>55</v>
      </c>
      <c r="B1724" t="s">
        <v>57</v>
      </c>
      <c r="C1724" t="s">
        <v>62</v>
      </c>
      <c r="D1724" s="1">
        <v>0</v>
      </c>
      <c r="E1724" s="1">
        <v>0</v>
      </c>
      <c r="F1724" s="1">
        <v>0</v>
      </c>
      <c r="G1724" s="1">
        <v>0</v>
      </c>
      <c r="H1724" s="1">
        <v>0</v>
      </c>
      <c r="I1724" s="1">
        <v>0</v>
      </c>
      <c r="J1724" s="1">
        <v>0</v>
      </c>
      <c r="K1724" s="1">
        <v>0</v>
      </c>
      <c r="L1724" s="1">
        <v>0</v>
      </c>
      <c r="M1724" s="1">
        <v>0</v>
      </c>
      <c r="N1724" s="1">
        <v>0</v>
      </c>
      <c r="O1724" s="1">
        <v>0</v>
      </c>
      <c r="P1724" s="1">
        <v>0</v>
      </c>
      <c r="Q1724" s="1">
        <v>0</v>
      </c>
      <c r="R1724" s="1">
        <v>0</v>
      </c>
      <c r="S1724" s="1">
        <v>0</v>
      </c>
      <c r="T1724" s="1">
        <v>0</v>
      </c>
      <c r="U1724" s="1">
        <v>0</v>
      </c>
      <c r="V1724" s="1" t="s">
        <v>301</v>
      </c>
    </row>
    <row r="1725" spans="1:22">
      <c r="A1725" t="s">
        <v>55</v>
      </c>
      <c r="B1725" t="s">
        <v>57</v>
      </c>
      <c r="C1725" t="s">
        <v>63</v>
      </c>
      <c r="D1725" s="1">
        <v>0</v>
      </c>
      <c r="E1725" s="1">
        <v>0</v>
      </c>
      <c r="F1725" s="1">
        <v>0</v>
      </c>
      <c r="G1725" s="1">
        <v>0</v>
      </c>
      <c r="H1725" s="1">
        <v>0</v>
      </c>
      <c r="I1725" s="1">
        <v>0</v>
      </c>
      <c r="J1725" s="1">
        <v>0</v>
      </c>
      <c r="K1725" s="1">
        <v>0</v>
      </c>
      <c r="L1725" s="1">
        <v>0</v>
      </c>
      <c r="M1725" s="1">
        <v>0</v>
      </c>
      <c r="N1725" s="1">
        <v>0</v>
      </c>
      <c r="O1725" s="1">
        <v>0</v>
      </c>
      <c r="P1725" s="1">
        <v>0</v>
      </c>
      <c r="Q1725" s="1">
        <v>0</v>
      </c>
      <c r="R1725" s="1">
        <v>0</v>
      </c>
      <c r="S1725" s="1">
        <v>0</v>
      </c>
      <c r="T1725" s="1">
        <v>0</v>
      </c>
      <c r="U1725" s="1">
        <v>0</v>
      </c>
      <c r="V1725" s="1" t="s">
        <v>301</v>
      </c>
    </row>
    <row r="1726" spans="1:22">
      <c r="A1726" t="s">
        <v>55</v>
      </c>
      <c r="B1726" t="s">
        <v>57</v>
      </c>
      <c r="C1726" t="s">
        <v>64</v>
      </c>
      <c r="D1726" s="1">
        <v>0</v>
      </c>
      <c r="E1726" s="1">
        <v>0</v>
      </c>
      <c r="F1726" s="1">
        <v>0</v>
      </c>
      <c r="G1726" s="1">
        <v>0</v>
      </c>
      <c r="H1726" s="1">
        <v>0</v>
      </c>
      <c r="I1726" s="1">
        <v>0</v>
      </c>
      <c r="J1726" s="1">
        <v>0</v>
      </c>
      <c r="K1726" s="1">
        <v>0</v>
      </c>
      <c r="L1726" s="1">
        <v>0</v>
      </c>
      <c r="M1726" s="1">
        <v>0</v>
      </c>
      <c r="N1726" s="1">
        <v>0</v>
      </c>
      <c r="O1726" s="1">
        <v>0</v>
      </c>
      <c r="P1726" s="1">
        <v>0</v>
      </c>
      <c r="Q1726" s="1">
        <v>0</v>
      </c>
      <c r="R1726" s="1">
        <v>0</v>
      </c>
      <c r="S1726" s="1">
        <v>0</v>
      </c>
      <c r="T1726" s="1">
        <v>0</v>
      </c>
      <c r="U1726" s="1">
        <v>0</v>
      </c>
      <c r="V1726" s="1" t="s">
        <v>301</v>
      </c>
    </row>
    <row r="1727" spans="1:22">
      <c r="A1727" t="s">
        <v>55</v>
      </c>
      <c r="B1727" t="s">
        <v>57</v>
      </c>
      <c r="C1727" t="s">
        <v>65</v>
      </c>
      <c r="D1727" s="1">
        <v>0</v>
      </c>
      <c r="E1727" s="1">
        <v>0</v>
      </c>
      <c r="F1727" s="1">
        <v>0</v>
      </c>
      <c r="G1727" s="1">
        <v>0</v>
      </c>
      <c r="H1727" s="1">
        <v>0</v>
      </c>
      <c r="I1727" s="1">
        <v>0</v>
      </c>
      <c r="J1727" s="1">
        <v>0</v>
      </c>
      <c r="K1727" s="1">
        <v>0</v>
      </c>
      <c r="L1727" s="1">
        <v>0</v>
      </c>
      <c r="M1727" s="1">
        <v>0</v>
      </c>
      <c r="N1727" s="1">
        <v>0</v>
      </c>
      <c r="O1727" s="1">
        <v>0</v>
      </c>
      <c r="P1727" s="1">
        <v>0</v>
      </c>
      <c r="Q1727" s="1">
        <v>0</v>
      </c>
      <c r="R1727" s="1">
        <v>0</v>
      </c>
      <c r="S1727" s="1">
        <v>0</v>
      </c>
      <c r="T1727" s="1">
        <v>0</v>
      </c>
      <c r="U1727" s="1">
        <v>0</v>
      </c>
      <c r="V1727" s="1" t="s">
        <v>301</v>
      </c>
    </row>
    <row r="1729" spans="1:22">
      <c r="A1729">
        <f>setup!C32</f>
        <v>3825</v>
      </c>
    </row>
    <row r="1730" spans="1:22">
      <c r="A1730" t="str">
        <f>_xlfn.CONCAT(setup!D32," - ",setup!E32)</f>
        <v>OSEP – Traumatic Brain Injury - Paper - OSEP_TBI_P</v>
      </c>
      <c r="D1730" s="1"/>
      <c r="E1730" s="1"/>
      <c r="F1730" s="1"/>
      <c r="G1730" s="1"/>
      <c r="H1730" s="1"/>
      <c r="I1730" s="1"/>
      <c r="J1730" s="1"/>
      <c r="K1730" s="1"/>
      <c r="L1730" s="1"/>
      <c r="M1730" s="1"/>
      <c r="N1730" s="1"/>
      <c r="O1730" s="1"/>
      <c r="P1730" s="1"/>
      <c r="Q1730" s="1"/>
      <c r="R1730" s="1"/>
      <c r="S1730" s="1"/>
      <c r="T1730" s="1"/>
      <c r="U1730" s="1"/>
    </row>
    <row r="1731" spans="1:22">
      <c r="A1731" t="s">
        <v>35</v>
      </c>
      <c r="B1731" t="s">
        <v>36</v>
      </c>
      <c r="C1731" t="s">
        <v>37</v>
      </c>
      <c r="D1731" s="1" t="s">
        <v>38</v>
      </c>
      <c r="E1731" s="1" t="s">
        <v>39</v>
      </c>
      <c r="F1731" s="1" t="s">
        <v>40</v>
      </c>
      <c r="G1731" s="1" t="s">
        <v>41</v>
      </c>
      <c r="H1731" s="1" t="s">
        <v>42</v>
      </c>
      <c r="I1731" s="1" t="s">
        <v>43</v>
      </c>
      <c r="J1731" s="1" t="s">
        <v>44</v>
      </c>
      <c r="K1731" s="1" t="s">
        <v>45</v>
      </c>
      <c r="L1731" s="1" t="s">
        <v>46</v>
      </c>
      <c r="M1731" s="1" t="s">
        <v>47</v>
      </c>
      <c r="N1731" s="1" t="s">
        <v>48</v>
      </c>
      <c r="O1731" s="1" t="s">
        <v>49</v>
      </c>
      <c r="P1731" s="1" t="s">
        <v>50</v>
      </c>
      <c r="Q1731" s="1" t="s">
        <v>51</v>
      </c>
      <c r="R1731" s="1" t="s">
        <v>52</v>
      </c>
      <c r="S1731" s="1" t="s">
        <v>53</v>
      </c>
      <c r="T1731" t="s">
        <v>54</v>
      </c>
      <c r="U1731" s="1" t="s">
        <v>55</v>
      </c>
      <c r="V1731" t="s">
        <v>56</v>
      </c>
    </row>
    <row r="1732" spans="1:22">
      <c r="A1732" t="s">
        <v>197</v>
      </c>
      <c r="B1732" t="s">
        <v>57</v>
      </c>
      <c r="C1732" t="s">
        <v>58</v>
      </c>
      <c r="D1732" s="1">
        <v>0</v>
      </c>
      <c r="E1732" s="1">
        <v>0</v>
      </c>
      <c r="F1732" s="1">
        <v>0</v>
      </c>
      <c r="G1732" s="1">
        <v>0</v>
      </c>
      <c r="H1732" s="1">
        <v>0</v>
      </c>
      <c r="I1732" s="1">
        <v>0</v>
      </c>
      <c r="J1732" s="1">
        <v>0</v>
      </c>
      <c r="K1732" s="1">
        <v>0</v>
      </c>
      <c r="L1732" s="1">
        <v>0</v>
      </c>
      <c r="M1732" s="1">
        <v>0</v>
      </c>
      <c r="N1732" s="1">
        <v>0</v>
      </c>
      <c r="O1732" s="1">
        <v>0</v>
      </c>
      <c r="P1732" s="1">
        <v>0</v>
      </c>
      <c r="Q1732" s="1">
        <v>0</v>
      </c>
      <c r="R1732" s="1">
        <v>0</v>
      </c>
      <c r="S1732" s="1">
        <v>0</v>
      </c>
      <c r="T1732" s="1">
        <v>0</v>
      </c>
      <c r="U1732" s="1">
        <v>2</v>
      </c>
      <c r="V1732" s="1" t="s">
        <v>301</v>
      </c>
    </row>
    <row r="1733" spans="1:22">
      <c r="A1733" t="s">
        <v>197</v>
      </c>
      <c r="B1733" t="s">
        <v>57</v>
      </c>
      <c r="C1733" t="s">
        <v>59</v>
      </c>
      <c r="D1733" s="1">
        <v>0</v>
      </c>
      <c r="E1733" s="1">
        <v>0</v>
      </c>
      <c r="F1733" s="1">
        <v>0</v>
      </c>
      <c r="G1733" s="1">
        <v>0</v>
      </c>
      <c r="H1733" s="1">
        <v>0</v>
      </c>
      <c r="I1733" s="1">
        <v>0</v>
      </c>
      <c r="J1733" s="1">
        <v>0</v>
      </c>
      <c r="K1733" s="1">
        <v>0</v>
      </c>
      <c r="L1733" s="1">
        <v>0</v>
      </c>
      <c r="M1733" s="1">
        <v>0</v>
      </c>
      <c r="N1733" s="1">
        <v>0</v>
      </c>
      <c r="O1733" s="1">
        <v>0</v>
      </c>
      <c r="P1733" s="1">
        <v>0</v>
      </c>
      <c r="Q1733" s="1">
        <v>0</v>
      </c>
      <c r="R1733" s="1">
        <v>0</v>
      </c>
      <c r="S1733" s="1">
        <v>0</v>
      </c>
      <c r="T1733" s="1">
        <v>0</v>
      </c>
      <c r="U1733" s="1">
        <v>0</v>
      </c>
      <c r="V1733" s="1" t="s">
        <v>301</v>
      </c>
    </row>
    <row r="1734" spans="1:22">
      <c r="A1734" t="s">
        <v>197</v>
      </c>
      <c r="B1734" t="s">
        <v>57</v>
      </c>
      <c r="C1734" t="s">
        <v>60</v>
      </c>
      <c r="D1734" s="1">
        <v>0</v>
      </c>
      <c r="E1734" s="1">
        <v>0</v>
      </c>
      <c r="F1734" s="1">
        <v>0</v>
      </c>
      <c r="G1734" s="1">
        <v>0</v>
      </c>
      <c r="H1734" s="1">
        <v>0</v>
      </c>
      <c r="I1734" s="1">
        <v>0</v>
      </c>
      <c r="J1734" s="1">
        <v>0</v>
      </c>
      <c r="K1734" s="1">
        <v>0</v>
      </c>
      <c r="L1734" s="1">
        <v>0</v>
      </c>
      <c r="M1734" s="1">
        <v>0</v>
      </c>
      <c r="N1734" s="1">
        <v>0</v>
      </c>
      <c r="O1734" s="1">
        <v>0</v>
      </c>
      <c r="P1734" s="1">
        <v>0</v>
      </c>
      <c r="Q1734" s="1">
        <v>0</v>
      </c>
      <c r="R1734" s="1">
        <v>0</v>
      </c>
      <c r="S1734" s="1">
        <v>0</v>
      </c>
      <c r="T1734" s="1">
        <v>0</v>
      </c>
      <c r="U1734" s="1">
        <v>0</v>
      </c>
      <c r="V1734" s="1" t="s">
        <v>301</v>
      </c>
    </row>
    <row r="1735" spans="1:22">
      <c r="A1735" t="s">
        <v>197</v>
      </c>
      <c r="B1735" t="s">
        <v>57</v>
      </c>
      <c r="C1735" t="s">
        <v>61</v>
      </c>
      <c r="D1735" s="1">
        <v>0</v>
      </c>
      <c r="E1735" s="1">
        <v>0</v>
      </c>
      <c r="F1735" s="1">
        <v>0</v>
      </c>
      <c r="G1735" s="1">
        <v>0</v>
      </c>
      <c r="H1735" s="1">
        <v>0</v>
      </c>
      <c r="I1735" s="1">
        <v>0</v>
      </c>
      <c r="J1735" s="1">
        <v>0</v>
      </c>
      <c r="K1735" s="1">
        <v>0</v>
      </c>
      <c r="L1735" s="1">
        <v>0</v>
      </c>
      <c r="M1735" s="1">
        <v>0</v>
      </c>
      <c r="N1735" s="1">
        <v>0</v>
      </c>
      <c r="O1735" s="1">
        <v>0</v>
      </c>
      <c r="P1735" s="1">
        <v>0</v>
      </c>
      <c r="Q1735" s="1">
        <v>0</v>
      </c>
      <c r="R1735" s="1">
        <v>0</v>
      </c>
      <c r="S1735" s="1">
        <v>0</v>
      </c>
      <c r="T1735" s="1">
        <v>0</v>
      </c>
      <c r="U1735" s="1">
        <v>0</v>
      </c>
      <c r="V1735" s="1" t="s">
        <v>301</v>
      </c>
    </row>
    <row r="1736" spans="1:22">
      <c r="A1736" t="s">
        <v>197</v>
      </c>
      <c r="B1736" t="s">
        <v>57</v>
      </c>
      <c r="C1736" t="s">
        <v>62</v>
      </c>
      <c r="D1736" s="1">
        <v>0</v>
      </c>
      <c r="E1736" s="1">
        <v>0</v>
      </c>
      <c r="F1736" s="1">
        <v>0</v>
      </c>
      <c r="G1736" s="1">
        <v>0</v>
      </c>
      <c r="H1736" s="1">
        <v>0</v>
      </c>
      <c r="I1736" s="1">
        <v>0</v>
      </c>
      <c r="J1736" s="1">
        <v>0</v>
      </c>
      <c r="K1736" s="1">
        <v>0</v>
      </c>
      <c r="L1736" s="1">
        <v>0</v>
      </c>
      <c r="M1736" s="1">
        <v>0</v>
      </c>
      <c r="N1736" s="1">
        <v>0</v>
      </c>
      <c r="O1736" s="1">
        <v>0</v>
      </c>
      <c r="P1736" s="1">
        <v>0</v>
      </c>
      <c r="Q1736" s="1">
        <v>0</v>
      </c>
      <c r="R1736" s="1">
        <v>0</v>
      </c>
      <c r="S1736" s="1">
        <v>0</v>
      </c>
      <c r="T1736" s="1">
        <v>0</v>
      </c>
      <c r="U1736" s="1">
        <v>0</v>
      </c>
      <c r="V1736" s="1" t="s">
        <v>301</v>
      </c>
    </row>
    <row r="1737" spans="1:22">
      <c r="A1737" t="s">
        <v>197</v>
      </c>
      <c r="B1737" t="s">
        <v>57</v>
      </c>
      <c r="C1737" t="s">
        <v>63</v>
      </c>
      <c r="D1737" s="1">
        <v>0</v>
      </c>
      <c r="E1737" s="1">
        <v>0</v>
      </c>
      <c r="F1737" s="1">
        <v>0</v>
      </c>
      <c r="G1737" s="1">
        <v>0</v>
      </c>
      <c r="H1737" s="1">
        <v>0</v>
      </c>
      <c r="I1737" s="1">
        <v>0</v>
      </c>
      <c r="J1737" s="1">
        <v>0</v>
      </c>
      <c r="K1737" s="1">
        <v>0</v>
      </c>
      <c r="L1737" s="1">
        <v>0</v>
      </c>
      <c r="M1737" s="1">
        <v>0</v>
      </c>
      <c r="N1737" s="1">
        <v>0</v>
      </c>
      <c r="O1737" s="1">
        <v>0</v>
      </c>
      <c r="P1737" s="1">
        <v>0</v>
      </c>
      <c r="Q1737" s="1">
        <v>0</v>
      </c>
      <c r="R1737" s="1">
        <v>0</v>
      </c>
      <c r="S1737" s="1">
        <v>0</v>
      </c>
      <c r="T1737" s="1">
        <v>0</v>
      </c>
      <c r="U1737" s="1">
        <v>0</v>
      </c>
      <c r="V1737" s="1" t="s">
        <v>301</v>
      </c>
    </row>
    <row r="1738" spans="1:22">
      <c r="A1738" t="s">
        <v>197</v>
      </c>
      <c r="B1738" t="s">
        <v>57</v>
      </c>
      <c r="C1738" t="s">
        <v>64</v>
      </c>
      <c r="D1738" s="1">
        <v>0</v>
      </c>
      <c r="E1738" s="1">
        <v>0</v>
      </c>
      <c r="F1738" s="1">
        <v>0</v>
      </c>
      <c r="G1738" s="1">
        <v>0</v>
      </c>
      <c r="H1738" s="1">
        <v>0</v>
      </c>
      <c r="I1738" s="1">
        <v>0</v>
      </c>
      <c r="J1738" s="1">
        <v>0</v>
      </c>
      <c r="K1738" s="1">
        <v>0</v>
      </c>
      <c r="L1738" s="1">
        <v>0</v>
      </c>
      <c r="M1738" s="1">
        <v>0</v>
      </c>
      <c r="N1738" s="1">
        <v>0</v>
      </c>
      <c r="O1738" s="1">
        <v>0</v>
      </c>
      <c r="P1738" s="1">
        <v>0</v>
      </c>
      <c r="Q1738" s="1">
        <v>0</v>
      </c>
      <c r="R1738" s="1">
        <v>0</v>
      </c>
      <c r="S1738" s="1">
        <v>0</v>
      </c>
      <c r="T1738" s="1">
        <v>0</v>
      </c>
      <c r="U1738" s="1">
        <v>0</v>
      </c>
      <c r="V1738" s="1" t="s">
        <v>301</v>
      </c>
    </row>
    <row r="1739" spans="1:22">
      <c r="A1739" t="s">
        <v>197</v>
      </c>
      <c r="B1739" t="s">
        <v>57</v>
      </c>
      <c r="C1739" t="s">
        <v>65</v>
      </c>
      <c r="D1739" s="1">
        <v>0</v>
      </c>
      <c r="E1739" s="1">
        <v>0</v>
      </c>
      <c r="F1739" s="1">
        <v>0</v>
      </c>
      <c r="G1739" s="1">
        <v>0</v>
      </c>
      <c r="H1739" s="1">
        <v>0</v>
      </c>
      <c r="I1739" s="1">
        <v>0</v>
      </c>
      <c r="J1739" s="1">
        <v>0</v>
      </c>
      <c r="K1739" s="1">
        <v>0</v>
      </c>
      <c r="L1739" s="1">
        <v>0</v>
      </c>
      <c r="M1739" s="1">
        <v>0</v>
      </c>
      <c r="N1739" s="1">
        <v>0</v>
      </c>
      <c r="O1739" s="1">
        <v>0</v>
      </c>
      <c r="P1739" s="1">
        <v>0</v>
      </c>
      <c r="Q1739" s="1">
        <v>0</v>
      </c>
      <c r="R1739" s="1">
        <v>0</v>
      </c>
      <c r="S1739" s="1">
        <v>0</v>
      </c>
      <c r="T1739" s="1">
        <v>0</v>
      </c>
      <c r="U1739" s="1">
        <v>0</v>
      </c>
      <c r="V1739" s="1" t="s">
        <v>301</v>
      </c>
    </row>
    <row r="1740" spans="1:22">
      <c r="A1740" t="s">
        <v>55</v>
      </c>
      <c r="B1740" t="s">
        <v>57</v>
      </c>
      <c r="C1740" t="s">
        <v>58</v>
      </c>
      <c r="D1740" s="1">
        <v>0</v>
      </c>
      <c r="E1740" s="1">
        <v>0</v>
      </c>
      <c r="F1740" s="1">
        <v>0</v>
      </c>
      <c r="G1740" s="1">
        <v>0</v>
      </c>
      <c r="H1740" s="1">
        <v>0</v>
      </c>
      <c r="I1740" s="1">
        <v>0</v>
      </c>
      <c r="J1740" s="1">
        <v>0</v>
      </c>
      <c r="K1740" s="1">
        <v>0</v>
      </c>
      <c r="L1740" s="1">
        <v>0</v>
      </c>
      <c r="M1740" s="1">
        <v>0</v>
      </c>
      <c r="N1740" s="1">
        <v>0</v>
      </c>
      <c r="O1740" s="1">
        <v>0</v>
      </c>
      <c r="P1740" s="1">
        <v>0</v>
      </c>
      <c r="Q1740" s="1">
        <v>0</v>
      </c>
      <c r="R1740" s="1">
        <v>0</v>
      </c>
      <c r="S1740" s="1">
        <v>0</v>
      </c>
      <c r="T1740" s="1">
        <v>0</v>
      </c>
      <c r="U1740" s="1">
        <v>2</v>
      </c>
      <c r="V1740" s="1" t="s">
        <v>301</v>
      </c>
    </row>
    <row r="1741" spans="1:22">
      <c r="A1741" t="s">
        <v>55</v>
      </c>
      <c r="B1741" t="s">
        <v>57</v>
      </c>
      <c r="C1741" t="s">
        <v>59</v>
      </c>
      <c r="D1741" s="1">
        <v>0</v>
      </c>
      <c r="E1741" s="1">
        <v>0</v>
      </c>
      <c r="F1741" s="1">
        <v>0</v>
      </c>
      <c r="G1741" s="1">
        <v>0</v>
      </c>
      <c r="H1741" s="1">
        <v>0</v>
      </c>
      <c r="I1741" s="1">
        <v>0</v>
      </c>
      <c r="J1741" s="1">
        <v>0</v>
      </c>
      <c r="K1741" s="1">
        <v>0</v>
      </c>
      <c r="L1741" s="1">
        <v>0</v>
      </c>
      <c r="M1741" s="1">
        <v>0</v>
      </c>
      <c r="N1741" s="1">
        <v>0</v>
      </c>
      <c r="O1741" s="1">
        <v>0</v>
      </c>
      <c r="P1741" s="1">
        <v>0</v>
      </c>
      <c r="Q1741" s="1">
        <v>0</v>
      </c>
      <c r="R1741" s="1">
        <v>0</v>
      </c>
      <c r="S1741" s="1">
        <v>0</v>
      </c>
      <c r="T1741" s="1">
        <v>0</v>
      </c>
      <c r="U1741" s="1">
        <v>0</v>
      </c>
      <c r="V1741" s="1" t="s">
        <v>301</v>
      </c>
    </row>
    <row r="1742" spans="1:22">
      <c r="A1742" t="s">
        <v>55</v>
      </c>
      <c r="B1742" t="s">
        <v>57</v>
      </c>
      <c r="C1742" t="s">
        <v>60</v>
      </c>
      <c r="D1742" s="1">
        <v>0</v>
      </c>
      <c r="E1742" s="1">
        <v>0</v>
      </c>
      <c r="F1742" s="1">
        <v>0</v>
      </c>
      <c r="G1742" s="1">
        <v>0</v>
      </c>
      <c r="H1742" s="1">
        <v>0</v>
      </c>
      <c r="I1742" s="1">
        <v>0</v>
      </c>
      <c r="J1742" s="1">
        <v>0</v>
      </c>
      <c r="K1742" s="1">
        <v>0</v>
      </c>
      <c r="L1742" s="1">
        <v>0</v>
      </c>
      <c r="M1742" s="1">
        <v>0</v>
      </c>
      <c r="N1742" s="1">
        <v>0</v>
      </c>
      <c r="O1742" s="1">
        <v>0</v>
      </c>
      <c r="P1742" s="1">
        <v>0</v>
      </c>
      <c r="Q1742" s="1">
        <v>0</v>
      </c>
      <c r="R1742" s="1">
        <v>0</v>
      </c>
      <c r="S1742" s="1">
        <v>0</v>
      </c>
      <c r="T1742" s="1">
        <v>0</v>
      </c>
      <c r="U1742" s="1">
        <v>0</v>
      </c>
      <c r="V1742" s="1" t="s">
        <v>301</v>
      </c>
    </row>
    <row r="1743" spans="1:22">
      <c r="A1743" t="s">
        <v>55</v>
      </c>
      <c r="B1743" t="s">
        <v>57</v>
      </c>
      <c r="C1743" t="s">
        <v>61</v>
      </c>
      <c r="D1743" s="1">
        <v>0</v>
      </c>
      <c r="E1743" s="1">
        <v>0</v>
      </c>
      <c r="F1743" s="1">
        <v>0</v>
      </c>
      <c r="G1743" s="1">
        <v>0</v>
      </c>
      <c r="H1743" s="1">
        <v>0</v>
      </c>
      <c r="I1743" s="1">
        <v>0</v>
      </c>
      <c r="J1743" s="1">
        <v>0</v>
      </c>
      <c r="K1743" s="1">
        <v>0</v>
      </c>
      <c r="L1743" s="1">
        <v>0</v>
      </c>
      <c r="M1743" s="1">
        <v>0</v>
      </c>
      <c r="N1743" s="1">
        <v>0</v>
      </c>
      <c r="O1743" s="1">
        <v>0</v>
      </c>
      <c r="P1743" s="1">
        <v>0</v>
      </c>
      <c r="Q1743" s="1">
        <v>0</v>
      </c>
      <c r="R1743" s="1">
        <v>0</v>
      </c>
      <c r="S1743" s="1">
        <v>0</v>
      </c>
      <c r="T1743" s="1">
        <v>0</v>
      </c>
      <c r="U1743" s="1">
        <v>0</v>
      </c>
      <c r="V1743" s="1" t="s">
        <v>301</v>
      </c>
    </row>
    <row r="1744" spans="1:22">
      <c r="A1744" t="s">
        <v>55</v>
      </c>
      <c r="B1744" t="s">
        <v>57</v>
      </c>
      <c r="C1744" t="s">
        <v>62</v>
      </c>
      <c r="D1744" s="1">
        <v>0</v>
      </c>
      <c r="E1744" s="1">
        <v>0</v>
      </c>
      <c r="F1744" s="1">
        <v>0</v>
      </c>
      <c r="G1744" s="1">
        <v>0</v>
      </c>
      <c r="H1744" s="1">
        <v>0</v>
      </c>
      <c r="I1744" s="1">
        <v>0</v>
      </c>
      <c r="J1744" s="1">
        <v>0</v>
      </c>
      <c r="K1744" s="1">
        <v>0</v>
      </c>
      <c r="L1744" s="1">
        <v>0</v>
      </c>
      <c r="M1744" s="1">
        <v>0</v>
      </c>
      <c r="N1744" s="1">
        <v>0</v>
      </c>
      <c r="O1744" s="1">
        <v>0</v>
      </c>
      <c r="P1744" s="1">
        <v>0</v>
      </c>
      <c r="Q1744" s="1">
        <v>0</v>
      </c>
      <c r="R1744" s="1">
        <v>0</v>
      </c>
      <c r="S1744" s="1">
        <v>0</v>
      </c>
      <c r="T1744" s="1">
        <v>0</v>
      </c>
      <c r="U1744" s="1">
        <v>0</v>
      </c>
      <c r="V1744" s="1" t="s">
        <v>301</v>
      </c>
    </row>
    <row r="1745" spans="1:22">
      <c r="A1745" t="s">
        <v>55</v>
      </c>
      <c r="B1745" t="s">
        <v>57</v>
      </c>
      <c r="C1745" t="s">
        <v>63</v>
      </c>
      <c r="D1745" s="1">
        <v>0</v>
      </c>
      <c r="E1745" s="1">
        <v>0</v>
      </c>
      <c r="F1745" s="1">
        <v>0</v>
      </c>
      <c r="G1745" s="1">
        <v>0</v>
      </c>
      <c r="H1745" s="1">
        <v>0</v>
      </c>
      <c r="I1745" s="1">
        <v>0</v>
      </c>
      <c r="J1745" s="1">
        <v>0</v>
      </c>
      <c r="K1745" s="1">
        <v>0</v>
      </c>
      <c r="L1745" s="1">
        <v>0</v>
      </c>
      <c r="M1745" s="1">
        <v>0</v>
      </c>
      <c r="N1745" s="1">
        <v>0</v>
      </c>
      <c r="O1745" s="1">
        <v>0</v>
      </c>
      <c r="P1745" s="1">
        <v>0</v>
      </c>
      <c r="Q1745" s="1">
        <v>0</v>
      </c>
      <c r="R1745" s="1">
        <v>0</v>
      </c>
      <c r="S1745" s="1">
        <v>0</v>
      </c>
      <c r="T1745" s="1">
        <v>0</v>
      </c>
      <c r="U1745" s="1">
        <v>0</v>
      </c>
      <c r="V1745" s="1" t="s">
        <v>301</v>
      </c>
    </row>
    <row r="1746" spans="1:22">
      <c r="A1746" t="s">
        <v>55</v>
      </c>
      <c r="B1746" t="s">
        <v>57</v>
      </c>
      <c r="C1746" t="s">
        <v>64</v>
      </c>
      <c r="D1746" s="1">
        <v>0</v>
      </c>
      <c r="E1746" s="1">
        <v>0</v>
      </c>
      <c r="F1746" s="1">
        <v>0</v>
      </c>
      <c r="G1746" s="1">
        <v>0</v>
      </c>
      <c r="H1746" s="1">
        <v>0</v>
      </c>
      <c r="I1746" s="1">
        <v>0</v>
      </c>
      <c r="J1746" s="1">
        <v>0</v>
      </c>
      <c r="K1746" s="1">
        <v>0</v>
      </c>
      <c r="L1746" s="1">
        <v>0</v>
      </c>
      <c r="M1746" s="1">
        <v>0</v>
      </c>
      <c r="N1746" s="1">
        <v>0</v>
      </c>
      <c r="O1746" s="1">
        <v>0</v>
      </c>
      <c r="P1746" s="1">
        <v>0</v>
      </c>
      <c r="Q1746" s="1">
        <v>0</v>
      </c>
      <c r="R1746" s="1">
        <v>0</v>
      </c>
      <c r="S1746" s="1">
        <v>0</v>
      </c>
      <c r="T1746" s="1">
        <v>0</v>
      </c>
      <c r="U1746" s="1">
        <v>0</v>
      </c>
      <c r="V1746" s="1" t="s">
        <v>301</v>
      </c>
    </row>
    <row r="1747" spans="1:22">
      <c r="A1747" t="s">
        <v>55</v>
      </c>
      <c r="B1747" t="s">
        <v>57</v>
      </c>
      <c r="C1747" t="s">
        <v>65</v>
      </c>
      <c r="D1747" s="1">
        <v>0</v>
      </c>
      <c r="E1747" s="1">
        <v>0</v>
      </c>
      <c r="F1747" s="1">
        <v>0</v>
      </c>
      <c r="G1747" s="1">
        <v>0</v>
      </c>
      <c r="H1747" s="1">
        <v>0</v>
      </c>
      <c r="I1747" s="1">
        <v>0</v>
      </c>
      <c r="J1747" s="1">
        <v>0</v>
      </c>
      <c r="K1747" s="1">
        <v>0</v>
      </c>
      <c r="L1747" s="1">
        <v>0</v>
      </c>
      <c r="M1747" s="1">
        <v>0</v>
      </c>
      <c r="N1747" s="1">
        <v>0</v>
      </c>
      <c r="O1747" s="1">
        <v>0</v>
      </c>
      <c r="P1747" s="1">
        <v>0</v>
      </c>
      <c r="Q1747" s="1">
        <v>0</v>
      </c>
      <c r="R1747" s="1">
        <v>0</v>
      </c>
      <c r="S1747" s="1">
        <v>0</v>
      </c>
      <c r="T1747" s="1">
        <v>0</v>
      </c>
      <c r="U1747" s="1">
        <v>0</v>
      </c>
      <c r="V1747" s="1" t="s">
        <v>301</v>
      </c>
    </row>
    <row r="1748" spans="1:22">
      <c r="D1748" s="1"/>
      <c r="E1748" s="1"/>
      <c r="F1748" s="1"/>
      <c r="G1748" s="1"/>
      <c r="H1748" s="1"/>
      <c r="I1748" s="1"/>
      <c r="J1748" s="1"/>
      <c r="K1748" s="1"/>
      <c r="L1748" s="1"/>
      <c r="M1748" s="1"/>
      <c r="N1748" s="1"/>
      <c r="O1748" s="1"/>
      <c r="P1748" s="1"/>
      <c r="Q1748" s="1"/>
      <c r="R1748" s="1"/>
      <c r="S1748" s="1"/>
      <c r="T1748" s="1"/>
      <c r="U1748" s="1"/>
      <c r="V1748" s="1"/>
    </row>
    <row r="1749" spans="1:22">
      <c r="D1749" s="1"/>
      <c r="E1749" s="1"/>
      <c r="F1749" s="1"/>
      <c r="G1749" s="1"/>
      <c r="H1749" s="1"/>
      <c r="I1749" s="1"/>
      <c r="J1749" s="1"/>
      <c r="K1749" s="1"/>
      <c r="L1749" s="1"/>
      <c r="M1749" s="1"/>
      <c r="N1749" s="1"/>
      <c r="O1749" s="1"/>
      <c r="P1749" s="1"/>
      <c r="Q1749" s="1"/>
      <c r="R1749" s="1"/>
      <c r="S1749" s="1"/>
      <c r="T1749" s="1"/>
      <c r="U1749" s="1"/>
      <c r="V1749" s="1"/>
    </row>
    <row r="1829" spans="1:22">
      <c r="A1829">
        <f>setup!C33</f>
        <v>3837</v>
      </c>
    </row>
    <row r="1830" spans="1:22">
      <c r="A1830" t="str">
        <f>_xlfn.CONCAT(setup!D33," - ",setup!E33)</f>
        <v>OSEP – Traumatic Brain Injury - Digital - OSEP_TBI_D</v>
      </c>
      <c r="D1830" s="1"/>
      <c r="E1830" s="1"/>
      <c r="F1830" s="1"/>
      <c r="G1830" s="1"/>
      <c r="H1830" s="1"/>
      <c r="I1830" s="1"/>
      <c r="J1830" s="1"/>
      <c r="K1830" s="1"/>
      <c r="L1830" s="1"/>
      <c r="M1830" s="1"/>
      <c r="N1830" s="1"/>
      <c r="O1830" s="1"/>
      <c r="P1830" s="1"/>
      <c r="Q1830" s="1"/>
      <c r="R1830" s="1"/>
      <c r="S1830" s="1"/>
      <c r="T1830" s="1"/>
      <c r="U1830" s="1"/>
    </row>
    <row r="1831" spans="1:22">
      <c r="A1831" t="s">
        <v>35</v>
      </c>
      <c r="B1831" t="s">
        <v>36</v>
      </c>
      <c r="C1831" t="s">
        <v>37</v>
      </c>
      <c r="D1831" s="1" t="s">
        <v>38</v>
      </c>
      <c r="E1831" s="1" t="s">
        <v>39</v>
      </c>
      <c r="F1831" s="1" t="s">
        <v>40</v>
      </c>
      <c r="G1831" s="1" t="s">
        <v>41</v>
      </c>
      <c r="H1831" s="1" t="s">
        <v>42</v>
      </c>
      <c r="I1831" s="1" t="s">
        <v>43</v>
      </c>
      <c r="J1831" s="1" t="s">
        <v>44</v>
      </c>
      <c r="K1831" s="1" t="s">
        <v>45</v>
      </c>
      <c r="L1831" s="1" t="s">
        <v>46</v>
      </c>
      <c r="M1831" s="1" t="s">
        <v>47</v>
      </c>
      <c r="N1831" s="1" t="s">
        <v>48</v>
      </c>
      <c r="O1831" s="1" t="s">
        <v>49</v>
      </c>
      <c r="P1831" s="1" t="s">
        <v>50</v>
      </c>
      <c r="Q1831" s="1" t="s">
        <v>51</v>
      </c>
      <c r="R1831" s="1" t="s">
        <v>52</v>
      </c>
      <c r="S1831" s="1" t="s">
        <v>53</v>
      </c>
      <c r="T1831" t="s">
        <v>54</v>
      </c>
      <c r="U1831" s="1" t="s">
        <v>55</v>
      </c>
      <c r="V1831" t="s">
        <v>56</v>
      </c>
    </row>
    <row r="1832" spans="1:22">
      <c r="A1832" t="s">
        <v>197</v>
      </c>
      <c r="B1832" t="s">
        <v>57</v>
      </c>
      <c r="C1832" t="s">
        <v>58</v>
      </c>
      <c r="D1832" s="1">
        <v>0</v>
      </c>
      <c r="E1832" s="1">
        <v>0</v>
      </c>
      <c r="F1832" s="1">
        <v>0</v>
      </c>
      <c r="G1832" s="1">
        <v>0</v>
      </c>
      <c r="H1832" s="1">
        <v>0</v>
      </c>
      <c r="I1832" s="1">
        <v>0</v>
      </c>
      <c r="J1832" s="1">
        <v>0</v>
      </c>
      <c r="K1832" s="1">
        <v>0</v>
      </c>
      <c r="L1832" s="1">
        <v>0</v>
      </c>
      <c r="M1832" s="1">
        <v>0</v>
      </c>
      <c r="N1832" s="1">
        <v>0</v>
      </c>
      <c r="O1832" s="1">
        <v>0</v>
      </c>
      <c r="P1832" s="1">
        <v>0</v>
      </c>
      <c r="Q1832" s="1">
        <v>0</v>
      </c>
      <c r="R1832" s="1">
        <v>0</v>
      </c>
      <c r="S1832" s="1">
        <v>0</v>
      </c>
      <c r="T1832" s="1">
        <v>0</v>
      </c>
      <c r="U1832" s="1">
        <v>1</v>
      </c>
      <c r="V1832" s="1" t="s">
        <v>301</v>
      </c>
    </row>
    <row r="1833" spans="1:22">
      <c r="A1833" t="s">
        <v>197</v>
      </c>
      <c r="B1833" t="s">
        <v>57</v>
      </c>
      <c r="C1833" t="s">
        <v>59</v>
      </c>
      <c r="D1833" s="1">
        <v>0</v>
      </c>
      <c r="E1833" s="1">
        <v>0</v>
      </c>
      <c r="F1833" s="1">
        <v>0</v>
      </c>
      <c r="G1833" s="1">
        <v>0</v>
      </c>
      <c r="H1833" s="1">
        <v>0</v>
      </c>
      <c r="I1833" s="1">
        <v>0</v>
      </c>
      <c r="J1833" s="1">
        <v>0</v>
      </c>
      <c r="K1833" s="1">
        <v>0</v>
      </c>
      <c r="L1833" s="1">
        <v>0</v>
      </c>
      <c r="M1833" s="1">
        <v>0</v>
      </c>
      <c r="N1833" s="1">
        <v>0</v>
      </c>
      <c r="O1833" s="1">
        <v>0</v>
      </c>
      <c r="P1833" s="1">
        <v>0</v>
      </c>
      <c r="Q1833" s="1">
        <v>0</v>
      </c>
      <c r="R1833" s="1">
        <v>0</v>
      </c>
      <c r="S1833" s="1">
        <v>0</v>
      </c>
      <c r="T1833" s="1">
        <v>0</v>
      </c>
      <c r="U1833" s="1">
        <v>0</v>
      </c>
      <c r="V1833" s="1" t="s">
        <v>301</v>
      </c>
    </row>
    <row r="1834" spans="1:22">
      <c r="A1834" t="s">
        <v>197</v>
      </c>
      <c r="B1834" t="s">
        <v>57</v>
      </c>
      <c r="C1834" t="s">
        <v>60</v>
      </c>
      <c r="D1834" s="1">
        <v>0</v>
      </c>
      <c r="E1834" s="1">
        <v>0</v>
      </c>
      <c r="F1834" s="1">
        <v>0</v>
      </c>
      <c r="G1834" s="1">
        <v>0</v>
      </c>
      <c r="H1834" s="1">
        <v>0</v>
      </c>
      <c r="I1834" s="1">
        <v>0</v>
      </c>
      <c r="J1834" s="1">
        <v>0</v>
      </c>
      <c r="K1834" s="1">
        <v>0</v>
      </c>
      <c r="L1834" s="1">
        <v>0</v>
      </c>
      <c r="M1834" s="1">
        <v>0</v>
      </c>
      <c r="N1834" s="1">
        <v>0</v>
      </c>
      <c r="O1834" s="1">
        <v>0</v>
      </c>
      <c r="P1834" s="1">
        <v>0</v>
      </c>
      <c r="Q1834" s="1">
        <v>0</v>
      </c>
      <c r="R1834" s="1">
        <v>0</v>
      </c>
      <c r="S1834" s="1">
        <v>0</v>
      </c>
      <c r="T1834" s="1">
        <v>0</v>
      </c>
      <c r="U1834" s="1">
        <v>0</v>
      </c>
      <c r="V1834" s="1" t="s">
        <v>301</v>
      </c>
    </row>
    <row r="1835" spans="1:22">
      <c r="A1835" t="s">
        <v>197</v>
      </c>
      <c r="B1835" t="s">
        <v>57</v>
      </c>
      <c r="C1835" t="s">
        <v>61</v>
      </c>
      <c r="D1835" s="1">
        <v>0</v>
      </c>
      <c r="E1835" s="1">
        <v>0</v>
      </c>
      <c r="F1835" s="1">
        <v>0</v>
      </c>
      <c r="G1835" s="1">
        <v>0</v>
      </c>
      <c r="H1835" s="1">
        <v>0</v>
      </c>
      <c r="I1835" s="1">
        <v>0</v>
      </c>
      <c r="J1835" s="1">
        <v>0</v>
      </c>
      <c r="K1835" s="1">
        <v>0</v>
      </c>
      <c r="L1835" s="1">
        <v>0</v>
      </c>
      <c r="M1835" s="1">
        <v>0</v>
      </c>
      <c r="N1835" s="1">
        <v>0</v>
      </c>
      <c r="O1835" s="1">
        <v>0</v>
      </c>
      <c r="P1835" s="1">
        <v>0</v>
      </c>
      <c r="Q1835" s="1">
        <v>0</v>
      </c>
      <c r="R1835" s="1">
        <v>0</v>
      </c>
      <c r="S1835" s="1">
        <v>0</v>
      </c>
      <c r="T1835" s="1">
        <v>0</v>
      </c>
      <c r="U1835" s="1">
        <v>0</v>
      </c>
      <c r="V1835" s="1" t="s">
        <v>301</v>
      </c>
    </row>
    <row r="1836" spans="1:22">
      <c r="A1836" t="s">
        <v>197</v>
      </c>
      <c r="B1836" t="s">
        <v>57</v>
      </c>
      <c r="C1836" t="s">
        <v>62</v>
      </c>
      <c r="D1836" s="1">
        <v>0</v>
      </c>
      <c r="E1836" s="1">
        <v>0</v>
      </c>
      <c r="F1836" s="1">
        <v>0</v>
      </c>
      <c r="G1836" s="1">
        <v>0</v>
      </c>
      <c r="H1836" s="1">
        <v>0</v>
      </c>
      <c r="I1836" s="1">
        <v>0</v>
      </c>
      <c r="J1836" s="1">
        <v>0</v>
      </c>
      <c r="K1836" s="1">
        <v>0</v>
      </c>
      <c r="L1836" s="1">
        <v>0</v>
      </c>
      <c r="M1836" s="1">
        <v>0</v>
      </c>
      <c r="N1836" s="1">
        <v>0</v>
      </c>
      <c r="O1836" s="1">
        <v>0</v>
      </c>
      <c r="P1836" s="1">
        <v>0</v>
      </c>
      <c r="Q1836" s="1">
        <v>0</v>
      </c>
      <c r="R1836" s="1">
        <v>0</v>
      </c>
      <c r="S1836" s="1">
        <v>0</v>
      </c>
      <c r="T1836" s="1">
        <v>0</v>
      </c>
      <c r="U1836" s="1">
        <v>0</v>
      </c>
      <c r="V1836" s="1" t="s">
        <v>301</v>
      </c>
    </row>
    <row r="1837" spans="1:22">
      <c r="A1837" t="s">
        <v>197</v>
      </c>
      <c r="B1837" t="s">
        <v>57</v>
      </c>
      <c r="C1837" t="s">
        <v>63</v>
      </c>
      <c r="D1837" s="1">
        <v>0</v>
      </c>
      <c r="E1837" s="1">
        <v>0</v>
      </c>
      <c r="F1837" s="1">
        <v>0</v>
      </c>
      <c r="G1837" s="1">
        <v>0</v>
      </c>
      <c r="H1837" s="1">
        <v>0</v>
      </c>
      <c r="I1837" s="1">
        <v>0</v>
      </c>
      <c r="J1837" s="1">
        <v>0</v>
      </c>
      <c r="K1837" s="1">
        <v>0</v>
      </c>
      <c r="L1837" s="1">
        <v>0</v>
      </c>
      <c r="M1837" s="1">
        <v>0</v>
      </c>
      <c r="N1837" s="1">
        <v>0</v>
      </c>
      <c r="O1837" s="1">
        <v>0</v>
      </c>
      <c r="P1837" s="1">
        <v>0</v>
      </c>
      <c r="Q1837" s="1">
        <v>0</v>
      </c>
      <c r="R1837" s="1">
        <v>0</v>
      </c>
      <c r="S1837" s="1">
        <v>0</v>
      </c>
      <c r="T1837" s="1">
        <v>0</v>
      </c>
      <c r="U1837" s="1">
        <v>0</v>
      </c>
      <c r="V1837" s="1" t="s">
        <v>301</v>
      </c>
    </row>
    <row r="1838" spans="1:22">
      <c r="A1838" t="s">
        <v>197</v>
      </c>
      <c r="B1838" t="s">
        <v>57</v>
      </c>
      <c r="C1838" t="s">
        <v>64</v>
      </c>
      <c r="D1838" s="1">
        <v>0</v>
      </c>
      <c r="E1838" s="1">
        <v>0</v>
      </c>
      <c r="F1838" s="1">
        <v>0</v>
      </c>
      <c r="G1838" s="1">
        <v>0</v>
      </c>
      <c r="H1838" s="1">
        <v>0</v>
      </c>
      <c r="I1838" s="1">
        <v>0</v>
      </c>
      <c r="J1838" s="1">
        <v>0</v>
      </c>
      <c r="K1838" s="1">
        <v>0</v>
      </c>
      <c r="L1838" s="1">
        <v>0</v>
      </c>
      <c r="M1838" s="1">
        <v>0</v>
      </c>
      <c r="N1838" s="1">
        <v>0</v>
      </c>
      <c r="O1838" s="1">
        <v>0</v>
      </c>
      <c r="P1838" s="1">
        <v>0</v>
      </c>
      <c r="Q1838" s="1">
        <v>0</v>
      </c>
      <c r="R1838" s="1">
        <v>0</v>
      </c>
      <c r="S1838" s="1">
        <v>0</v>
      </c>
      <c r="T1838" s="1">
        <v>0</v>
      </c>
      <c r="U1838" s="1">
        <v>0</v>
      </c>
      <c r="V1838" s="1" t="s">
        <v>301</v>
      </c>
    </row>
    <row r="1839" spans="1:22">
      <c r="A1839" t="s">
        <v>197</v>
      </c>
      <c r="B1839" t="s">
        <v>57</v>
      </c>
      <c r="C1839" t="s">
        <v>65</v>
      </c>
      <c r="D1839" s="1">
        <v>0</v>
      </c>
      <c r="E1839" s="1">
        <v>0</v>
      </c>
      <c r="F1839" s="1">
        <v>0</v>
      </c>
      <c r="G1839" s="1">
        <v>0</v>
      </c>
      <c r="H1839" s="1">
        <v>0</v>
      </c>
      <c r="I1839" s="1">
        <v>0</v>
      </c>
      <c r="J1839" s="1">
        <v>0</v>
      </c>
      <c r="K1839" s="1">
        <v>0</v>
      </c>
      <c r="L1839" s="1">
        <v>0</v>
      </c>
      <c r="M1839" s="1">
        <v>0</v>
      </c>
      <c r="N1839" s="1">
        <v>0</v>
      </c>
      <c r="O1839" s="1">
        <v>0</v>
      </c>
      <c r="P1839" s="1">
        <v>0</v>
      </c>
      <c r="Q1839" s="1">
        <v>0</v>
      </c>
      <c r="R1839" s="1">
        <v>0</v>
      </c>
      <c r="S1839" s="1">
        <v>0</v>
      </c>
      <c r="T1839" s="1">
        <v>0</v>
      </c>
      <c r="U1839" s="1">
        <v>0</v>
      </c>
      <c r="V1839" s="1" t="s">
        <v>301</v>
      </c>
    </row>
    <row r="1840" spans="1:22">
      <c r="A1840" t="s">
        <v>55</v>
      </c>
      <c r="B1840" t="s">
        <v>57</v>
      </c>
      <c r="C1840" t="s">
        <v>58</v>
      </c>
      <c r="D1840" s="1">
        <v>0</v>
      </c>
      <c r="E1840" s="1">
        <v>0</v>
      </c>
      <c r="F1840" s="1">
        <v>0</v>
      </c>
      <c r="G1840" s="1">
        <v>0</v>
      </c>
      <c r="H1840" s="1">
        <v>0</v>
      </c>
      <c r="I1840" s="1">
        <v>0</v>
      </c>
      <c r="J1840" s="1">
        <v>0</v>
      </c>
      <c r="K1840" s="1">
        <v>0</v>
      </c>
      <c r="L1840" s="1">
        <v>0</v>
      </c>
      <c r="M1840" s="1">
        <v>0</v>
      </c>
      <c r="N1840" s="1">
        <v>0</v>
      </c>
      <c r="O1840" s="1">
        <v>0</v>
      </c>
      <c r="P1840" s="1">
        <v>0</v>
      </c>
      <c r="Q1840" s="1">
        <v>0</v>
      </c>
      <c r="R1840" s="1">
        <v>0</v>
      </c>
      <c r="S1840" s="1">
        <v>0</v>
      </c>
      <c r="T1840" s="1">
        <v>0</v>
      </c>
      <c r="U1840" s="1">
        <v>1</v>
      </c>
      <c r="V1840" s="1" t="s">
        <v>301</v>
      </c>
    </row>
    <row r="1841" spans="1:22">
      <c r="A1841" t="s">
        <v>55</v>
      </c>
      <c r="B1841" t="s">
        <v>57</v>
      </c>
      <c r="C1841" t="s">
        <v>59</v>
      </c>
      <c r="D1841" s="1">
        <v>0</v>
      </c>
      <c r="E1841" s="1">
        <v>0</v>
      </c>
      <c r="F1841" s="1">
        <v>0</v>
      </c>
      <c r="G1841" s="1">
        <v>0</v>
      </c>
      <c r="H1841" s="1">
        <v>0</v>
      </c>
      <c r="I1841" s="1">
        <v>0</v>
      </c>
      <c r="J1841" s="1">
        <v>0</v>
      </c>
      <c r="K1841" s="1">
        <v>0</v>
      </c>
      <c r="L1841" s="1">
        <v>0</v>
      </c>
      <c r="M1841" s="1">
        <v>0</v>
      </c>
      <c r="N1841" s="1">
        <v>0</v>
      </c>
      <c r="O1841" s="1">
        <v>0</v>
      </c>
      <c r="P1841" s="1">
        <v>0</v>
      </c>
      <c r="Q1841" s="1">
        <v>0</v>
      </c>
      <c r="R1841" s="1">
        <v>0</v>
      </c>
      <c r="S1841" s="1">
        <v>0</v>
      </c>
      <c r="T1841" s="1">
        <v>0</v>
      </c>
      <c r="U1841" s="1">
        <v>0</v>
      </c>
      <c r="V1841" s="1" t="s">
        <v>301</v>
      </c>
    </row>
    <row r="1842" spans="1:22">
      <c r="A1842" t="s">
        <v>55</v>
      </c>
      <c r="B1842" t="s">
        <v>57</v>
      </c>
      <c r="C1842" t="s">
        <v>60</v>
      </c>
      <c r="D1842" s="1">
        <v>0</v>
      </c>
      <c r="E1842" s="1">
        <v>0</v>
      </c>
      <c r="F1842" s="1">
        <v>0</v>
      </c>
      <c r="G1842" s="1">
        <v>0</v>
      </c>
      <c r="H1842" s="1">
        <v>0</v>
      </c>
      <c r="I1842" s="1">
        <v>0</v>
      </c>
      <c r="J1842" s="1">
        <v>0</v>
      </c>
      <c r="K1842" s="1">
        <v>0</v>
      </c>
      <c r="L1842" s="1">
        <v>0</v>
      </c>
      <c r="M1842" s="1">
        <v>0</v>
      </c>
      <c r="N1842" s="1">
        <v>0</v>
      </c>
      <c r="O1842" s="1">
        <v>0</v>
      </c>
      <c r="P1842" s="1">
        <v>0</v>
      </c>
      <c r="Q1842" s="1">
        <v>0</v>
      </c>
      <c r="R1842" s="1">
        <v>0</v>
      </c>
      <c r="S1842" s="1">
        <v>0</v>
      </c>
      <c r="T1842" s="1">
        <v>0</v>
      </c>
      <c r="U1842" s="1">
        <v>0</v>
      </c>
      <c r="V1842" s="1" t="s">
        <v>301</v>
      </c>
    </row>
    <row r="1843" spans="1:22">
      <c r="A1843" t="s">
        <v>55</v>
      </c>
      <c r="B1843" t="s">
        <v>57</v>
      </c>
      <c r="C1843" t="s">
        <v>61</v>
      </c>
      <c r="D1843" s="1">
        <v>0</v>
      </c>
      <c r="E1843" s="1">
        <v>0</v>
      </c>
      <c r="F1843" s="1">
        <v>0</v>
      </c>
      <c r="G1843" s="1">
        <v>0</v>
      </c>
      <c r="H1843" s="1">
        <v>0</v>
      </c>
      <c r="I1843" s="1">
        <v>0</v>
      </c>
      <c r="J1843" s="1">
        <v>0</v>
      </c>
      <c r="K1843" s="1">
        <v>0</v>
      </c>
      <c r="L1843" s="1">
        <v>0</v>
      </c>
      <c r="M1843" s="1">
        <v>0</v>
      </c>
      <c r="N1843" s="1">
        <v>0</v>
      </c>
      <c r="O1843" s="1">
        <v>0</v>
      </c>
      <c r="P1843" s="1">
        <v>0</v>
      </c>
      <c r="Q1843" s="1">
        <v>0</v>
      </c>
      <c r="R1843" s="1">
        <v>0</v>
      </c>
      <c r="S1843" s="1">
        <v>0</v>
      </c>
      <c r="T1843" s="1">
        <v>0</v>
      </c>
      <c r="U1843" s="1">
        <v>0</v>
      </c>
      <c r="V1843" s="1" t="s">
        <v>301</v>
      </c>
    </row>
    <row r="1844" spans="1:22">
      <c r="A1844" t="s">
        <v>55</v>
      </c>
      <c r="B1844" t="s">
        <v>57</v>
      </c>
      <c r="C1844" t="s">
        <v>62</v>
      </c>
      <c r="D1844" s="1">
        <v>0</v>
      </c>
      <c r="E1844" s="1">
        <v>0</v>
      </c>
      <c r="F1844" s="1">
        <v>0</v>
      </c>
      <c r="G1844" s="1">
        <v>0</v>
      </c>
      <c r="H1844" s="1">
        <v>0</v>
      </c>
      <c r="I1844" s="1">
        <v>0</v>
      </c>
      <c r="J1844" s="1">
        <v>0</v>
      </c>
      <c r="K1844" s="1">
        <v>0</v>
      </c>
      <c r="L1844" s="1">
        <v>0</v>
      </c>
      <c r="M1844" s="1">
        <v>0</v>
      </c>
      <c r="N1844" s="1">
        <v>0</v>
      </c>
      <c r="O1844" s="1">
        <v>0</v>
      </c>
      <c r="P1844" s="1">
        <v>0</v>
      </c>
      <c r="Q1844" s="1">
        <v>0</v>
      </c>
      <c r="R1844" s="1">
        <v>0</v>
      </c>
      <c r="S1844" s="1">
        <v>0</v>
      </c>
      <c r="T1844" s="1">
        <v>0</v>
      </c>
      <c r="U1844" s="1">
        <v>0</v>
      </c>
      <c r="V1844" s="1" t="s">
        <v>301</v>
      </c>
    </row>
    <row r="1845" spans="1:22">
      <c r="A1845" t="s">
        <v>55</v>
      </c>
      <c r="B1845" t="s">
        <v>57</v>
      </c>
      <c r="C1845" t="s">
        <v>63</v>
      </c>
      <c r="D1845" s="1">
        <v>0</v>
      </c>
      <c r="E1845" s="1">
        <v>0</v>
      </c>
      <c r="F1845" s="1">
        <v>0</v>
      </c>
      <c r="G1845" s="1">
        <v>0</v>
      </c>
      <c r="H1845" s="1">
        <v>0</v>
      </c>
      <c r="I1845" s="1">
        <v>0</v>
      </c>
      <c r="J1845" s="1">
        <v>0</v>
      </c>
      <c r="K1845" s="1">
        <v>0</v>
      </c>
      <c r="L1845" s="1">
        <v>0</v>
      </c>
      <c r="M1845" s="1">
        <v>0</v>
      </c>
      <c r="N1845" s="1">
        <v>0</v>
      </c>
      <c r="O1845" s="1">
        <v>0</v>
      </c>
      <c r="P1845" s="1">
        <v>0</v>
      </c>
      <c r="Q1845" s="1">
        <v>0</v>
      </c>
      <c r="R1845" s="1">
        <v>0</v>
      </c>
      <c r="S1845" s="1">
        <v>0</v>
      </c>
      <c r="T1845" s="1">
        <v>0</v>
      </c>
      <c r="U1845" s="1">
        <v>0</v>
      </c>
      <c r="V1845" s="1" t="s">
        <v>301</v>
      </c>
    </row>
    <row r="1846" spans="1:22">
      <c r="A1846" t="s">
        <v>55</v>
      </c>
      <c r="B1846" t="s">
        <v>57</v>
      </c>
      <c r="C1846" t="s">
        <v>64</v>
      </c>
      <c r="D1846" s="1">
        <v>0</v>
      </c>
      <c r="E1846" s="1">
        <v>0</v>
      </c>
      <c r="F1846" s="1">
        <v>0</v>
      </c>
      <c r="G1846" s="1">
        <v>0</v>
      </c>
      <c r="H1846" s="1">
        <v>0</v>
      </c>
      <c r="I1846" s="1">
        <v>0</v>
      </c>
      <c r="J1846" s="1">
        <v>0</v>
      </c>
      <c r="K1846" s="1">
        <v>0</v>
      </c>
      <c r="L1846" s="1">
        <v>0</v>
      </c>
      <c r="M1846" s="1">
        <v>0</v>
      </c>
      <c r="N1846" s="1">
        <v>0</v>
      </c>
      <c r="O1846" s="1">
        <v>0</v>
      </c>
      <c r="P1846" s="1">
        <v>0</v>
      </c>
      <c r="Q1846" s="1">
        <v>0</v>
      </c>
      <c r="R1846" s="1">
        <v>0</v>
      </c>
      <c r="S1846" s="1">
        <v>0</v>
      </c>
      <c r="T1846" s="1">
        <v>0</v>
      </c>
      <c r="U1846" s="1">
        <v>0</v>
      </c>
      <c r="V1846" s="1" t="s">
        <v>301</v>
      </c>
    </row>
    <row r="1847" spans="1:22">
      <c r="A1847" t="s">
        <v>55</v>
      </c>
      <c r="B1847" t="s">
        <v>57</v>
      </c>
      <c r="C1847" t="s">
        <v>65</v>
      </c>
      <c r="D1847" s="1">
        <v>0</v>
      </c>
      <c r="E1847" s="1">
        <v>0</v>
      </c>
      <c r="F1847" s="1">
        <v>0</v>
      </c>
      <c r="G1847" s="1">
        <v>0</v>
      </c>
      <c r="H1847" s="1">
        <v>0</v>
      </c>
      <c r="I1847" s="1">
        <v>0</v>
      </c>
      <c r="J1847" s="1">
        <v>0</v>
      </c>
      <c r="K1847" s="1">
        <v>0</v>
      </c>
      <c r="L1847" s="1">
        <v>0</v>
      </c>
      <c r="M1847" s="1">
        <v>0</v>
      </c>
      <c r="N1847" s="1">
        <v>0</v>
      </c>
      <c r="O1847" s="1">
        <v>0</v>
      </c>
      <c r="P1847" s="1">
        <v>0</v>
      </c>
      <c r="Q1847" s="1">
        <v>0</v>
      </c>
      <c r="R1847" s="1">
        <v>0</v>
      </c>
      <c r="S1847" s="1">
        <v>0</v>
      </c>
      <c r="T1847" s="1">
        <v>0</v>
      </c>
      <c r="U1847" s="1">
        <v>0</v>
      </c>
      <c r="V1847" s="1" t="s">
        <v>301</v>
      </c>
    </row>
    <row r="1848" spans="1:22">
      <c r="D1848" s="1"/>
      <c r="E1848" s="1"/>
      <c r="F1848" s="1"/>
      <c r="G1848" s="1"/>
      <c r="H1848" s="1"/>
      <c r="I1848" s="1"/>
      <c r="J1848" s="1"/>
      <c r="K1848" s="1"/>
      <c r="L1848" s="1"/>
      <c r="M1848" s="1"/>
      <c r="N1848" s="1"/>
      <c r="O1848" s="1"/>
      <c r="P1848" s="1"/>
      <c r="Q1848" s="1"/>
      <c r="R1848" s="1"/>
      <c r="S1848" s="1"/>
      <c r="T1848" s="1"/>
      <c r="U1848" s="1"/>
      <c r="V1848" s="1"/>
    </row>
    <row r="1849" spans="1:22">
      <c r="D1849" s="1"/>
      <c r="E1849" s="1"/>
      <c r="F1849" s="1"/>
      <c r="G1849" s="1"/>
      <c r="H1849" s="1"/>
      <c r="I1849" s="1"/>
      <c r="J1849" s="1"/>
      <c r="K1849" s="1"/>
      <c r="L1849" s="1"/>
      <c r="M1849" s="1"/>
      <c r="N1849" s="1"/>
      <c r="O1849" s="1"/>
      <c r="P1849" s="1"/>
      <c r="Q1849" s="1"/>
      <c r="R1849" s="1"/>
      <c r="S1849" s="1"/>
      <c r="T1849" s="1"/>
      <c r="U1849" s="1"/>
      <c r="V1849" s="1"/>
    </row>
    <row r="1850" spans="1:22">
      <c r="D1850" s="1"/>
      <c r="E1850" s="1"/>
      <c r="F1850" s="1"/>
      <c r="G1850" s="1"/>
      <c r="H1850" s="1"/>
      <c r="I1850" s="1"/>
      <c r="J1850" s="1"/>
      <c r="K1850" s="1"/>
      <c r="L1850" s="1"/>
      <c r="M1850" s="1"/>
      <c r="N1850" s="1"/>
      <c r="O1850" s="1"/>
      <c r="P1850" s="1"/>
      <c r="Q1850" s="1"/>
      <c r="R1850" s="1"/>
      <c r="S1850" s="1"/>
      <c r="T1850" s="1"/>
      <c r="U1850" s="1"/>
      <c r="V1850" s="1"/>
    </row>
    <row r="1851" spans="1:22">
      <c r="D1851" s="1"/>
      <c r="E1851" s="1"/>
      <c r="F1851" s="1"/>
      <c r="G1851" s="1"/>
      <c r="H1851" s="1"/>
      <c r="I1851" s="1"/>
      <c r="J1851" s="1"/>
      <c r="K1851" s="1"/>
      <c r="L1851" s="1"/>
      <c r="M1851" s="1"/>
      <c r="N1851" s="1"/>
      <c r="O1851" s="1"/>
      <c r="P1851" s="1"/>
      <c r="Q1851" s="1"/>
      <c r="R1851" s="1"/>
      <c r="S1851" s="1"/>
      <c r="T1851" s="1"/>
      <c r="U1851" s="1"/>
      <c r="V1851" s="1"/>
    </row>
    <row r="1852" spans="1:22">
      <c r="D1852" s="1"/>
      <c r="E1852" s="1"/>
      <c r="F1852" s="1"/>
      <c r="G1852" s="1"/>
      <c r="H1852" s="1"/>
      <c r="I1852" s="1"/>
      <c r="J1852" s="1"/>
      <c r="K1852" s="1"/>
      <c r="L1852" s="1"/>
      <c r="M1852" s="1"/>
      <c r="N1852" s="1"/>
      <c r="O1852" s="1"/>
      <c r="P1852" s="1"/>
      <c r="Q1852" s="1"/>
      <c r="R1852" s="1"/>
      <c r="S1852" s="1"/>
      <c r="T1852" s="1"/>
      <c r="U1852" s="1"/>
      <c r="V1852" s="1"/>
    </row>
    <row r="1853" spans="1:22">
      <c r="D1853" s="1"/>
      <c r="E1853" s="1"/>
      <c r="F1853" s="1"/>
      <c r="G1853" s="1"/>
      <c r="H1853" s="1"/>
      <c r="I1853" s="1"/>
      <c r="J1853" s="1"/>
      <c r="K1853" s="1"/>
      <c r="L1853" s="1"/>
      <c r="M1853" s="1"/>
      <c r="N1853" s="1"/>
      <c r="O1853" s="1"/>
      <c r="P1853" s="1"/>
      <c r="Q1853" s="1"/>
      <c r="R1853" s="1"/>
      <c r="S1853" s="1"/>
      <c r="T1853" s="1"/>
      <c r="U1853" s="1"/>
      <c r="V1853" s="1"/>
    </row>
    <row r="1854" spans="1:22">
      <c r="D1854" s="1"/>
      <c r="E1854" s="1"/>
      <c r="F1854" s="1"/>
      <c r="G1854" s="1"/>
      <c r="H1854" s="1"/>
      <c r="I1854" s="1"/>
      <c r="J1854" s="1"/>
      <c r="K1854" s="1"/>
      <c r="L1854" s="1"/>
      <c r="M1854" s="1"/>
      <c r="N1854" s="1"/>
      <c r="O1854" s="1"/>
      <c r="P1854" s="1"/>
      <c r="Q1854" s="1"/>
      <c r="R1854" s="1"/>
      <c r="S1854" s="1"/>
      <c r="T1854" s="1"/>
      <c r="U1854" s="1"/>
      <c r="V1854" s="1"/>
    </row>
    <row r="1855" spans="1:22">
      <c r="D1855" s="1"/>
      <c r="E1855" s="1"/>
      <c r="F1855" s="1"/>
      <c r="G1855" s="1"/>
      <c r="H1855" s="1"/>
      <c r="I1855" s="1"/>
      <c r="J1855" s="1"/>
      <c r="K1855" s="1"/>
      <c r="L1855" s="1"/>
      <c r="M1855" s="1"/>
      <c r="N1855" s="1"/>
      <c r="O1855" s="1"/>
      <c r="P1855" s="1"/>
      <c r="Q1855" s="1"/>
      <c r="R1855" s="1"/>
      <c r="S1855" s="1"/>
      <c r="T1855" s="1"/>
      <c r="U1855" s="1"/>
      <c r="V1855" s="1"/>
    </row>
    <row r="1929" spans="1:22">
      <c r="A1929">
        <f>setup!C34</f>
        <v>3827</v>
      </c>
    </row>
    <row r="1930" spans="1:22">
      <c r="A1930" t="str">
        <f>_xlfn.CONCAT(setup!D34," - ",setup!E34)</f>
        <v>OSEP – ADHD - Paper - OSEP_ADHD_P</v>
      </c>
      <c r="D1930" s="1"/>
      <c r="E1930" s="1"/>
      <c r="F1930" s="1"/>
      <c r="G1930" s="1"/>
      <c r="H1930" s="1"/>
      <c r="I1930" s="1"/>
      <c r="J1930" s="1"/>
      <c r="K1930" s="1"/>
      <c r="L1930" s="1"/>
      <c r="M1930" s="1"/>
      <c r="N1930" s="1"/>
      <c r="O1930" s="1"/>
      <c r="P1930" s="1"/>
      <c r="Q1930" s="1"/>
      <c r="R1930" s="1"/>
      <c r="S1930" s="1"/>
      <c r="T1930" s="1"/>
      <c r="U1930" s="1"/>
    </row>
    <row r="1931" spans="1:22">
      <c r="A1931" t="s">
        <v>35</v>
      </c>
      <c r="B1931" t="s">
        <v>36</v>
      </c>
      <c r="C1931" t="s">
        <v>37</v>
      </c>
      <c r="D1931" s="1" t="s">
        <v>38</v>
      </c>
      <c r="E1931" s="1" t="s">
        <v>39</v>
      </c>
      <c r="F1931" s="1" t="s">
        <v>40</v>
      </c>
      <c r="G1931" s="1" t="s">
        <v>41</v>
      </c>
      <c r="H1931" s="1" t="s">
        <v>42</v>
      </c>
      <c r="I1931" s="1" t="s">
        <v>43</v>
      </c>
      <c r="J1931" s="1" t="s">
        <v>44</v>
      </c>
      <c r="K1931" s="1" t="s">
        <v>45</v>
      </c>
      <c r="L1931" s="1" t="s">
        <v>46</v>
      </c>
      <c r="M1931" s="1" t="s">
        <v>47</v>
      </c>
      <c r="N1931" s="1" t="s">
        <v>48</v>
      </c>
      <c r="O1931" s="1" t="s">
        <v>49</v>
      </c>
      <c r="P1931" s="1" t="s">
        <v>50</v>
      </c>
      <c r="Q1931" s="1" t="s">
        <v>51</v>
      </c>
      <c r="R1931" s="1" t="s">
        <v>52</v>
      </c>
      <c r="S1931" s="1" t="s">
        <v>53</v>
      </c>
      <c r="T1931" t="s">
        <v>54</v>
      </c>
      <c r="U1931" s="1" t="s">
        <v>55</v>
      </c>
      <c r="V1931" t="s">
        <v>56</v>
      </c>
    </row>
    <row r="1932" spans="1:22">
      <c r="A1932" t="s">
        <v>187</v>
      </c>
      <c r="B1932" t="s">
        <v>57</v>
      </c>
      <c r="C1932" t="s">
        <v>58</v>
      </c>
      <c r="D1932" s="1">
        <v>0</v>
      </c>
      <c r="E1932" s="1">
        <v>0</v>
      </c>
      <c r="F1932" s="1">
        <v>0</v>
      </c>
      <c r="G1932" s="1">
        <v>0</v>
      </c>
      <c r="H1932" s="1">
        <v>0</v>
      </c>
      <c r="I1932" s="1">
        <v>0</v>
      </c>
      <c r="J1932" s="1">
        <v>0</v>
      </c>
      <c r="K1932" s="1">
        <v>0</v>
      </c>
      <c r="L1932" s="1">
        <v>0</v>
      </c>
      <c r="M1932" s="1">
        <v>0</v>
      </c>
      <c r="N1932" s="1">
        <v>0</v>
      </c>
      <c r="O1932" s="1">
        <v>0</v>
      </c>
      <c r="P1932" s="1">
        <v>0</v>
      </c>
      <c r="Q1932" s="1">
        <v>0</v>
      </c>
      <c r="R1932" s="1">
        <v>0</v>
      </c>
      <c r="S1932" s="1">
        <v>0</v>
      </c>
      <c r="T1932" s="1">
        <v>0</v>
      </c>
      <c r="U1932" s="1">
        <v>19</v>
      </c>
      <c r="V1932" s="1" t="s">
        <v>301</v>
      </c>
    </row>
    <row r="1933" spans="1:22">
      <c r="A1933" t="s">
        <v>187</v>
      </c>
      <c r="B1933" t="s">
        <v>57</v>
      </c>
      <c r="C1933" t="s">
        <v>59</v>
      </c>
      <c r="D1933" s="1">
        <v>0</v>
      </c>
      <c r="E1933" s="1">
        <v>0</v>
      </c>
      <c r="F1933" s="1">
        <v>2</v>
      </c>
      <c r="G1933" s="1">
        <v>1</v>
      </c>
      <c r="H1933" s="1">
        <v>0</v>
      </c>
      <c r="I1933" s="1">
        <v>0</v>
      </c>
      <c r="J1933" s="1">
        <v>1</v>
      </c>
      <c r="K1933" s="1">
        <v>0</v>
      </c>
      <c r="L1933" s="1">
        <v>1</v>
      </c>
      <c r="M1933" s="1">
        <v>1</v>
      </c>
      <c r="N1933" s="1">
        <v>1</v>
      </c>
      <c r="O1933" s="1">
        <v>0</v>
      </c>
      <c r="P1933" s="1">
        <v>2</v>
      </c>
      <c r="Q1933" s="1">
        <v>0</v>
      </c>
      <c r="R1933" s="1">
        <v>0</v>
      </c>
      <c r="S1933" s="1">
        <v>3</v>
      </c>
      <c r="T1933" s="1">
        <v>0</v>
      </c>
      <c r="U1933" s="1">
        <v>3</v>
      </c>
      <c r="V1933" s="1" t="s">
        <v>301</v>
      </c>
    </row>
    <row r="1934" spans="1:22">
      <c r="A1934" t="s">
        <v>187</v>
      </c>
      <c r="B1934" t="s">
        <v>57</v>
      </c>
      <c r="C1934" t="s">
        <v>60</v>
      </c>
      <c r="D1934" s="1">
        <v>0</v>
      </c>
      <c r="E1934" s="1">
        <v>0</v>
      </c>
      <c r="F1934" s="1">
        <v>0</v>
      </c>
      <c r="G1934" s="1">
        <v>0</v>
      </c>
      <c r="H1934" s="1">
        <v>0</v>
      </c>
      <c r="I1934" s="1">
        <v>0</v>
      </c>
      <c r="J1934" s="1">
        <v>0</v>
      </c>
      <c r="K1934" s="1">
        <v>0</v>
      </c>
      <c r="L1934" s="1">
        <v>0</v>
      </c>
      <c r="M1934" s="1">
        <v>0</v>
      </c>
      <c r="N1934" s="1">
        <v>0</v>
      </c>
      <c r="O1934" s="1">
        <v>0</v>
      </c>
      <c r="P1934" s="1">
        <v>0</v>
      </c>
      <c r="Q1934" s="1">
        <v>0</v>
      </c>
      <c r="R1934" s="1">
        <v>0</v>
      </c>
      <c r="S1934" s="1">
        <v>0</v>
      </c>
      <c r="T1934" s="1">
        <v>0</v>
      </c>
      <c r="U1934" s="1">
        <v>0</v>
      </c>
      <c r="V1934" s="1" t="s">
        <v>301</v>
      </c>
    </row>
    <row r="1935" spans="1:22">
      <c r="A1935" t="s">
        <v>187</v>
      </c>
      <c r="B1935" t="s">
        <v>57</v>
      </c>
      <c r="C1935" t="s">
        <v>61</v>
      </c>
      <c r="D1935" s="1">
        <v>0</v>
      </c>
      <c r="E1935" s="1">
        <v>0</v>
      </c>
      <c r="F1935" s="1">
        <v>0</v>
      </c>
      <c r="G1935" s="1">
        <v>0</v>
      </c>
      <c r="H1935" s="1">
        <v>0</v>
      </c>
      <c r="I1935" s="1">
        <v>0</v>
      </c>
      <c r="J1935" s="1">
        <v>0</v>
      </c>
      <c r="K1935" s="1">
        <v>0</v>
      </c>
      <c r="L1935" s="1">
        <v>0</v>
      </c>
      <c r="M1935" s="1">
        <v>0</v>
      </c>
      <c r="N1935" s="1">
        <v>0</v>
      </c>
      <c r="O1935" s="1">
        <v>0</v>
      </c>
      <c r="P1935" s="1">
        <v>0</v>
      </c>
      <c r="Q1935" s="1">
        <v>0</v>
      </c>
      <c r="R1935" s="1">
        <v>0</v>
      </c>
      <c r="S1935" s="1">
        <v>0</v>
      </c>
      <c r="T1935" s="1">
        <v>0</v>
      </c>
      <c r="U1935" s="1">
        <v>0</v>
      </c>
      <c r="V1935" s="1" t="s">
        <v>301</v>
      </c>
    </row>
    <row r="1936" spans="1:22">
      <c r="A1936" t="s">
        <v>187</v>
      </c>
      <c r="B1936" t="s">
        <v>57</v>
      </c>
      <c r="C1936" t="s">
        <v>62</v>
      </c>
      <c r="D1936" s="1">
        <v>1</v>
      </c>
      <c r="E1936" s="1">
        <v>0</v>
      </c>
      <c r="F1936" s="1">
        <v>0</v>
      </c>
      <c r="G1936" s="1">
        <v>0</v>
      </c>
      <c r="H1936" s="1">
        <v>0</v>
      </c>
      <c r="I1936" s="1">
        <v>0</v>
      </c>
      <c r="J1936" s="1">
        <v>1</v>
      </c>
      <c r="K1936" s="1">
        <v>0</v>
      </c>
      <c r="L1936" s="1">
        <v>0</v>
      </c>
      <c r="M1936" s="1">
        <v>0</v>
      </c>
      <c r="N1936" s="1">
        <v>0</v>
      </c>
      <c r="O1936" s="1">
        <v>0</v>
      </c>
      <c r="P1936" s="1">
        <v>1</v>
      </c>
      <c r="Q1936" s="1">
        <v>0</v>
      </c>
      <c r="R1936" s="1">
        <v>0</v>
      </c>
      <c r="S1936" s="1">
        <v>1</v>
      </c>
      <c r="T1936" s="1">
        <v>0</v>
      </c>
      <c r="U1936" s="1">
        <v>1</v>
      </c>
      <c r="V1936" s="1" t="s">
        <v>301</v>
      </c>
    </row>
    <row r="1937" spans="1:22">
      <c r="A1937" t="s">
        <v>187</v>
      </c>
      <c r="B1937" t="s">
        <v>57</v>
      </c>
      <c r="C1937" t="s">
        <v>63</v>
      </c>
      <c r="D1937" s="1">
        <v>0</v>
      </c>
      <c r="E1937" s="1">
        <v>0</v>
      </c>
      <c r="F1937" s="1">
        <v>0</v>
      </c>
      <c r="G1937" s="1">
        <v>0</v>
      </c>
      <c r="H1937" s="1">
        <v>0</v>
      </c>
      <c r="I1937" s="1">
        <v>0</v>
      </c>
      <c r="J1937" s="1">
        <v>0</v>
      </c>
      <c r="K1937" s="1">
        <v>0</v>
      </c>
      <c r="L1937" s="1">
        <v>0</v>
      </c>
      <c r="M1937" s="1">
        <v>0</v>
      </c>
      <c r="N1937" s="1">
        <v>0</v>
      </c>
      <c r="O1937" s="1">
        <v>0</v>
      </c>
      <c r="P1937" s="1">
        <v>0</v>
      </c>
      <c r="Q1937" s="1">
        <v>0</v>
      </c>
      <c r="R1937" s="1">
        <v>0</v>
      </c>
      <c r="S1937" s="1">
        <v>0</v>
      </c>
      <c r="T1937" s="1">
        <v>0</v>
      </c>
      <c r="U1937" s="1">
        <v>0</v>
      </c>
      <c r="V1937" s="1" t="s">
        <v>301</v>
      </c>
    </row>
    <row r="1938" spans="1:22">
      <c r="A1938" t="s">
        <v>187</v>
      </c>
      <c r="B1938" t="s">
        <v>57</v>
      </c>
      <c r="C1938" t="s">
        <v>64</v>
      </c>
      <c r="D1938" s="1">
        <v>1</v>
      </c>
      <c r="E1938" s="1">
        <v>0</v>
      </c>
      <c r="F1938" s="1">
        <v>2</v>
      </c>
      <c r="G1938" s="1">
        <v>1</v>
      </c>
      <c r="H1938" s="1">
        <v>0</v>
      </c>
      <c r="I1938" s="1">
        <v>0</v>
      </c>
      <c r="J1938" s="1">
        <v>2</v>
      </c>
      <c r="K1938" s="1">
        <v>0</v>
      </c>
      <c r="L1938" s="1">
        <v>1</v>
      </c>
      <c r="M1938" s="1">
        <v>1</v>
      </c>
      <c r="N1938" s="1">
        <v>1</v>
      </c>
      <c r="O1938" s="1">
        <v>0</v>
      </c>
      <c r="P1938" s="1">
        <v>3</v>
      </c>
      <c r="Q1938" s="1">
        <v>0</v>
      </c>
      <c r="R1938" s="1">
        <v>0</v>
      </c>
      <c r="S1938" s="1">
        <v>4</v>
      </c>
      <c r="T1938" s="1">
        <v>0</v>
      </c>
      <c r="U1938" s="1">
        <v>4</v>
      </c>
      <c r="V1938" s="1" t="s">
        <v>301</v>
      </c>
    </row>
    <row r="1939" spans="1:22">
      <c r="A1939" t="s">
        <v>187</v>
      </c>
      <c r="B1939" t="s">
        <v>57</v>
      </c>
      <c r="C1939" t="s">
        <v>65</v>
      </c>
      <c r="D1939" s="1">
        <v>0</v>
      </c>
      <c r="E1939" s="1">
        <v>0</v>
      </c>
      <c r="F1939" s="1">
        <v>0</v>
      </c>
      <c r="G1939" s="1">
        <v>0</v>
      </c>
      <c r="H1939" s="1">
        <v>0</v>
      </c>
      <c r="I1939" s="1">
        <v>0</v>
      </c>
      <c r="J1939" s="1">
        <v>0</v>
      </c>
      <c r="K1939" s="1">
        <v>0</v>
      </c>
      <c r="L1939" s="1">
        <v>0</v>
      </c>
      <c r="M1939" s="1">
        <v>0</v>
      </c>
      <c r="N1939" s="1">
        <v>0</v>
      </c>
      <c r="O1939" s="1">
        <v>0</v>
      </c>
      <c r="P1939" s="1">
        <v>0</v>
      </c>
      <c r="Q1939" s="1">
        <v>0</v>
      </c>
      <c r="R1939" s="1">
        <v>0</v>
      </c>
      <c r="S1939" s="1">
        <v>0</v>
      </c>
      <c r="T1939" s="1">
        <v>0</v>
      </c>
      <c r="U1939" s="1">
        <v>0</v>
      </c>
      <c r="V1939" s="1" t="s">
        <v>301</v>
      </c>
    </row>
    <row r="1940" spans="1:22">
      <c r="A1940" t="s">
        <v>188</v>
      </c>
      <c r="B1940" t="s">
        <v>57</v>
      </c>
      <c r="C1940" t="s">
        <v>58</v>
      </c>
      <c r="D1940" s="1">
        <v>0</v>
      </c>
      <c r="E1940" s="1">
        <v>0</v>
      </c>
      <c r="F1940" s="1">
        <v>0</v>
      </c>
      <c r="G1940" s="1">
        <v>0</v>
      </c>
      <c r="H1940" s="1">
        <v>0</v>
      </c>
      <c r="I1940" s="1">
        <v>0</v>
      </c>
      <c r="J1940" s="1">
        <v>0</v>
      </c>
      <c r="K1940" s="1">
        <v>0</v>
      </c>
      <c r="L1940" s="1">
        <v>0</v>
      </c>
      <c r="M1940" s="1">
        <v>0</v>
      </c>
      <c r="N1940" s="1">
        <v>0</v>
      </c>
      <c r="O1940" s="1">
        <v>0</v>
      </c>
      <c r="P1940" s="1">
        <v>0</v>
      </c>
      <c r="Q1940" s="1">
        <v>0</v>
      </c>
      <c r="R1940" s="1">
        <v>0</v>
      </c>
      <c r="S1940" s="1">
        <v>0</v>
      </c>
      <c r="T1940" s="1">
        <v>0</v>
      </c>
      <c r="U1940" s="1">
        <v>20</v>
      </c>
      <c r="V1940" s="1" t="s">
        <v>301</v>
      </c>
    </row>
    <row r="1941" spans="1:22">
      <c r="A1941" t="s">
        <v>188</v>
      </c>
      <c r="B1941" t="s">
        <v>57</v>
      </c>
      <c r="C1941" t="s">
        <v>59</v>
      </c>
      <c r="D1941" s="1">
        <v>0</v>
      </c>
      <c r="E1941" s="1">
        <v>1</v>
      </c>
      <c r="F1941" s="1">
        <v>0</v>
      </c>
      <c r="G1941" s="1">
        <v>4</v>
      </c>
      <c r="H1941" s="1">
        <v>1</v>
      </c>
      <c r="I1941" s="1">
        <v>0</v>
      </c>
      <c r="J1941" s="1">
        <v>0</v>
      </c>
      <c r="K1941" s="1">
        <v>2</v>
      </c>
      <c r="L1941" s="1">
        <v>2</v>
      </c>
      <c r="M1941" s="1">
        <v>2</v>
      </c>
      <c r="N1941" s="1">
        <v>2</v>
      </c>
      <c r="O1941" s="1">
        <v>0</v>
      </c>
      <c r="P1941" s="1">
        <v>3</v>
      </c>
      <c r="Q1941" s="1">
        <v>1</v>
      </c>
      <c r="R1941" s="1">
        <v>1</v>
      </c>
      <c r="S1941" s="1">
        <v>5</v>
      </c>
      <c r="T1941" s="1">
        <v>0</v>
      </c>
      <c r="U1941" s="1">
        <v>6</v>
      </c>
      <c r="V1941" s="1" t="s">
        <v>301</v>
      </c>
    </row>
    <row r="1942" spans="1:22">
      <c r="A1942" t="s">
        <v>188</v>
      </c>
      <c r="B1942" t="s">
        <v>57</v>
      </c>
      <c r="C1942" t="s">
        <v>60</v>
      </c>
      <c r="D1942" s="1">
        <v>0</v>
      </c>
      <c r="E1942" s="1">
        <v>0</v>
      </c>
      <c r="F1942" s="1">
        <v>0</v>
      </c>
      <c r="G1942" s="1">
        <v>0</v>
      </c>
      <c r="H1942" s="1">
        <v>0</v>
      </c>
      <c r="I1942" s="1">
        <v>0</v>
      </c>
      <c r="J1942" s="1">
        <v>0</v>
      </c>
      <c r="K1942" s="1">
        <v>0</v>
      </c>
      <c r="L1942" s="1">
        <v>0</v>
      </c>
      <c r="M1942" s="1">
        <v>0</v>
      </c>
      <c r="N1942" s="1">
        <v>0</v>
      </c>
      <c r="O1942" s="1">
        <v>0</v>
      </c>
      <c r="P1942" s="1">
        <v>0</v>
      </c>
      <c r="Q1942" s="1">
        <v>0</v>
      </c>
      <c r="R1942" s="1">
        <v>0</v>
      </c>
      <c r="S1942" s="1">
        <v>0</v>
      </c>
      <c r="T1942" s="1">
        <v>0</v>
      </c>
      <c r="U1942" s="1">
        <v>0</v>
      </c>
      <c r="V1942" s="1" t="s">
        <v>301</v>
      </c>
    </row>
    <row r="1943" spans="1:22">
      <c r="A1943" t="s">
        <v>188</v>
      </c>
      <c r="B1943" t="s">
        <v>57</v>
      </c>
      <c r="C1943" t="s">
        <v>61</v>
      </c>
      <c r="D1943" s="1">
        <v>0</v>
      </c>
      <c r="E1943" s="1">
        <v>0</v>
      </c>
      <c r="F1943" s="1">
        <v>0</v>
      </c>
      <c r="G1943" s="1">
        <v>0</v>
      </c>
      <c r="H1943" s="1">
        <v>0</v>
      </c>
      <c r="I1943" s="1">
        <v>0</v>
      </c>
      <c r="J1943" s="1">
        <v>0</v>
      </c>
      <c r="K1943" s="1">
        <v>0</v>
      </c>
      <c r="L1943" s="1">
        <v>0</v>
      </c>
      <c r="M1943" s="1">
        <v>0</v>
      </c>
      <c r="N1943" s="1">
        <v>0</v>
      </c>
      <c r="O1943" s="1">
        <v>0</v>
      </c>
      <c r="P1943" s="1">
        <v>0</v>
      </c>
      <c r="Q1943" s="1">
        <v>0</v>
      </c>
      <c r="R1943" s="1">
        <v>0</v>
      </c>
      <c r="S1943" s="1">
        <v>0</v>
      </c>
      <c r="T1943" s="1">
        <v>0</v>
      </c>
      <c r="U1943" s="1">
        <v>0</v>
      </c>
      <c r="V1943" s="1" t="s">
        <v>301</v>
      </c>
    </row>
    <row r="1944" spans="1:22">
      <c r="A1944" t="s">
        <v>188</v>
      </c>
      <c r="B1944" t="s">
        <v>57</v>
      </c>
      <c r="C1944" t="s">
        <v>62</v>
      </c>
      <c r="D1944" s="1">
        <v>1</v>
      </c>
      <c r="E1944" s="1">
        <v>0</v>
      </c>
      <c r="F1944" s="1">
        <v>1</v>
      </c>
      <c r="G1944" s="1">
        <v>1</v>
      </c>
      <c r="H1944" s="1">
        <v>0</v>
      </c>
      <c r="I1944" s="1">
        <v>0</v>
      </c>
      <c r="J1944" s="1">
        <v>0</v>
      </c>
      <c r="K1944" s="1">
        <v>1</v>
      </c>
      <c r="L1944" s="1">
        <v>1</v>
      </c>
      <c r="M1944" s="1">
        <v>1</v>
      </c>
      <c r="N1944" s="1">
        <v>1</v>
      </c>
      <c r="O1944" s="1">
        <v>0</v>
      </c>
      <c r="P1944" s="1">
        <v>1</v>
      </c>
      <c r="Q1944" s="1">
        <v>1</v>
      </c>
      <c r="R1944" s="1">
        <v>2</v>
      </c>
      <c r="S1944" s="1">
        <v>1</v>
      </c>
      <c r="T1944" s="1">
        <v>0</v>
      </c>
      <c r="U1944" s="1">
        <v>3</v>
      </c>
      <c r="V1944" s="1" t="s">
        <v>301</v>
      </c>
    </row>
    <row r="1945" spans="1:22">
      <c r="A1945" t="s">
        <v>188</v>
      </c>
      <c r="B1945" t="s">
        <v>57</v>
      </c>
      <c r="C1945" t="s">
        <v>63</v>
      </c>
      <c r="D1945" s="1">
        <v>0</v>
      </c>
      <c r="E1945" s="1">
        <v>0</v>
      </c>
      <c r="F1945" s="1">
        <v>0</v>
      </c>
      <c r="G1945" s="1">
        <v>0</v>
      </c>
      <c r="H1945" s="1">
        <v>0</v>
      </c>
      <c r="I1945" s="1">
        <v>0</v>
      </c>
      <c r="J1945" s="1">
        <v>0</v>
      </c>
      <c r="K1945" s="1">
        <v>0</v>
      </c>
      <c r="L1945" s="1">
        <v>0</v>
      </c>
      <c r="M1945" s="1">
        <v>0</v>
      </c>
      <c r="N1945" s="1">
        <v>0</v>
      </c>
      <c r="O1945" s="1">
        <v>0</v>
      </c>
      <c r="P1945" s="1">
        <v>0</v>
      </c>
      <c r="Q1945" s="1">
        <v>0</v>
      </c>
      <c r="R1945" s="1">
        <v>0</v>
      </c>
      <c r="S1945" s="1">
        <v>0</v>
      </c>
      <c r="T1945" s="1">
        <v>0</v>
      </c>
      <c r="U1945" s="1">
        <v>0</v>
      </c>
      <c r="V1945" s="1" t="s">
        <v>301</v>
      </c>
    </row>
    <row r="1946" spans="1:22">
      <c r="A1946" t="s">
        <v>188</v>
      </c>
      <c r="B1946" t="s">
        <v>57</v>
      </c>
      <c r="C1946" t="s">
        <v>64</v>
      </c>
      <c r="D1946" s="1">
        <v>1</v>
      </c>
      <c r="E1946" s="1">
        <v>1</v>
      </c>
      <c r="F1946" s="1">
        <v>1</v>
      </c>
      <c r="G1946" s="1">
        <v>5</v>
      </c>
      <c r="H1946" s="1">
        <v>1</v>
      </c>
      <c r="I1946" s="1">
        <v>0</v>
      </c>
      <c r="J1946" s="1">
        <v>0</v>
      </c>
      <c r="K1946" s="1">
        <v>3</v>
      </c>
      <c r="L1946" s="1">
        <v>3</v>
      </c>
      <c r="M1946" s="1">
        <v>3</v>
      </c>
      <c r="N1946" s="1">
        <v>3</v>
      </c>
      <c r="O1946" s="1">
        <v>0</v>
      </c>
      <c r="P1946" s="1">
        <v>4</v>
      </c>
      <c r="Q1946" s="1">
        <v>2</v>
      </c>
      <c r="R1946" s="1">
        <v>3</v>
      </c>
      <c r="S1946" s="1">
        <v>6</v>
      </c>
      <c r="T1946" s="1">
        <v>0</v>
      </c>
      <c r="U1946" s="1">
        <v>9</v>
      </c>
      <c r="V1946" s="1" t="s">
        <v>301</v>
      </c>
    </row>
    <row r="1947" spans="1:22">
      <c r="A1947" t="s">
        <v>188</v>
      </c>
      <c r="B1947" t="s">
        <v>57</v>
      </c>
      <c r="C1947" t="s">
        <v>65</v>
      </c>
      <c r="D1947" s="1">
        <v>0</v>
      </c>
      <c r="E1947" s="1">
        <v>0</v>
      </c>
      <c r="F1947" s="1">
        <v>0</v>
      </c>
      <c r="G1947" s="1">
        <v>0</v>
      </c>
      <c r="H1947" s="1">
        <v>0</v>
      </c>
      <c r="I1947" s="1">
        <v>0</v>
      </c>
      <c r="J1947" s="1">
        <v>0</v>
      </c>
      <c r="K1947" s="1">
        <v>0</v>
      </c>
      <c r="L1947" s="1">
        <v>0</v>
      </c>
      <c r="M1947" s="1">
        <v>0</v>
      </c>
      <c r="N1947" s="1">
        <v>0</v>
      </c>
      <c r="O1947" s="1">
        <v>0</v>
      </c>
      <c r="P1947" s="1">
        <v>0</v>
      </c>
      <c r="Q1947" s="1">
        <v>0</v>
      </c>
      <c r="R1947" s="1">
        <v>0</v>
      </c>
      <c r="S1947" s="1">
        <v>0</v>
      </c>
      <c r="T1947" s="1">
        <v>0</v>
      </c>
      <c r="U1947" s="1">
        <v>0</v>
      </c>
      <c r="V1947" s="1" t="s">
        <v>301</v>
      </c>
    </row>
    <row r="1948" spans="1:22">
      <c r="A1948" t="s">
        <v>66</v>
      </c>
      <c r="B1948" t="s">
        <v>57</v>
      </c>
      <c r="C1948" t="s">
        <v>58</v>
      </c>
      <c r="D1948" s="1">
        <v>0</v>
      </c>
      <c r="E1948" s="1">
        <v>0</v>
      </c>
      <c r="F1948" s="1">
        <v>0</v>
      </c>
      <c r="G1948" s="1">
        <v>0</v>
      </c>
      <c r="H1948" s="1">
        <v>0</v>
      </c>
      <c r="I1948" s="1">
        <v>0</v>
      </c>
      <c r="J1948" s="1">
        <v>0</v>
      </c>
      <c r="K1948" s="1">
        <v>0</v>
      </c>
      <c r="L1948" s="1">
        <v>0</v>
      </c>
      <c r="M1948" s="1">
        <v>0</v>
      </c>
      <c r="N1948" s="1">
        <v>0</v>
      </c>
      <c r="O1948" s="1">
        <v>0</v>
      </c>
      <c r="P1948" s="1">
        <v>0</v>
      </c>
      <c r="Q1948" s="1">
        <v>0</v>
      </c>
      <c r="R1948" s="1">
        <v>0</v>
      </c>
      <c r="S1948" s="1">
        <v>0</v>
      </c>
      <c r="T1948" s="1">
        <v>0</v>
      </c>
      <c r="U1948" s="1">
        <v>19</v>
      </c>
      <c r="V1948" s="1" t="s">
        <v>301</v>
      </c>
    </row>
    <row r="1949" spans="1:22">
      <c r="A1949" t="s">
        <v>66</v>
      </c>
      <c r="B1949" t="s">
        <v>57</v>
      </c>
      <c r="C1949" t="s">
        <v>59</v>
      </c>
      <c r="D1949" s="1">
        <v>0</v>
      </c>
      <c r="E1949" s="1">
        <v>2</v>
      </c>
      <c r="F1949" s="1">
        <v>3</v>
      </c>
      <c r="G1949" s="1">
        <v>1</v>
      </c>
      <c r="H1949" s="1">
        <v>2</v>
      </c>
      <c r="I1949" s="1">
        <v>1</v>
      </c>
      <c r="J1949" s="1">
        <v>0</v>
      </c>
      <c r="K1949" s="1">
        <v>3</v>
      </c>
      <c r="L1949" s="1">
        <v>1</v>
      </c>
      <c r="M1949" s="1">
        <v>3</v>
      </c>
      <c r="N1949" s="1">
        <v>0</v>
      </c>
      <c r="O1949" s="1">
        <v>5</v>
      </c>
      <c r="P1949" s="1">
        <v>3</v>
      </c>
      <c r="Q1949" s="1">
        <v>0</v>
      </c>
      <c r="R1949" s="1">
        <v>2</v>
      </c>
      <c r="S1949" s="1">
        <v>6</v>
      </c>
      <c r="T1949" s="1">
        <v>0</v>
      </c>
      <c r="U1949" s="1">
        <v>8</v>
      </c>
      <c r="V1949" s="1" t="s">
        <v>301</v>
      </c>
    </row>
    <row r="1950" spans="1:22">
      <c r="A1950" t="s">
        <v>66</v>
      </c>
      <c r="B1950" t="s">
        <v>57</v>
      </c>
      <c r="C1950" t="s">
        <v>60</v>
      </c>
      <c r="D1950" s="1">
        <v>0</v>
      </c>
      <c r="E1950" s="1">
        <v>0</v>
      </c>
      <c r="F1950" s="1">
        <v>0</v>
      </c>
      <c r="G1950" s="1">
        <v>0</v>
      </c>
      <c r="H1950" s="1">
        <v>0</v>
      </c>
      <c r="I1950" s="1">
        <v>0</v>
      </c>
      <c r="J1950" s="1">
        <v>0</v>
      </c>
      <c r="K1950" s="1">
        <v>0</v>
      </c>
      <c r="L1950" s="1">
        <v>0</v>
      </c>
      <c r="M1950" s="1">
        <v>0</v>
      </c>
      <c r="N1950" s="1">
        <v>0</v>
      </c>
      <c r="O1950" s="1">
        <v>0</v>
      </c>
      <c r="P1950" s="1">
        <v>0</v>
      </c>
      <c r="Q1950" s="1">
        <v>0</v>
      </c>
      <c r="R1950" s="1">
        <v>0</v>
      </c>
      <c r="S1950" s="1">
        <v>0</v>
      </c>
      <c r="T1950" s="1">
        <v>0</v>
      </c>
      <c r="U1950" s="1">
        <v>0</v>
      </c>
      <c r="V1950" s="1" t="s">
        <v>301</v>
      </c>
    </row>
    <row r="1951" spans="1:22">
      <c r="A1951" t="s">
        <v>66</v>
      </c>
      <c r="B1951" t="s">
        <v>57</v>
      </c>
      <c r="C1951" t="s">
        <v>61</v>
      </c>
      <c r="D1951" s="1">
        <v>0</v>
      </c>
      <c r="E1951" s="1">
        <v>0</v>
      </c>
      <c r="F1951" s="1">
        <v>0</v>
      </c>
      <c r="G1951" s="1">
        <v>0</v>
      </c>
      <c r="H1951" s="1">
        <v>0</v>
      </c>
      <c r="I1951" s="1">
        <v>0</v>
      </c>
      <c r="J1951" s="1">
        <v>0</v>
      </c>
      <c r="K1951" s="1">
        <v>0</v>
      </c>
      <c r="L1951" s="1">
        <v>0</v>
      </c>
      <c r="M1951" s="1">
        <v>0</v>
      </c>
      <c r="N1951" s="1">
        <v>0</v>
      </c>
      <c r="O1951" s="1">
        <v>0</v>
      </c>
      <c r="P1951" s="1">
        <v>0</v>
      </c>
      <c r="Q1951" s="1">
        <v>0</v>
      </c>
      <c r="R1951" s="1">
        <v>0</v>
      </c>
      <c r="S1951" s="1">
        <v>0</v>
      </c>
      <c r="T1951" s="1">
        <v>0</v>
      </c>
      <c r="U1951" s="1">
        <v>0</v>
      </c>
      <c r="V1951" s="1" t="s">
        <v>301</v>
      </c>
    </row>
    <row r="1952" spans="1:22">
      <c r="A1952" t="s">
        <v>66</v>
      </c>
      <c r="B1952" t="s">
        <v>57</v>
      </c>
      <c r="C1952" t="s">
        <v>62</v>
      </c>
      <c r="D1952" s="1">
        <v>0</v>
      </c>
      <c r="E1952" s="1">
        <v>0</v>
      </c>
      <c r="F1952" s="1">
        <v>2</v>
      </c>
      <c r="G1952" s="1">
        <v>0</v>
      </c>
      <c r="H1952" s="1">
        <v>0</v>
      </c>
      <c r="I1952" s="1">
        <v>0</v>
      </c>
      <c r="J1952" s="1">
        <v>0</v>
      </c>
      <c r="K1952" s="1">
        <v>0</v>
      </c>
      <c r="L1952" s="1">
        <v>1</v>
      </c>
      <c r="M1952" s="1">
        <v>1</v>
      </c>
      <c r="N1952" s="1">
        <v>0</v>
      </c>
      <c r="O1952" s="1">
        <v>1</v>
      </c>
      <c r="P1952" s="1">
        <v>1</v>
      </c>
      <c r="Q1952" s="1">
        <v>0</v>
      </c>
      <c r="R1952" s="1">
        <v>0</v>
      </c>
      <c r="S1952" s="1">
        <v>2</v>
      </c>
      <c r="T1952" s="1">
        <v>0</v>
      </c>
      <c r="U1952" s="1">
        <v>2</v>
      </c>
      <c r="V1952" s="1" t="s">
        <v>301</v>
      </c>
    </row>
    <row r="1953" spans="1:22">
      <c r="A1953" t="s">
        <v>66</v>
      </c>
      <c r="B1953" t="s">
        <v>57</v>
      </c>
      <c r="C1953" t="s">
        <v>63</v>
      </c>
      <c r="D1953" s="1">
        <v>0</v>
      </c>
      <c r="E1953" s="1">
        <v>0</v>
      </c>
      <c r="F1953" s="1">
        <v>0</v>
      </c>
      <c r="G1953" s="1">
        <v>0</v>
      </c>
      <c r="H1953" s="1">
        <v>0</v>
      </c>
      <c r="I1953" s="1">
        <v>0</v>
      </c>
      <c r="J1953" s="1">
        <v>0</v>
      </c>
      <c r="K1953" s="1">
        <v>0</v>
      </c>
      <c r="L1953" s="1">
        <v>0</v>
      </c>
      <c r="M1953" s="1">
        <v>0</v>
      </c>
      <c r="N1953" s="1">
        <v>0</v>
      </c>
      <c r="O1953" s="1">
        <v>0</v>
      </c>
      <c r="P1953" s="1">
        <v>0</v>
      </c>
      <c r="Q1953" s="1">
        <v>0</v>
      </c>
      <c r="R1953" s="1">
        <v>0</v>
      </c>
      <c r="S1953" s="1">
        <v>0</v>
      </c>
      <c r="T1953" s="1">
        <v>0</v>
      </c>
      <c r="U1953" s="1">
        <v>0</v>
      </c>
      <c r="V1953" s="1" t="s">
        <v>301</v>
      </c>
    </row>
    <row r="1954" spans="1:22">
      <c r="A1954" t="s">
        <v>66</v>
      </c>
      <c r="B1954" t="s">
        <v>57</v>
      </c>
      <c r="C1954" t="s">
        <v>64</v>
      </c>
      <c r="D1954" s="1">
        <v>0</v>
      </c>
      <c r="E1954" s="1">
        <v>2</v>
      </c>
      <c r="F1954" s="1">
        <v>5</v>
      </c>
      <c r="G1954" s="1">
        <v>1</v>
      </c>
      <c r="H1954" s="1">
        <v>2</v>
      </c>
      <c r="I1954" s="1">
        <v>1</v>
      </c>
      <c r="J1954" s="1">
        <v>0</v>
      </c>
      <c r="K1954" s="1">
        <v>3</v>
      </c>
      <c r="L1954" s="1">
        <v>2</v>
      </c>
      <c r="M1954" s="1">
        <v>4</v>
      </c>
      <c r="N1954" s="1">
        <v>0</v>
      </c>
      <c r="O1954" s="1">
        <v>6</v>
      </c>
      <c r="P1954" s="1">
        <v>4</v>
      </c>
      <c r="Q1954" s="1">
        <v>0</v>
      </c>
      <c r="R1954" s="1">
        <v>2</v>
      </c>
      <c r="S1954" s="1">
        <v>8</v>
      </c>
      <c r="T1954" s="1">
        <v>0</v>
      </c>
      <c r="U1954" s="1">
        <v>10</v>
      </c>
      <c r="V1954" s="1" t="s">
        <v>301</v>
      </c>
    </row>
    <row r="1955" spans="1:22">
      <c r="A1955" t="s">
        <v>66</v>
      </c>
      <c r="B1955" t="s">
        <v>57</v>
      </c>
      <c r="C1955" t="s">
        <v>65</v>
      </c>
      <c r="D1955" s="1">
        <v>0</v>
      </c>
      <c r="E1955" s="1">
        <v>0</v>
      </c>
      <c r="F1955" s="1">
        <v>0</v>
      </c>
      <c r="G1955" s="1">
        <v>0</v>
      </c>
      <c r="H1955" s="1">
        <v>0</v>
      </c>
      <c r="I1955" s="1">
        <v>0</v>
      </c>
      <c r="J1955" s="1">
        <v>0</v>
      </c>
      <c r="K1955" s="1">
        <v>0</v>
      </c>
      <c r="L1955" s="1">
        <v>0</v>
      </c>
      <c r="M1955" s="1">
        <v>0</v>
      </c>
      <c r="N1955" s="1">
        <v>0</v>
      </c>
      <c r="O1955" s="1">
        <v>0</v>
      </c>
      <c r="P1955" s="1">
        <v>0</v>
      </c>
      <c r="Q1955" s="1">
        <v>0</v>
      </c>
      <c r="R1955" s="1">
        <v>0</v>
      </c>
      <c r="S1955" s="1">
        <v>0</v>
      </c>
      <c r="T1955" s="1">
        <v>0</v>
      </c>
      <c r="U1955" s="1">
        <v>0</v>
      </c>
      <c r="V1955" s="1" t="s">
        <v>301</v>
      </c>
    </row>
    <row r="1956" spans="1:22">
      <c r="A1956" t="s">
        <v>189</v>
      </c>
      <c r="B1956" t="s">
        <v>57</v>
      </c>
      <c r="C1956" t="s">
        <v>58</v>
      </c>
      <c r="D1956" s="1">
        <v>0</v>
      </c>
      <c r="E1956" s="1">
        <v>0</v>
      </c>
      <c r="F1956" s="1">
        <v>0</v>
      </c>
      <c r="G1956" s="1">
        <v>0</v>
      </c>
      <c r="H1956" s="1">
        <v>0</v>
      </c>
      <c r="I1956" s="1">
        <v>0</v>
      </c>
      <c r="J1956" s="1">
        <v>0</v>
      </c>
      <c r="K1956" s="1">
        <v>0</v>
      </c>
      <c r="L1956" s="1">
        <v>0</v>
      </c>
      <c r="M1956" s="1">
        <v>0</v>
      </c>
      <c r="N1956" s="1">
        <v>0</v>
      </c>
      <c r="O1956" s="1">
        <v>0</v>
      </c>
      <c r="P1956" s="1">
        <v>0</v>
      </c>
      <c r="Q1956" s="1">
        <v>0</v>
      </c>
      <c r="R1956" s="1">
        <v>0</v>
      </c>
      <c r="S1956" s="1">
        <v>0</v>
      </c>
      <c r="T1956" s="1">
        <v>0</v>
      </c>
      <c r="U1956" s="1">
        <v>20</v>
      </c>
      <c r="V1956" s="1" t="s">
        <v>301</v>
      </c>
    </row>
    <row r="1957" spans="1:22">
      <c r="A1957" t="s">
        <v>189</v>
      </c>
      <c r="B1957" t="s">
        <v>57</v>
      </c>
      <c r="C1957" t="s">
        <v>59</v>
      </c>
      <c r="D1957" s="1">
        <v>1</v>
      </c>
      <c r="E1957" s="1">
        <v>1</v>
      </c>
      <c r="F1957" s="1">
        <v>2</v>
      </c>
      <c r="G1957" s="1">
        <v>2</v>
      </c>
      <c r="H1957" s="1">
        <v>3</v>
      </c>
      <c r="I1957" s="1">
        <v>0</v>
      </c>
      <c r="J1957" s="1">
        <v>0</v>
      </c>
      <c r="K1957" s="1">
        <v>2</v>
      </c>
      <c r="L1957" s="1">
        <v>1</v>
      </c>
      <c r="M1957" s="1">
        <v>6</v>
      </c>
      <c r="N1957" s="1">
        <v>4</v>
      </c>
      <c r="O1957" s="1">
        <v>2</v>
      </c>
      <c r="P1957" s="1">
        <v>2</v>
      </c>
      <c r="Q1957" s="1">
        <v>1</v>
      </c>
      <c r="R1957" s="1">
        <v>3</v>
      </c>
      <c r="S1957" s="1">
        <v>6</v>
      </c>
      <c r="T1957" s="1">
        <v>0</v>
      </c>
      <c r="U1957" s="1">
        <v>9</v>
      </c>
      <c r="V1957" s="1" t="s">
        <v>301</v>
      </c>
    </row>
    <row r="1958" spans="1:22">
      <c r="A1958" t="s">
        <v>189</v>
      </c>
      <c r="B1958" t="s">
        <v>57</v>
      </c>
      <c r="C1958" t="s">
        <v>60</v>
      </c>
      <c r="D1958" s="1">
        <v>0</v>
      </c>
      <c r="E1958" s="1">
        <v>0</v>
      </c>
      <c r="F1958" s="1">
        <v>0</v>
      </c>
      <c r="G1958" s="1">
        <v>0</v>
      </c>
      <c r="H1958" s="1">
        <v>0</v>
      </c>
      <c r="I1958" s="1">
        <v>0</v>
      </c>
      <c r="J1958" s="1">
        <v>0</v>
      </c>
      <c r="K1958" s="1">
        <v>0</v>
      </c>
      <c r="L1958" s="1">
        <v>0</v>
      </c>
      <c r="M1958" s="1">
        <v>0</v>
      </c>
      <c r="N1958" s="1">
        <v>0</v>
      </c>
      <c r="O1958" s="1">
        <v>0</v>
      </c>
      <c r="P1958" s="1">
        <v>0</v>
      </c>
      <c r="Q1958" s="1">
        <v>0</v>
      </c>
      <c r="R1958" s="1">
        <v>0</v>
      </c>
      <c r="S1958" s="1">
        <v>0</v>
      </c>
      <c r="T1958" s="1">
        <v>0</v>
      </c>
      <c r="U1958" s="1">
        <v>0</v>
      </c>
      <c r="V1958" s="1" t="s">
        <v>301</v>
      </c>
    </row>
    <row r="1959" spans="1:22">
      <c r="A1959" t="s">
        <v>189</v>
      </c>
      <c r="B1959" t="s">
        <v>57</v>
      </c>
      <c r="C1959" t="s">
        <v>61</v>
      </c>
      <c r="D1959" s="1">
        <v>0</v>
      </c>
      <c r="E1959" s="1">
        <v>0</v>
      </c>
      <c r="F1959" s="1">
        <v>0</v>
      </c>
      <c r="G1959" s="1">
        <v>0</v>
      </c>
      <c r="H1959" s="1">
        <v>0</v>
      </c>
      <c r="I1959" s="1">
        <v>0</v>
      </c>
      <c r="J1959" s="1">
        <v>0</v>
      </c>
      <c r="K1959" s="1">
        <v>0</v>
      </c>
      <c r="L1959" s="1">
        <v>0</v>
      </c>
      <c r="M1959" s="1">
        <v>0</v>
      </c>
      <c r="N1959" s="1">
        <v>0</v>
      </c>
      <c r="O1959" s="1">
        <v>0</v>
      </c>
      <c r="P1959" s="1">
        <v>0</v>
      </c>
      <c r="Q1959" s="1">
        <v>0</v>
      </c>
      <c r="R1959" s="1">
        <v>0</v>
      </c>
      <c r="S1959" s="1">
        <v>0</v>
      </c>
      <c r="T1959" s="1">
        <v>0</v>
      </c>
      <c r="U1959" s="1">
        <v>0</v>
      </c>
      <c r="V1959" s="1" t="s">
        <v>301</v>
      </c>
    </row>
    <row r="1960" spans="1:22">
      <c r="A1960" t="s">
        <v>189</v>
      </c>
      <c r="B1960" t="s">
        <v>57</v>
      </c>
      <c r="C1960" t="s">
        <v>62</v>
      </c>
      <c r="D1960" s="1">
        <v>0</v>
      </c>
      <c r="E1960" s="1">
        <v>0</v>
      </c>
      <c r="F1960" s="1">
        <v>0</v>
      </c>
      <c r="G1960" s="1">
        <v>0</v>
      </c>
      <c r="H1960" s="1">
        <v>0</v>
      </c>
      <c r="I1960" s="1">
        <v>0</v>
      </c>
      <c r="J1960" s="1">
        <v>0</v>
      </c>
      <c r="K1960" s="1">
        <v>0</v>
      </c>
      <c r="L1960" s="1">
        <v>0</v>
      </c>
      <c r="M1960" s="1">
        <v>0</v>
      </c>
      <c r="N1960" s="1">
        <v>0</v>
      </c>
      <c r="O1960" s="1">
        <v>0</v>
      </c>
      <c r="P1960" s="1">
        <v>0</v>
      </c>
      <c r="Q1960" s="1">
        <v>0</v>
      </c>
      <c r="R1960" s="1">
        <v>0</v>
      </c>
      <c r="S1960" s="1">
        <v>0</v>
      </c>
      <c r="T1960" s="1">
        <v>0</v>
      </c>
      <c r="U1960" s="1">
        <v>0</v>
      </c>
      <c r="V1960" s="1" t="s">
        <v>301</v>
      </c>
    </row>
    <row r="1961" spans="1:22">
      <c r="A1961" t="s">
        <v>189</v>
      </c>
      <c r="B1961" t="s">
        <v>57</v>
      </c>
      <c r="C1961" t="s">
        <v>63</v>
      </c>
      <c r="D1961" s="1">
        <v>0</v>
      </c>
      <c r="E1961" s="1">
        <v>0</v>
      </c>
      <c r="F1961" s="1">
        <v>0</v>
      </c>
      <c r="G1961" s="1">
        <v>0</v>
      </c>
      <c r="H1961" s="1">
        <v>0</v>
      </c>
      <c r="I1961" s="1">
        <v>0</v>
      </c>
      <c r="J1961" s="1">
        <v>0</v>
      </c>
      <c r="K1961" s="1">
        <v>0</v>
      </c>
      <c r="L1961" s="1">
        <v>0</v>
      </c>
      <c r="M1961" s="1">
        <v>0</v>
      </c>
      <c r="N1961" s="1">
        <v>0</v>
      </c>
      <c r="O1961" s="1">
        <v>0</v>
      </c>
      <c r="P1961" s="1">
        <v>0</v>
      </c>
      <c r="Q1961" s="1">
        <v>0</v>
      </c>
      <c r="R1961" s="1">
        <v>0</v>
      </c>
      <c r="S1961" s="1">
        <v>0</v>
      </c>
      <c r="T1961" s="1">
        <v>0</v>
      </c>
      <c r="U1961" s="1">
        <v>0</v>
      </c>
      <c r="V1961" s="1" t="s">
        <v>301</v>
      </c>
    </row>
    <row r="1962" spans="1:22">
      <c r="A1962" t="s">
        <v>189</v>
      </c>
      <c r="B1962" t="s">
        <v>57</v>
      </c>
      <c r="C1962" t="s">
        <v>64</v>
      </c>
      <c r="D1962" s="1">
        <v>1</v>
      </c>
      <c r="E1962" s="1">
        <v>1</v>
      </c>
      <c r="F1962" s="1">
        <v>2</v>
      </c>
      <c r="G1962" s="1">
        <v>2</v>
      </c>
      <c r="H1962" s="1">
        <v>3</v>
      </c>
      <c r="I1962" s="1">
        <v>0</v>
      </c>
      <c r="J1962" s="1">
        <v>0</v>
      </c>
      <c r="K1962" s="1">
        <v>2</v>
      </c>
      <c r="L1962" s="1">
        <v>1</v>
      </c>
      <c r="M1962" s="1">
        <v>6</v>
      </c>
      <c r="N1962" s="1">
        <v>4</v>
      </c>
      <c r="O1962" s="1">
        <v>2</v>
      </c>
      <c r="P1962" s="1">
        <v>2</v>
      </c>
      <c r="Q1962" s="1">
        <v>1</v>
      </c>
      <c r="R1962" s="1">
        <v>3</v>
      </c>
      <c r="S1962" s="1">
        <v>6</v>
      </c>
      <c r="T1962" s="1">
        <v>0</v>
      </c>
      <c r="U1962" s="1">
        <v>9</v>
      </c>
      <c r="V1962" s="1" t="s">
        <v>301</v>
      </c>
    </row>
    <row r="1963" spans="1:22">
      <c r="A1963" t="s">
        <v>189</v>
      </c>
      <c r="B1963" t="s">
        <v>57</v>
      </c>
      <c r="C1963" t="s">
        <v>65</v>
      </c>
      <c r="D1963" s="1">
        <v>0</v>
      </c>
      <c r="E1963" s="1">
        <v>0</v>
      </c>
      <c r="F1963" s="1">
        <v>0</v>
      </c>
      <c r="G1963" s="1">
        <v>0</v>
      </c>
      <c r="H1963" s="1">
        <v>0</v>
      </c>
      <c r="I1963" s="1">
        <v>0</v>
      </c>
      <c r="J1963" s="1">
        <v>0</v>
      </c>
      <c r="K1963" s="1">
        <v>0</v>
      </c>
      <c r="L1963" s="1">
        <v>0</v>
      </c>
      <c r="M1963" s="1">
        <v>0</v>
      </c>
      <c r="N1963" s="1">
        <v>0</v>
      </c>
      <c r="O1963" s="1">
        <v>0</v>
      </c>
      <c r="P1963" s="1">
        <v>0</v>
      </c>
      <c r="Q1963" s="1">
        <v>0</v>
      </c>
      <c r="R1963" s="1">
        <v>0</v>
      </c>
      <c r="S1963" s="1">
        <v>0</v>
      </c>
      <c r="T1963" s="1">
        <v>0</v>
      </c>
      <c r="U1963" s="1">
        <v>0</v>
      </c>
      <c r="V1963" s="1" t="s">
        <v>301</v>
      </c>
    </row>
    <row r="1964" spans="1:22">
      <c r="A1964" t="s">
        <v>190</v>
      </c>
      <c r="B1964" t="s">
        <v>57</v>
      </c>
      <c r="C1964" t="s">
        <v>58</v>
      </c>
      <c r="D1964" s="1">
        <v>0</v>
      </c>
      <c r="E1964" s="1">
        <v>0</v>
      </c>
      <c r="F1964" s="1">
        <v>0</v>
      </c>
      <c r="G1964" s="1">
        <v>0</v>
      </c>
      <c r="H1964" s="1">
        <v>0</v>
      </c>
      <c r="I1964" s="1">
        <v>0</v>
      </c>
      <c r="J1964" s="1">
        <v>0</v>
      </c>
      <c r="K1964" s="1">
        <v>0</v>
      </c>
      <c r="L1964" s="1">
        <v>0</v>
      </c>
      <c r="M1964" s="1">
        <v>0</v>
      </c>
      <c r="N1964" s="1">
        <v>0</v>
      </c>
      <c r="O1964" s="1">
        <v>0</v>
      </c>
      <c r="P1964" s="1">
        <v>0</v>
      </c>
      <c r="Q1964" s="1">
        <v>0</v>
      </c>
      <c r="R1964" s="1">
        <v>0</v>
      </c>
      <c r="S1964" s="1">
        <v>0</v>
      </c>
      <c r="T1964" s="1">
        <v>0</v>
      </c>
      <c r="U1964" s="1">
        <v>19</v>
      </c>
      <c r="V1964" s="1" t="s">
        <v>301</v>
      </c>
    </row>
    <row r="1965" spans="1:22">
      <c r="A1965" t="s">
        <v>190</v>
      </c>
      <c r="B1965" t="s">
        <v>57</v>
      </c>
      <c r="C1965" t="s">
        <v>59</v>
      </c>
      <c r="D1965" s="1">
        <v>1</v>
      </c>
      <c r="E1965" s="1">
        <v>0</v>
      </c>
      <c r="F1965" s="1">
        <v>3</v>
      </c>
      <c r="G1965" s="1">
        <v>2</v>
      </c>
      <c r="H1965" s="1">
        <v>1</v>
      </c>
      <c r="I1965" s="1">
        <v>0</v>
      </c>
      <c r="J1965" s="1">
        <v>0</v>
      </c>
      <c r="K1965" s="1">
        <v>1</v>
      </c>
      <c r="L1965" s="1">
        <v>1</v>
      </c>
      <c r="M1965" s="1">
        <v>5</v>
      </c>
      <c r="N1965" s="1">
        <v>6</v>
      </c>
      <c r="O1965" s="1">
        <v>0</v>
      </c>
      <c r="P1965" s="1">
        <v>0</v>
      </c>
      <c r="Q1965" s="1">
        <v>1</v>
      </c>
      <c r="R1965" s="1">
        <v>5</v>
      </c>
      <c r="S1965" s="1">
        <v>2</v>
      </c>
      <c r="T1965" s="1">
        <v>0</v>
      </c>
      <c r="U1965" s="1">
        <v>7</v>
      </c>
      <c r="V1965" s="1" t="s">
        <v>301</v>
      </c>
    </row>
    <row r="1966" spans="1:22">
      <c r="A1966" t="s">
        <v>190</v>
      </c>
      <c r="B1966" t="s">
        <v>57</v>
      </c>
      <c r="C1966" t="s">
        <v>60</v>
      </c>
      <c r="D1966" s="1">
        <v>0</v>
      </c>
      <c r="E1966" s="1">
        <v>0</v>
      </c>
      <c r="F1966" s="1">
        <v>0</v>
      </c>
      <c r="G1966" s="1">
        <v>0</v>
      </c>
      <c r="H1966" s="1">
        <v>0</v>
      </c>
      <c r="I1966" s="1">
        <v>0</v>
      </c>
      <c r="J1966" s="1">
        <v>0</v>
      </c>
      <c r="K1966" s="1">
        <v>0</v>
      </c>
      <c r="L1966" s="1">
        <v>0</v>
      </c>
      <c r="M1966" s="1">
        <v>0</v>
      </c>
      <c r="N1966" s="1">
        <v>0</v>
      </c>
      <c r="O1966" s="1">
        <v>0</v>
      </c>
      <c r="P1966" s="1">
        <v>0</v>
      </c>
      <c r="Q1966" s="1">
        <v>0</v>
      </c>
      <c r="R1966" s="1">
        <v>0</v>
      </c>
      <c r="S1966" s="1">
        <v>0</v>
      </c>
      <c r="T1966" s="1">
        <v>0</v>
      </c>
      <c r="U1966" s="1">
        <v>0</v>
      </c>
      <c r="V1966" s="1" t="s">
        <v>301</v>
      </c>
    </row>
    <row r="1967" spans="1:22">
      <c r="A1967" t="s">
        <v>190</v>
      </c>
      <c r="B1967" t="s">
        <v>57</v>
      </c>
      <c r="C1967" t="s">
        <v>61</v>
      </c>
      <c r="D1967" s="1">
        <v>0</v>
      </c>
      <c r="E1967" s="1">
        <v>0</v>
      </c>
      <c r="F1967" s="1">
        <v>0</v>
      </c>
      <c r="G1967" s="1">
        <v>0</v>
      </c>
      <c r="H1967" s="1">
        <v>0</v>
      </c>
      <c r="I1967" s="1">
        <v>0</v>
      </c>
      <c r="J1967" s="1">
        <v>0</v>
      </c>
      <c r="K1967" s="1">
        <v>0</v>
      </c>
      <c r="L1967" s="1">
        <v>0</v>
      </c>
      <c r="M1967" s="1">
        <v>0</v>
      </c>
      <c r="N1967" s="1">
        <v>0</v>
      </c>
      <c r="O1967" s="1">
        <v>0</v>
      </c>
      <c r="P1967" s="1">
        <v>0</v>
      </c>
      <c r="Q1967" s="1">
        <v>0</v>
      </c>
      <c r="R1967" s="1">
        <v>0</v>
      </c>
      <c r="S1967" s="1">
        <v>0</v>
      </c>
      <c r="T1967" s="1">
        <v>0</v>
      </c>
      <c r="U1967" s="1">
        <v>0</v>
      </c>
      <c r="V1967" s="1" t="s">
        <v>301</v>
      </c>
    </row>
    <row r="1968" spans="1:22">
      <c r="A1968" t="s">
        <v>190</v>
      </c>
      <c r="B1968" t="s">
        <v>57</v>
      </c>
      <c r="C1968" t="s">
        <v>62</v>
      </c>
      <c r="D1968" s="1">
        <v>0</v>
      </c>
      <c r="E1968" s="1">
        <v>0</v>
      </c>
      <c r="F1968" s="1">
        <v>0</v>
      </c>
      <c r="G1968" s="1">
        <v>0</v>
      </c>
      <c r="H1968" s="1">
        <v>0</v>
      </c>
      <c r="I1968" s="1">
        <v>0</v>
      </c>
      <c r="J1968" s="1">
        <v>0</v>
      </c>
      <c r="K1968" s="1">
        <v>0</v>
      </c>
      <c r="L1968" s="1">
        <v>0</v>
      </c>
      <c r="M1968" s="1">
        <v>0</v>
      </c>
      <c r="N1968" s="1">
        <v>0</v>
      </c>
      <c r="O1968" s="1">
        <v>0</v>
      </c>
      <c r="P1968" s="1">
        <v>0</v>
      </c>
      <c r="Q1968" s="1">
        <v>0</v>
      </c>
      <c r="R1968" s="1">
        <v>0</v>
      </c>
      <c r="S1968" s="1">
        <v>0</v>
      </c>
      <c r="T1968" s="1">
        <v>0</v>
      </c>
      <c r="U1968" s="1">
        <v>0</v>
      </c>
      <c r="V1968" s="1" t="s">
        <v>301</v>
      </c>
    </row>
    <row r="1969" spans="1:22">
      <c r="A1969" t="s">
        <v>190</v>
      </c>
      <c r="B1969" t="s">
        <v>57</v>
      </c>
      <c r="C1969" t="s">
        <v>63</v>
      </c>
      <c r="D1969" s="1">
        <v>0</v>
      </c>
      <c r="E1969" s="1">
        <v>0</v>
      </c>
      <c r="F1969" s="1">
        <v>0</v>
      </c>
      <c r="G1969" s="1">
        <v>0</v>
      </c>
      <c r="H1969" s="1">
        <v>0</v>
      </c>
      <c r="I1969" s="1">
        <v>0</v>
      </c>
      <c r="J1969" s="1">
        <v>0</v>
      </c>
      <c r="K1969" s="1">
        <v>0</v>
      </c>
      <c r="L1969" s="1">
        <v>0</v>
      </c>
      <c r="M1969" s="1">
        <v>0</v>
      </c>
      <c r="N1969" s="1">
        <v>0</v>
      </c>
      <c r="O1969" s="1">
        <v>0</v>
      </c>
      <c r="P1969" s="1">
        <v>0</v>
      </c>
      <c r="Q1969" s="1">
        <v>0</v>
      </c>
      <c r="R1969" s="1">
        <v>0</v>
      </c>
      <c r="S1969" s="1">
        <v>0</v>
      </c>
      <c r="T1969" s="1">
        <v>0</v>
      </c>
      <c r="U1969" s="1">
        <v>0</v>
      </c>
      <c r="V1969" s="1" t="s">
        <v>301</v>
      </c>
    </row>
    <row r="1970" spans="1:22">
      <c r="A1970" t="s">
        <v>190</v>
      </c>
      <c r="B1970" t="s">
        <v>57</v>
      </c>
      <c r="C1970" t="s">
        <v>64</v>
      </c>
      <c r="D1970" s="1">
        <v>1</v>
      </c>
      <c r="E1970" s="1">
        <v>0</v>
      </c>
      <c r="F1970" s="1">
        <v>3</v>
      </c>
      <c r="G1970" s="1">
        <v>2</v>
      </c>
      <c r="H1970" s="1">
        <v>1</v>
      </c>
      <c r="I1970" s="1">
        <v>0</v>
      </c>
      <c r="J1970" s="1">
        <v>0</v>
      </c>
      <c r="K1970" s="1">
        <v>1</v>
      </c>
      <c r="L1970" s="1">
        <v>1</v>
      </c>
      <c r="M1970" s="1">
        <v>5</v>
      </c>
      <c r="N1970" s="1">
        <v>6</v>
      </c>
      <c r="O1970" s="1">
        <v>0</v>
      </c>
      <c r="P1970" s="1">
        <v>0</v>
      </c>
      <c r="Q1970" s="1">
        <v>1</v>
      </c>
      <c r="R1970" s="1">
        <v>5</v>
      </c>
      <c r="S1970" s="1">
        <v>2</v>
      </c>
      <c r="T1970" s="1">
        <v>0</v>
      </c>
      <c r="U1970" s="1">
        <v>7</v>
      </c>
      <c r="V1970" s="1" t="s">
        <v>301</v>
      </c>
    </row>
    <row r="1971" spans="1:22">
      <c r="A1971" t="s">
        <v>190</v>
      </c>
      <c r="B1971" t="s">
        <v>57</v>
      </c>
      <c r="C1971" t="s">
        <v>65</v>
      </c>
      <c r="D1971" s="1">
        <v>0</v>
      </c>
      <c r="E1971" s="1">
        <v>0</v>
      </c>
      <c r="F1971" s="1">
        <v>0</v>
      </c>
      <c r="G1971" s="1">
        <v>0</v>
      </c>
      <c r="H1971" s="1">
        <v>0</v>
      </c>
      <c r="I1971" s="1">
        <v>0</v>
      </c>
      <c r="J1971" s="1">
        <v>0</v>
      </c>
      <c r="K1971" s="1">
        <v>0</v>
      </c>
      <c r="L1971" s="1">
        <v>0</v>
      </c>
      <c r="M1971" s="1">
        <v>0</v>
      </c>
      <c r="N1971" s="1">
        <v>0</v>
      </c>
      <c r="O1971" s="1">
        <v>0</v>
      </c>
      <c r="P1971" s="1">
        <v>0</v>
      </c>
      <c r="Q1971" s="1">
        <v>0</v>
      </c>
      <c r="R1971" s="1">
        <v>0</v>
      </c>
      <c r="S1971" s="1">
        <v>0</v>
      </c>
      <c r="T1971" s="1">
        <v>0</v>
      </c>
      <c r="U1971" s="1">
        <v>0</v>
      </c>
      <c r="V1971" s="1" t="s">
        <v>301</v>
      </c>
    </row>
    <row r="1972" spans="1:22">
      <c r="A1972" t="s">
        <v>191</v>
      </c>
      <c r="B1972" t="s">
        <v>57</v>
      </c>
      <c r="C1972" t="s">
        <v>58</v>
      </c>
      <c r="D1972" s="1">
        <v>0</v>
      </c>
      <c r="E1972" s="1">
        <v>0</v>
      </c>
      <c r="F1972" s="1">
        <v>0</v>
      </c>
      <c r="G1972" s="1">
        <v>0</v>
      </c>
      <c r="H1972" s="1">
        <v>0</v>
      </c>
      <c r="I1972" s="1">
        <v>0</v>
      </c>
      <c r="J1972" s="1">
        <v>0</v>
      </c>
      <c r="K1972" s="1">
        <v>0</v>
      </c>
      <c r="L1972" s="1">
        <v>0</v>
      </c>
      <c r="M1972" s="1">
        <v>0</v>
      </c>
      <c r="N1972" s="1">
        <v>0</v>
      </c>
      <c r="O1972" s="1">
        <v>0</v>
      </c>
      <c r="P1972" s="1">
        <v>0</v>
      </c>
      <c r="Q1972" s="1">
        <v>0</v>
      </c>
      <c r="R1972" s="1">
        <v>0</v>
      </c>
      <c r="S1972" s="1">
        <v>0</v>
      </c>
      <c r="T1972" s="1">
        <v>0</v>
      </c>
      <c r="U1972" s="1">
        <v>20</v>
      </c>
      <c r="V1972" s="1" t="s">
        <v>301</v>
      </c>
    </row>
    <row r="1973" spans="1:22">
      <c r="A1973" t="s">
        <v>191</v>
      </c>
      <c r="B1973" t="s">
        <v>57</v>
      </c>
      <c r="C1973" t="s">
        <v>59</v>
      </c>
      <c r="D1973" s="1">
        <v>0</v>
      </c>
      <c r="E1973" s="1">
        <v>0</v>
      </c>
      <c r="F1973" s="1">
        <v>2</v>
      </c>
      <c r="G1973" s="1">
        <v>2</v>
      </c>
      <c r="H1973" s="1">
        <v>6</v>
      </c>
      <c r="I1973" s="1">
        <v>0</v>
      </c>
      <c r="J1973" s="1">
        <v>3</v>
      </c>
      <c r="K1973" s="1">
        <v>2</v>
      </c>
      <c r="L1973" s="1">
        <v>2</v>
      </c>
      <c r="M1973" s="1">
        <v>3</v>
      </c>
      <c r="N1973" s="1">
        <v>4</v>
      </c>
      <c r="O1973" s="1">
        <v>3</v>
      </c>
      <c r="P1973" s="1">
        <v>3</v>
      </c>
      <c r="Q1973" s="1">
        <v>0</v>
      </c>
      <c r="R1973" s="1">
        <v>3</v>
      </c>
      <c r="S1973" s="1">
        <v>7</v>
      </c>
      <c r="T1973" s="1">
        <v>0</v>
      </c>
      <c r="U1973" s="1">
        <v>10</v>
      </c>
      <c r="V1973" s="1" t="s">
        <v>301</v>
      </c>
    </row>
    <row r="1974" spans="1:22">
      <c r="A1974" t="s">
        <v>191</v>
      </c>
      <c r="B1974" t="s">
        <v>57</v>
      </c>
      <c r="C1974" t="s">
        <v>60</v>
      </c>
      <c r="D1974" s="1">
        <v>0</v>
      </c>
      <c r="E1974" s="1">
        <v>0</v>
      </c>
      <c r="F1974" s="1">
        <v>0</v>
      </c>
      <c r="G1974" s="1">
        <v>0</v>
      </c>
      <c r="H1974" s="1">
        <v>0</v>
      </c>
      <c r="I1974" s="1">
        <v>0</v>
      </c>
      <c r="J1974" s="1">
        <v>0</v>
      </c>
      <c r="K1974" s="1">
        <v>0</v>
      </c>
      <c r="L1974" s="1">
        <v>0</v>
      </c>
      <c r="M1974" s="1">
        <v>0</v>
      </c>
      <c r="N1974" s="1">
        <v>0</v>
      </c>
      <c r="O1974" s="1">
        <v>0</v>
      </c>
      <c r="P1974" s="1">
        <v>0</v>
      </c>
      <c r="Q1974" s="1">
        <v>0</v>
      </c>
      <c r="R1974" s="1">
        <v>0</v>
      </c>
      <c r="S1974" s="1">
        <v>0</v>
      </c>
      <c r="T1974" s="1">
        <v>0</v>
      </c>
      <c r="U1974" s="1">
        <v>0</v>
      </c>
      <c r="V1974" s="1" t="s">
        <v>301</v>
      </c>
    </row>
    <row r="1975" spans="1:22">
      <c r="A1975" t="s">
        <v>191</v>
      </c>
      <c r="B1975" t="s">
        <v>57</v>
      </c>
      <c r="C1975" t="s">
        <v>61</v>
      </c>
      <c r="D1975" s="1">
        <v>0</v>
      </c>
      <c r="E1975" s="1">
        <v>0</v>
      </c>
      <c r="F1975" s="1">
        <v>0</v>
      </c>
      <c r="G1975" s="1">
        <v>0</v>
      </c>
      <c r="H1975" s="1">
        <v>0</v>
      </c>
      <c r="I1975" s="1">
        <v>0</v>
      </c>
      <c r="J1975" s="1">
        <v>0</v>
      </c>
      <c r="K1975" s="1">
        <v>0</v>
      </c>
      <c r="L1975" s="1">
        <v>0</v>
      </c>
      <c r="M1975" s="1">
        <v>0</v>
      </c>
      <c r="N1975" s="1">
        <v>0</v>
      </c>
      <c r="O1975" s="1">
        <v>0</v>
      </c>
      <c r="P1975" s="1">
        <v>0</v>
      </c>
      <c r="Q1975" s="1">
        <v>0</v>
      </c>
      <c r="R1975" s="1">
        <v>0</v>
      </c>
      <c r="S1975" s="1">
        <v>0</v>
      </c>
      <c r="T1975" s="1">
        <v>0</v>
      </c>
      <c r="U1975" s="1">
        <v>0</v>
      </c>
      <c r="V1975" s="1" t="s">
        <v>301</v>
      </c>
    </row>
    <row r="1976" spans="1:22">
      <c r="A1976" t="s">
        <v>191</v>
      </c>
      <c r="B1976" t="s">
        <v>57</v>
      </c>
      <c r="C1976" t="s">
        <v>62</v>
      </c>
      <c r="D1976" s="1">
        <v>0</v>
      </c>
      <c r="E1976" s="1">
        <v>0</v>
      </c>
      <c r="F1976" s="1">
        <v>0</v>
      </c>
      <c r="G1976" s="1">
        <v>0</v>
      </c>
      <c r="H1976" s="1">
        <v>0</v>
      </c>
      <c r="I1976" s="1">
        <v>0</v>
      </c>
      <c r="J1976" s="1">
        <v>0</v>
      </c>
      <c r="K1976" s="1">
        <v>0</v>
      </c>
      <c r="L1976" s="1">
        <v>0</v>
      </c>
      <c r="M1976" s="1">
        <v>0</v>
      </c>
      <c r="N1976" s="1">
        <v>0</v>
      </c>
      <c r="O1976" s="1">
        <v>0</v>
      </c>
      <c r="P1976" s="1">
        <v>0</v>
      </c>
      <c r="Q1976" s="1">
        <v>0</v>
      </c>
      <c r="R1976" s="1">
        <v>0</v>
      </c>
      <c r="S1976" s="1">
        <v>0</v>
      </c>
      <c r="T1976" s="1">
        <v>0</v>
      </c>
      <c r="U1976" s="1">
        <v>0</v>
      </c>
      <c r="V1976" s="1" t="s">
        <v>301</v>
      </c>
    </row>
    <row r="1977" spans="1:22">
      <c r="A1977" t="s">
        <v>191</v>
      </c>
      <c r="B1977" t="s">
        <v>57</v>
      </c>
      <c r="C1977" t="s">
        <v>63</v>
      </c>
      <c r="D1977" s="1">
        <v>0</v>
      </c>
      <c r="E1977" s="1">
        <v>0</v>
      </c>
      <c r="F1977" s="1">
        <v>0</v>
      </c>
      <c r="G1977" s="1">
        <v>0</v>
      </c>
      <c r="H1977" s="1">
        <v>0</v>
      </c>
      <c r="I1977" s="1">
        <v>0</v>
      </c>
      <c r="J1977" s="1">
        <v>0</v>
      </c>
      <c r="K1977" s="1">
        <v>0</v>
      </c>
      <c r="L1977" s="1">
        <v>0</v>
      </c>
      <c r="M1977" s="1">
        <v>0</v>
      </c>
      <c r="N1977" s="1">
        <v>0</v>
      </c>
      <c r="O1977" s="1">
        <v>0</v>
      </c>
      <c r="P1977" s="1">
        <v>0</v>
      </c>
      <c r="Q1977" s="1">
        <v>0</v>
      </c>
      <c r="R1977" s="1">
        <v>0</v>
      </c>
      <c r="S1977" s="1">
        <v>0</v>
      </c>
      <c r="T1977" s="1">
        <v>0</v>
      </c>
      <c r="U1977" s="1">
        <v>0</v>
      </c>
      <c r="V1977" s="1" t="s">
        <v>301</v>
      </c>
    </row>
    <row r="1978" spans="1:22">
      <c r="A1978" t="s">
        <v>191</v>
      </c>
      <c r="B1978" t="s">
        <v>57</v>
      </c>
      <c r="C1978" t="s">
        <v>64</v>
      </c>
      <c r="D1978" s="1">
        <v>0</v>
      </c>
      <c r="E1978" s="1">
        <v>0</v>
      </c>
      <c r="F1978" s="1">
        <v>2</v>
      </c>
      <c r="G1978" s="1">
        <v>2</v>
      </c>
      <c r="H1978" s="1">
        <v>6</v>
      </c>
      <c r="I1978" s="1">
        <v>0</v>
      </c>
      <c r="J1978" s="1">
        <v>3</v>
      </c>
      <c r="K1978" s="1">
        <v>2</v>
      </c>
      <c r="L1978" s="1">
        <v>2</v>
      </c>
      <c r="M1978" s="1">
        <v>3</v>
      </c>
      <c r="N1978" s="1">
        <v>4</v>
      </c>
      <c r="O1978" s="1">
        <v>3</v>
      </c>
      <c r="P1978" s="1">
        <v>3</v>
      </c>
      <c r="Q1978" s="1">
        <v>0</v>
      </c>
      <c r="R1978" s="1">
        <v>3</v>
      </c>
      <c r="S1978" s="1">
        <v>7</v>
      </c>
      <c r="T1978" s="1">
        <v>0</v>
      </c>
      <c r="U1978" s="1">
        <v>10</v>
      </c>
      <c r="V1978" s="1" t="s">
        <v>301</v>
      </c>
    </row>
    <row r="1979" spans="1:22">
      <c r="A1979" t="s">
        <v>191</v>
      </c>
      <c r="B1979" t="s">
        <v>57</v>
      </c>
      <c r="C1979" t="s">
        <v>65</v>
      </c>
      <c r="D1979" s="1">
        <v>0</v>
      </c>
      <c r="E1979" s="1">
        <v>0</v>
      </c>
      <c r="F1979" s="1">
        <v>0</v>
      </c>
      <c r="G1979" s="1">
        <v>1</v>
      </c>
      <c r="H1979" s="1">
        <v>0</v>
      </c>
      <c r="I1979" s="1">
        <v>0</v>
      </c>
      <c r="J1979" s="1">
        <v>0</v>
      </c>
      <c r="K1979" s="1">
        <v>0</v>
      </c>
      <c r="L1979" s="1">
        <v>0</v>
      </c>
      <c r="M1979" s="1">
        <v>1</v>
      </c>
      <c r="N1979" s="1">
        <v>0</v>
      </c>
      <c r="O1979" s="1">
        <v>0</v>
      </c>
      <c r="P1979" s="1">
        <v>1</v>
      </c>
      <c r="Q1979" s="1">
        <v>0</v>
      </c>
      <c r="R1979" s="1">
        <v>0</v>
      </c>
      <c r="S1979" s="1">
        <v>1</v>
      </c>
      <c r="T1979" s="1">
        <v>0</v>
      </c>
      <c r="U1979" s="1">
        <v>1</v>
      </c>
      <c r="V1979" s="1" t="s">
        <v>301</v>
      </c>
    </row>
    <row r="1980" spans="1:22">
      <c r="A1980" t="s">
        <v>192</v>
      </c>
      <c r="B1980" t="s">
        <v>57</v>
      </c>
      <c r="C1980" t="s">
        <v>58</v>
      </c>
      <c r="D1980" s="1">
        <v>0</v>
      </c>
      <c r="E1980" s="1">
        <v>0</v>
      </c>
      <c r="F1980" s="1">
        <v>0</v>
      </c>
      <c r="G1980" s="1">
        <v>0</v>
      </c>
      <c r="H1980" s="1">
        <v>0</v>
      </c>
      <c r="I1980" s="1">
        <v>0</v>
      </c>
      <c r="J1980" s="1">
        <v>0</v>
      </c>
      <c r="K1980" s="1">
        <v>0</v>
      </c>
      <c r="L1980" s="1">
        <v>0</v>
      </c>
      <c r="M1980" s="1">
        <v>0</v>
      </c>
      <c r="N1980" s="1">
        <v>0</v>
      </c>
      <c r="O1980" s="1">
        <v>0</v>
      </c>
      <c r="P1980" s="1">
        <v>0</v>
      </c>
      <c r="Q1980" s="1">
        <v>0</v>
      </c>
      <c r="R1980" s="1">
        <v>0</v>
      </c>
      <c r="S1980" s="1">
        <v>0</v>
      </c>
      <c r="T1980" s="1">
        <v>0</v>
      </c>
      <c r="U1980" s="1">
        <v>19</v>
      </c>
      <c r="V1980" s="1" t="s">
        <v>301</v>
      </c>
    </row>
    <row r="1981" spans="1:22">
      <c r="A1981" t="s">
        <v>192</v>
      </c>
      <c r="B1981" t="s">
        <v>57</v>
      </c>
      <c r="C1981" t="s">
        <v>59</v>
      </c>
      <c r="D1981" s="1">
        <v>0</v>
      </c>
      <c r="E1981" s="1">
        <v>1</v>
      </c>
      <c r="F1981" s="1">
        <v>1</v>
      </c>
      <c r="G1981" s="1">
        <v>1</v>
      </c>
      <c r="H1981" s="1">
        <v>5</v>
      </c>
      <c r="I1981" s="1">
        <v>0</v>
      </c>
      <c r="J1981" s="1">
        <v>1</v>
      </c>
      <c r="K1981" s="1">
        <v>2</v>
      </c>
      <c r="L1981" s="1">
        <v>3</v>
      </c>
      <c r="M1981" s="1">
        <v>2</v>
      </c>
      <c r="N1981" s="1">
        <v>2</v>
      </c>
      <c r="O1981" s="1">
        <v>2</v>
      </c>
      <c r="P1981" s="1">
        <v>3</v>
      </c>
      <c r="Q1981" s="1">
        <v>1</v>
      </c>
      <c r="R1981" s="1">
        <v>6</v>
      </c>
      <c r="S1981" s="1">
        <v>2</v>
      </c>
      <c r="T1981" s="1">
        <v>0</v>
      </c>
      <c r="U1981" s="1">
        <v>8</v>
      </c>
      <c r="V1981" s="1" t="s">
        <v>301</v>
      </c>
    </row>
    <row r="1982" spans="1:22">
      <c r="A1982" t="s">
        <v>192</v>
      </c>
      <c r="B1982" t="s">
        <v>57</v>
      </c>
      <c r="C1982" t="s">
        <v>60</v>
      </c>
      <c r="D1982" s="1">
        <v>0</v>
      </c>
      <c r="E1982" s="1">
        <v>0</v>
      </c>
      <c r="F1982" s="1">
        <v>0</v>
      </c>
      <c r="G1982" s="1">
        <v>0</v>
      </c>
      <c r="H1982" s="1">
        <v>0</v>
      </c>
      <c r="I1982" s="1">
        <v>0</v>
      </c>
      <c r="J1982" s="1">
        <v>0</v>
      </c>
      <c r="K1982" s="1">
        <v>0</v>
      </c>
      <c r="L1982" s="1">
        <v>0</v>
      </c>
      <c r="M1982" s="1">
        <v>0</v>
      </c>
      <c r="N1982" s="1">
        <v>0</v>
      </c>
      <c r="O1982" s="1">
        <v>0</v>
      </c>
      <c r="P1982" s="1">
        <v>0</v>
      </c>
      <c r="Q1982" s="1">
        <v>0</v>
      </c>
      <c r="R1982" s="1">
        <v>0</v>
      </c>
      <c r="S1982" s="1">
        <v>0</v>
      </c>
      <c r="T1982" s="1">
        <v>0</v>
      </c>
      <c r="U1982" s="1">
        <v>0</v>
      </c>
      <c r="V1982" s="1" t="s">
        <v>301</v>
      </c>
    </row>
    <row r="1983" spans="1:22">
      <c r="A1983" t="s">
        <v>192</v>
      </c>
      <c r="B1983" t="s">
        <v>57</v>
      </c>
      <c r="C1983" t="s">
        <v>61</v>
      </c>
      <c r="D1983" s="1">
        <v>0</v>
      </c>
      <c r="E1983" s="1">
        <v>0</v>
      </c>
      <c r="F1983" s="1">
        <v>0</v>
      </c>
      <c r="G1983" s="1">
        <v>0</v>
      </c>
      <c r="H1983" s="1">
        <v>0</v>
      </c>
      <c r="I1983" s="1">
        <v>0</v>
      </c>
      <c r="J1983" s="1">
        <v>0</v>
      </c>
      <c r="K1983" s="1">
        <v>0</v>
      </c>
      <c r="L1983" s="1">
        <v>0</v>
      </c>
      <c r="M1983" s="1">
        <v>0</v>
      </c>
      <c r="N1983" s="1">
        <v>0</v>
      </c>
      <c r="O1983" s="1">
        <v>0</v>
      </c>
      <c r="P1983" s="1">
        <v>0</v>
      </c>
      <c r="Q1983" s="1">
        <v>0</v>
      </c>
      <c r="R1983" s="1">
        <v>0</v>
      </c>
      <c r="S1983" s="1">
        <v>0</v>
      </c>
      <c r="T1983" s="1">
        <v>0</v>
      </c>
      <c r="U1983" s="1">
        <v>0</v>
      </c>
      <c r="V1983" s="1" t="s">
        <v>301</v>
      </c>
    </row>
    <row r="1984" spans="1:22">
      <c r="A1984" t="s">
        <v>192</v>
      </c>
      <c r="B1984" t="s">
        <v>57</v>
      </c>
      <c r="C1984" t="s">
        <v>62</v>
      </c>
      <c r="D1984" s="1">
        <v>0</v>
      </c>
      <c r="E1984" s="1">
        <v>0</v>
      </c>
      <c r="F1984" s="1">
        <v>0</v>
      </c>
      <c r="G1984" s="1">
        <v>0</v>
      </c>
      <c r="H1984" s="1">
        <v>0</v>
      </c>
      <c r="I1984" s="1">
        <v>0</v>
      </c>
      <c r="J1984" s="1">
        <v>0</v>
      </c>
      <c r="K1984" s="1">
        <v>0</v>
      </c>
      <c r="L1984" s="1">
        <v>0</v>
      </c>
      <c r="M1984" s="1">
        <v>0</v>
      </c>
      <c r="N1984" s="1">
        <v>0</v>
      </c>
      <c r="O1984" s="1">
        <v>0</v>
      </c>
      <c r="P1984" s="1">
        <v>0</v>
      </c>
      <c r="Q1984" s="1">
        <v>0</v>
      </c>
      <c r="R1984" s="1">
        <v>0</v>
      </c>
      <c r="S1984" s="1">
        <v>0</v>
      </c>
      <c r="T1984" s="1">
        <v>0</v>
      </c>
      <c r="U1984" s="1">
        <v>0</v>
      </c>
      <c r="V1984" s="1" t="s">
        <v>301</v>
      </c>
    </row>
    <row r="1985" spans="1:22">
      <c r="A1985" t="s">
        <v>192</v>
      </c>
      <c r="B1985" t="s">
        <v>57</v>
      </c>
      <c r="C1985" t="s">
        <v>63</v>
      </c>
      <c r="D1985" s="1">
        <v>0</v>
      </c>
      <c r="E1985" s="1">
        <v>0</v>
      </c>
      <c r="F1985" s="1">
        <v>0</v>
      </c>
      <c r="G1985" s="1">
        <v>0</v>
      </c>
      <c r="H1985" s="1">
        <v>0</v>
      </c>
      <c r="I1985" s="1">
        <v>0</v>
      </c>
      <c r="J1985" s="1">
        <v>0</v>
      </c>
      <c r="K1985" s="1">
        <v>0</v>
      </c>
      <c r="L1985" s="1">
        <v>0</v>
      </c>
      <c r="M1985" s="1">
        <v>0</v>
      </c>
      <c r="N1985" s="1">
        <v>0</v>
      </c>
      <c r="O1985" s="1">
        <v>0</v>
      </c>
      <c r="P1985" s="1">
        <v>0</v>
      </c>
      <c r="Q1985" s="1">
        <v>0</v>
      </c>
      <c r="R1985" s="1">
        <v>0</v>
      </c>
      <c r="S1985" s="1">
        <v>0</v>
      </c>
      <c r="T1985" s="1">
        <v>0</v>
      </c>
      <c r="U1985" s="1">
        <v>0</v>
      </c>
      <c r="V1985" s="1" t="s">
        <v>301</v>
      </c>
    </row>
    <row r="1986" spans="1:22">
      <c r="A1986" t="s">
        <v>192</v>
      </c>
      <c r="B1986" t="s">
        <v>57</v>
      </c>
      <c r="C1986" t="s">
        <v>64</v>
      </c>
      <c r="D1986" s="1">
        <v>0</v>
      </c>
      <c r="E1986" s="1">
        <v>1</v>
      </c>
      <c r="F1986" s="1">
        <v>1</v>
      </c>
      <c r="G1986" s="1">
        <v>1</v>
      </c>
      <c r="H1986" s="1">
        <v>5</v>
      </c>
      <c r="I1986" s="1">
        <v>0</v>
      </c>
      <c r="J1986" s="1">
        <v>1</v>
      </c>
      <c r="K1986" s="1">
        <v>2</v>
      </c>
      <c r="L1986" s="1">
        <v>3</v>
      </c>
      <c r="M1986" s="1">
        <v>2</v>
      </c>
      <c r="N1986" s="1">
        <v>2</v>
      </c>
      <c r="O1986" s="1">
        <v>2</v>
      </c>
      <c r="P1986" s="1">
        <v>3</v>
      </c>
      <c r="Q1986" s="1">
        <v>1</v>
      </c>
      <c r="R1986" s="1">
        <v>6</v>
      </c>
      <c r="S1986" s="1">
        <v>2</v>
      </c>
      <c r="T1986" s="1">
        <v>0</v>
      </c>
      <c r="U1986" s="1">
        <v>8</v>
      </c>
      <c r="V1986" s="1" t="s">
        <v>301</v>
      </c>
    </row>
    <row r="1987" spans="1:22">
      <c r="A1987" t="s">
        <v>192</v>
      </c>
      <c r="B1987" t="s">
        <v>57</v>
      </c>
      <c r="C1987" t="s">
        <v>65</v>
      </c>
      <c r="D1987" s="1">
        <v>0</v>
      </c>
      <c r="E1987" s="1">
        <v>0</v>
      </c>
      <c r="F1987" s="1">
        <v>0</v>
      </c>
      <c r="G1987" s="1">
        <v>0</v>
      </c>
      <c r="H1987" s="1">
        <v>0</v>
      </c>
      <c r="I1987" s="1">
        <v>0</v>
      </c>
      <c r="J1987" s="1">
        <v>0</v>
      </c>
      <c r="K1987" s="1">
        <v>0</v>
      </c>
      <c r="L1987" s="1">
        <v>0</v>
      </c>
      <c r="M1987" s="1">
        <v>0</v>
      </c>
      <c r="N1987" s="1">
        <v>0</v>
      </c>
      <c r="O1987" s="1">
        <v>0</v>
      </c>
      <c r="P1987" s="1">
        <v>0</v>
      </c>
      <c r="Q1987" s="1">
        <v>0</v>
      </c>
      <c r="R1987" s="1">
        <v>0</v>
      </c>
      <c r="S1987" s="1">
        <v>0</v>
      </c>
      <c r="T1987" s="1">
        <v>0</v>
      </c>
      <c r="U1987" s="1">
        <v>0</v>
      </c>
      <c r="V1987" s="1" t="s">
        <v>301</v>
      </c>
    </row>
    <row r="1988" spans="1:22">
      <c r="A1988" t="s">
        <v>193</v>
      </c>
      <c r="B1988" t="s">
        <v>57</v>
      </c>
      <c r="C1988" t="s">
        <v>58</v>
      </c>
      <c r="D1988" s="1">
        <v>0</v>
      </c>
      <c r="E1988" s="1">
        <v>0</v>
      </c>
      <c r="F1988" s="1">
        <v>0</v>
      </c>
      <c r="G1988" s="1">
        <v>0</v>
      </c>
      <c r="H1988" s="1">
        <v>0</v>
      </c>
      <c r="I1988" s="1">
        <v>0</v>
      </c>
      <c r="J1988" s="1">
        <v>0</v>
      </c>
      <c r="K1988" s="1">
        <v>0</v>
      </c>
      <c r="L1988" s="1">
        <v>0</v>
      </c>
      <c r="M1988" s="1">
        <v>0</v>
      </c>
      <c r="N1988" s="1">
        <v>0</v>
      </c>
      <c r="O1988" s="1">
        <v>0</v>
      </c>
      <c r="P1988" s="1">
        <v>0</v>
      </c>
      <c r="Q1988" s="1">
        <v>0</v>
      </c>
      <c r="R1988" s="1">
        <v>0</v>
      </c>
      <c r="S1988" s="1">
        <v>0</v>
      </c>
      <c r="T1988" s="1">
        <v>0</v>
      </c>
      <c r="U1988" s="1">
        <v>20</v>
      </c>
      <c r="V1988" s="1" t="s">
        <v>301</v>
      </c>
    </row>
    <row r="1989" spans="1:22">
      <c r="A1989" t="s">
        <v>193</v>
      </c>
      <c r="B1989" t="s">
        <v>57</v>
      </c>
      <c r="C1989" t="s">
        <v>59</v>
      </c>
      <c r="D1989" s="1">
        <v>1</v>
      </c>
      <c r="E1989" s="1">
        <v>1</v>
      </c>
      <c r="F1989" s="1">
        <v>6</v>
      </c>
      <c r="G1989" s="1">
        <v>1</v>
      </c>
      <c r="H1989" s="1">
        <v>2</v>
      </c>
      <c r="I1989" s="1">
        <v>0</v>
      </c>
      <c r="J1989" s="1">
        <v>0</v>
      </c>
      <c r="K1989" s="1">
        <v>4</v>
      </c>
      <c r="L1989" s="1">
        <v>0</v>
      </c>
      <c r="M1989" s="1">
        <v>7</v>
      </c>
      <c r="N1989" s="1">
        <v>1</v>
      </c>
      <c r="O1989" s="1">
        <v>1</v>
      </c>
      <c r="P1989" s="1">
        <v>3</v>
      </c>
      <c r="Q1989" s="1">
        <v>6</v>
      </c>
      <c r="R1989" s="1">
        <v>3</v>
      </c>
      <c r="S1989" s="1">
        <v>8</v>
      </c>
      <c r="T1989" s="1">
        <v>0</v>
      </c>
      <c r="U1989" s="1">
        <v>11</v>
      </c>
      <c r="V1989" s="1" t="s">
        <v>301</v>
      </c>
    </row>
    <row r="1990" spans="1:22">
      <c r="A1990" t="s">
        <v>193</v>
      </c>
      <c r="B1990" t="s">
        <v>57</v>
      </c>
      <c r="C1990" t="s">
        <v>60</v>
      </c>
      <c r="D1990" s="1">
        <v>0</v>
      </c>
      <c r="E1990" s="1">
        <v>0</v>
      </c>
      <c r="F1990" s="1">
        <v>0</v>
      </c>
      <c r="G1990" s="1">
        <v>0</v>
      </c>
      <c r="H1990" s="1">
        <v>0</v>
      </c>
      <c r="I1990" s="1">
        <v>0</v>
      </c>
      <c r="J1990" s="1">
        <v>0</v>
      </c>
      <c r="K1990" s="1">
        <v>0</v>
      </c>
      <c r="L1990" s="1">
        <v>0</v>
      </c>
      <c r="M1990" s="1">
        <v>0</v>
      </c>
      <c r="N1990" s="1">
        <v>0</v>
      </c>
      <c r="O1990" s="1">
        <v>0</v>
      </c>
      <c r="P1990" s="1">
        <v>0</v>
      </c>
      <c r="Q1990" s="1">
        <v>0</v>
      </c>
      <c r="R1990" s="1">
        <v>0</v>
      </c>
      <c r="S1990" s="1">
        <v>0</v>
      </c>
      <c r="T1990" s="1">
        <v>0</v>
      </c>
      <c r="U1990" s="1">
        <v>0</v>
      </c>
      <c r="V1990" s="1" t="s">
        <v>301</v>
      </c>
    </row>
    <row r="1991" spans="1:22">
      <c r="A1991" t="s">
        <v>193</v>
      </c>
      <c r="B1991" t="s">
        <v>57</v>
      </c>
      <c r="C1991" t="s">
        <v>61</v>
      </c>
      <c r="D1991" s="1">
        <v>0</v>
      </c>
      <c r="E1991" s="1">
        <v>0</v>
      </c>
      <c r="F1991" s="1">
        <v>0</v>
      </c>
      <c r="G1991" s="1">
        <v>0</v>
      </c>
      <c r="H1991" s="1">
        <v>0</v>
      </c>
      <c r="I1991" s="1">
        <v>0</v>
      </c>
      <c r="J1991" s="1">
        <v>0</v>
      </c>
      <c r="K1991" s="1">
        <v>0</v>
      </c>
      <c r="L1991" s="1">
        <v>0</v>
      </c>
      <c r="M1991" s="1">
        <v>0</v>
      </c>
      <c r="N1991" s="1">
        <v>0</v>
      </c>
      <c r="O1991" s="1">
        <v>0</v>
      </c>
      <c r="P1991" s="1">
        <v>0</v>
      </c>
      <c r="Q1991" s="1">
        <v>0</v>
      </c>
      <c r="R1991" s="1">
        <v>0</v>
      </c>
      <c r="S1991" s="1">
        <v>0</v>
      </c>
      <c r="T1991" s="1">
        <v>0</v>
      </c>
      <c r="U1991" s="1">
        <v>0</v>
      </c>
      <c r="V1991" s="1" t="s">
        <v>301</v>
      </c>
    </row>
    <row r="1992" spans="1:22">
      <c r="A1992" t="s">
        <v>193</v>
      </c>
      <c r="B1992" t="s">
        <v>57</v>
      </c>
      <c r="C1992" t="s">
        <v>62</v>
      </c>
      <c r="D1992" s="1">
        <v>0</v>
      </c>
      <c r="E1992" s="1">
        <v>1</v>
      </c>
      <c r="F1992" s="1">
        <v>0</v>
      </c>
      <c r="G1992" s="1">
        <v>0</v>
      </c>
      <c r="H1992" s="1">
        <v>0</v>
      </c>
      <c r="I1992" s="1">
        <v>0</v>
      </c>
      <c r="J1992" s="1">
        <v>0</v>
      </c>
      <c r="K1992" s="1">
        <v>1</v>
      </c>
      <c r="L1992" s="1">
        <v>0</v>
      </c>
      <c r="M1992" s="1">
        <v>0</v>
      </c>
      <c r="N1992" s="1">
        <v>1</v>
      </c>
      <c r="O1992" s="1">
        <v>0</v>
      </c>
      <c r="P1992" s="1">
        <v>0</v>
      </c>
      <c r="Q1992" s="1">
        <v>0</v>
      </c>
      <c r="R1992" s="1">
        <v>0</v>
      </c>
      <c r="S1992" s="1">
        <v>1</v>
      </c>
      <c r="T1992" s="1">
        <v>0</v>
      </c>
      <c r="U1992" s="1">
        <v>1</v>
      </c>
      <c r="V1992" s="1" t="s">
        <v>301</v>
      </c>
    </row>
    <row r="1993" spans="1:22">
      <c r="A1993" t="s">
        <v>193</v>
      </c>
      <c r="B1993" t="s">
        <v>57</v>
      </c>
      <c r="C1993" t="s">
        <v>63</v>
      </c>
      <c r="D1993" s="1">
        <v>0</v>
      </c>
      <c r="E1993" s="1">
        <v>0</v>
      </c>
      <c r="F1993" s="1">
        <v>0</v>
      </c>
      <c r="G1993" s="1">
        <v>0</v>
      </c>
      <c r="H1993" s="1">
        <v>0</v>
      </c>
      <c r="I1993" s="1">
        <v>0</v>
      </c>
      <c r="J1993" s="1">
        <v>0</v>
      </c>
      <c r="K1993" s="1">
        <v>0</v>
      </c>
      <c r="L1993" s="1">
        <v>0</v>
      </c>
      <c r="M1993" s="1">
        <v>0</v>
      </c>
      <c r="N1993" s="1">
        <v>0</v>
      </c>
      <c r="O1993" s="1">
        <v>0</v>
      </c>
      <c r="P1993" s="1">
        <v>0</v>
      </c>
      <c r="Q1993" s="1">
        <v>0</v>
      </c>
      <c r="R1993" s="1">
        <v>0</v>
      </c>
      <c r="S1993" s="1">
        <v>0</v>
      </c>
      <c r="T1993" s="1">
        <v>0</v>
      </c>
      <c r="U1993" s="1">
        <v>0</v>
      </c>
      <c r="V1993" s="1" t="s">
        <v>301</v>
      </c>
    </row>
    <row r="1994" spans="1:22">
      <c r="A1994" t="s">
        <v>193</v>
      </c>
      <c r="B1994" t="s">
        <v>57</v>
      </c>
      <c r="C1994" t="s">
        <v>64</v>
      </c>
      <c r="D1994" s="1">
        <v>1</v>
      </c>
      <c r="E1994" s="1">
        <v>2</v>
      </c>
      <c r="F1994" s="1">
        <v>6</v>
      </c>
      <c r="G1994" s="1">
        <v>1</v>
      </c>
      <c r="H1994" s="1">
        <v>2</v>
      </c>
      <c r="I1994" s="1">
        <v>0</v>
      </c>
      <c r="J1994" s="1">
        <v>0</v>
      </c>
      <c r="K1994" s="1">
        <v>5</v>
      </c>
      <c r="L1994" s="1">
        <v>0</v>
      </c>
      <c r="M1994" s="1">
        <v>7</v>
      </c>
      <c r="N1994" s="1">
        <v>2</v>
      </c>
      <c r="O1994" s="1">
        <v>1</v>
      </c>
      <c r="P1994" s="1">
        <v>3</v>
      </c>
      <c r="Q1994" s="1">
        <v>6</v>
      </c>
      <c r="R1994" s="1">
        <v>3</v>
      </c>
      <c r="S1994" s="1">
        <v>9</v>
      </c>
      <c r="T1994" s="1">
        <v>0</v>
      </c>
      <c r="U1994" s="1">
        <v>12</v>
      </c>
      <c r="V1994" s="1" t="s">
        <v>301</v>
      </c>
    </row>
    <row r="1995" spans="1:22">
      <c r="A1995" t="s">
        <v>193</v>
      </c>
      <c r="B1995" t="s">
        <v>57</v>
      </c>
      <c r="C1995" t="s">
        <v>65</v>
      </c>
      <c r="D1995" s="1">
        <v>0</v>
      </c>
      <c r="E1995" s="1">
        <v>0</v>
      </c>
      <c r="F1995" s="1">
        <v>0</v>
      </c>
      <c r="G1995" s="1">
        <v>0</v>
      </c>
      <c r="H1995" s="1">
        <v>0</v>
      </c>
      <c r="I1995" s="1">
        <v>0</v>
      </c>
      <c r="J1995" s="1">
        <v>0</v>
      </c>
      <c r="K1995" s="1">
        <v>0</v>
      </c>
      <c r="L1995" s="1">
        <v>0</v>
      </c>
      <c r="M1995" s="1">
        <v>0</v>
      </c>
      <c r="N1995" s="1">
        <v>0</v>
      </c>
      <c r="O1995" s="1">
        <v>0</v>
      </c>
      <c r="P1995" s="1">
        <v>0</v>
      </c>
      <c r="Q1995" s="1">
        <v>0</v>
      </c>
      <c r="R1995" s="1">
        <v>0</v>
      </c>
      <c r="S1995" s="1">
        <v>0</v>
      </c>
      <c r="T1995" s="1">
        <v>0</v>
      </c>
      <c r="U1995" s="1">
        <v>0</v>
      </c>
      <c r="V1995" s="1" t="s">
        <v>301</v>
      </c>
    </row>
    <row r="1996" spans="1:22">
      <c r="A1996" t="s">
        <v>194</v>
      </c>
      <c r="B1996" t="s">
        <v>57</v>
      </c>
      <c r="C1996" t="s">
        <v>58</v>
      </c>
      <c r="D1996" s="1">
        <v>0</v>
      </c>
      <c r="E1996" s="1">
        <v>0</v>
      </c>
      <c r="F1996" s="1">
        <v>0</v>
      </c>
      <c r="G1996" s="1">
        <v>0</v>
      </c>
      <c r="H1996" s="1">
        <v>0</v>
      </c>
      <c r="I1996" s="1">
        <v>0</v>
      </c>
      <c r="J1996" s="1">
        <v>0</v>
      </c>
      <c r="K1996" s="1">
        <v>0</v>
      </c>
      <c r="L1996" s="1">
        <v>0</v>
      </c>
      <c r="M1996" s="1">
        <v>0</v>
      </c>
      <c r="N1996" s="1">
        <v>0</v>
      </c>
      <c r="O1996" s="1">
        <v>0</v>
      </c>
      <c r="P1996" s="1">
        <v>0</v>
      </c>
      <c r="Q1996" s="1">
        <v>0</v>
      </c>
      <c r="R1996" s="1">
        <v>0</v>
      </c>
      <c r="S1996" s="1">
        <v>0</v>
      </c>
      <c r="T1996" s="1">
        <v>0</v>
      </c>
      <c r="U1996" s="1">
        <v>20</v>
      </c>
      <c r="V1996" s="1" t="s">
        <v>301</v>
      </c>
    </row>
    <row r="1997" spans="1:22">
      <c r="A1997" t="s">
        <v>194</v>
      </c>
      <c r="B1997" t="s">
        <v>57</v>
      </c>
      <c r="C1997" t="s">
        <v>59</v>
      </c>
      <c r="D1997" s="1">
        <v>0</v>
      </c>
      <c r="E1997" s="1">
        <v>2</v>
      </c>
      <c r="F1997" s="1">
        <v>0</v>
      </c>
      <c r="G1997" s="1">
        <v>5</v>
      </c>
      <c r="H1997" s="1">
        <v>3</v>
      </c>
      <c r="I1997" s="1">
        <v>0</v>
      </c>
      <c r="J1997" s="1">
        <v>1</v>
      </c>
      <c r="K1997" s="1">
        <v>3</v>
      </c>
      <c r="L1997" s="1">
        <v>1</v>
      </c>
      <c r="M1997" s="1">
        <v>5</v>
      </c>
      <c r="N1997" s="1">
        <v>1</v>
      </c>
      <c r="O1997" s="1">
        <v>4</v>
      </c>
      <c r="P1997" s="1">
        <v>4</v>
      </c>
      <c r="Q1997" s="1">
        <v>1</v>
      </c>
      <c r="R1997" s="1">
        <v>4</v>
      </c>
      <c r="S1997" s="1">
        <v>6</v>
      </c>
      <c r="T1997" s="1">
        <v>0</v>
      </c>
      <c r="U1997" s="1">
        <v>10</v>
      </c>
      <c r="V1997" s="1" t="s">
        <v>301</v>
      </c>
    </row>
    <row r="1998" spans="1:22">
      <c r="A1998" t="s">
        <v>194</v>
      </c>
      <c r="B1998" t="s">
        <v>57</v>
      </c>
      <c r="C1998" t="s">
        <v>60</v>
      </c>
      <c r="D1998" s="1">
        <v>0</v>
      </c>
      <c r="E1998" s="1">
        <v>0</v>
      </c>
      <c r="F1998" s="1">
        <v>0</v>
      </c>
      <c r="G1998" s="1">
        <v>0</v>
      </c>
      <c r="H1998" s="1">
        <v>0</v>
      </c>
      <c r="I1998" s="1">
        <v>0</v>
      </c>
      <c r="J1998" s="1">
        <v>0</v>
      </c>
      <c r="K1998" s="1">
        <v>0</v>
      </c>
      <c r="L1998" s="1">
        <v>0</v>
      </c>
      <c r="M1998" s="1">
        <v>0</v>
      </c>
      <c r="N1998" s="1">
        <v>0</v>
      </c>
      <c r="O1998" s="1">
        <v>0</v>
      </c>
      <c r="P1998" s="1">
        <v>0</v>
      </c>
      <c r="Q1998" s="1">
        <v>0</v>
      </c>
      <c r="R1998" s="1">
        <v>0</v>
      </c>
      <c r="S1998" s="1">
        <v>0</v>
      </c>
      <c r="T1998" s="1">
        <v>0</v>
      </c>
      <c r="U1998" s="1">
        <v>0</v>
      </c>
      <c r="V1998" s="1" t="s">
        <v>301</v>
      </c>
    </row>
    <row r="1999" spans="1:22">
      <c r="A1999" t="s">
        <v>194</v>
      </c>
      <c r="B1999" t="s">
        <v>57</v>
      </c>
      <c r="C1999" t="s">
        <v>61</v>
      </c>
      <c r="D1999" s="1">
        <v>0</v>
      </c>
      <c r="E1999" s="1">
        <v>0</v>
      </c>
      <c r="F1999" s="1">
        <v>0</v>
      </c>
      <c r="G1999" s="1">
        <v>0</v>
      </c>
      <c r="H1999" s="1">
        <v>0</v>
      </c>
      <c r="I1999" s="1">
        <v>0</v>
      </c>
      <c r="J1999" s="1">
        <v>0</v>
      </c>
      <c r="K1999" s="1">
        <v>0</v>
      </c>
      <c r="L1999" s="1">
        <v>0</v>
      </c>
      <c r="M1999" s="1">
        <v>0</v>
      </c>
      <c r="N1999" s="1">
        <v>0</v>
      </c>
      <c r="O1999" s="1">
        <v>0</v>
      </c>
      <c r="P1999" s="1">
        <v>0</v>
      </c>
      <c r="Q1999" s="1">
        <v>0</v>
      </c>
      <c r="R1999" s="1">
        <v>0</v>
      </c>
      <c r="S1999" s="1">
        <v>0</v>
      </c>
      <c r="T1999" s="1">
        <v>0</v>
      </c>
      <c r="U1999" s="1">
        <v>0</v>
      </c>
      <c r="V1999" s="1" t="s">
        <v>301</v>
      </c>
    </row>
    <row r="2000" spans="1:22">
      <c r="A2000" t="s">
        <v>194</v>
      </c>
      <c r="B2000" t="s">
        <v>57</v>
      </c>
      <c r="C2000" t="s">
        <v>62</v>
      </c>
      <c r="D2000" s="1">
        <v>0</v>
      </c>
      <c r="E2000" s="1">
        <v>0</v>
      </c>
      <c r="F2000" s="1">
        <v>1</v>
      </c>
      <c r="G2000" s="1">
        <v>0</v>
      </c>
      <c r="H2000" s="1">
        <v>0</v>
      </c>
      <c r="I2000" s="1">
        <v>0</v>
      </c>
      <c r="J2000" s="1">
        <v>0</v>
      </c>
      <c r="K2000" s="1">
        <v>0</v>
      </c>
      <c r="L2000" s="1">
        <v>0</v>
      </c>
      <c r="M2000" s="1">
        <v>1</v>
      </c>
      <c r="N2000" s="1">
        <v>0</v>
      </c>
      <c r="O2000" s="1">
        <v>1</v>
      </c>
      <c r="P2000" s="1">
        <v>0</v>
      </c>
      <c r="Q2000" s="1">
        <v>0</v>
      </c>
      <c r="R2000" s="1">
        <v>0</v>
      </c>
      <c r="S2000" s="1">
        <v>1</v>
      </c>
      <c r="T2000" s="1">
        <v>0</v>
      </c>
      <c r="U2000" s="1">
        <v>1</v>
      </c>
      <c r="V2000" s="1" t="s">
        <v>301</v>
      </c>
    </row>
    <row r="2001" spans="1:22">
      <c r="A2001" t="s">
        <v>194</v>
      </c>
      <c r="B2001" t="s">
        <v>57</v>
      </c>
      <c r="C2001" t="s">
        <v>63</v>
      </c>
      <c r="D2001" s="1">
        <v>0</v>
      </c>
      <c r="E2001" s="1">
        <v>0</v>
      </c>
      <c r="F2001" s="1">
        <v>0</v>
      </c>
      <c r="G2001" s="1">
        <v>0</v>
      </c>
      <c r="H2001" s="1">
        <v>0</v>
      </c>
      <c r="I2001" s="1">
        <v>0</v>
      </c>
      <c r="J2001" s="1">
        <v>0</v>
      </c>
      <c r="K2001" s="1">
        <v>0</v>
      </c>
      <c r="L2001" s="1">
        <v>0</v>
      </c>
      <c r="M2001" s="1">
        <v>0</v>
      </c>
      <c r="N2001" s="1">
        <v>0</v>
      </c>
      <c r="O2001" s="1">
        <v>0</v>
      </c>
      <c r="P2001" s="1">
        <v>0</v>
      </c>
      <c r="Q2001" s="1">
        <v>0</v>
      </c>
      <c r="R2001" s="1">
        <v>0</v>
      </c>
      <c r="S2001" s="1">
        <v>0</v>
      </c>
      <c r="T2001" s="1">
        <v>0</v>
      </c>
      <c r="U2001" s="1">
        <v>0</v>
      </c>
      <c r="V2001" s="1" t="s">
        <v>301</v>
      </c>
    </row>
    <row r="2002" spans="1:22">
      <c r="A2002" t="s">
        <v>194</v>
      </c>
      <c r="B2002" t="s">
        <v>57</v>
      </c>
      <c r="C2002" t="s">
        <v>64</v>
      </c>
      <c r="D2002" s="1">
        <v>0</v>
      </c>
      <c r="E2002" s="1">
        <v>2</v>
      </c>
      <c r="F2002" s="1">
        <v>1</v>
      </c>
      <c r="G2002" s="1">
        <v>5</v>
      </c>
      <c r="H2002" s="1">
        <v>3</v>
      </c>
      <c r="I2002" s="1">
        <v>0</v>
      </c>
      <c r="J2002" s="1">
        <v>1</v>
      </c>
      <c r="K2002" s="1">
        <v>3</v>
      </c>
      <c r="L2002" s="1">
        <v>1</v>
      </c>
      <c r="M2002" s="1">
        <v>6</v>
      </c>
      <c r="N2002" s="1">
        <v>1</v>
      </c>
      <c r="O2002" s="1">
        <v>5</v>
      </c>
      <c r="P2002" s="1">
        <v>4</v>
      </c>
      <c r="Q2002" s="1">
        <v>1</v>
      </c>
      <c r="R2002" s="1">
        <v>4</v>
      </c>
      <c r="S2002" s="1">
        <v>7</v>
      </c>
      <c r="T2002" s="1">
        <v>0</v>
      </c>
      <c r="U2002" s="1">
        <v>11</v>
      </c>
      <c r="V2002" s="1" t="s">
        <v>301</v>
      </c>
    </row>
    <row r="2003" spans="1:22">
      <c r="A2003" t="s">
        <v>194</v>
      </c>
      <c r="B2003" t="s">
        <v>57</v>
      </c>
      <c r="C2003" t="s">
        <v>65</v>
      </c>
      <c r="D2003" s="1">
        <v>0</v>
      </c>
      <c r="E2003" s="1">
        <v>0</v>
      </c>
      <c r="F2003" s="1">
        <v>0</v>
      </c>
      <c r="G2003" s="1">
        <v>0</v>
      </c>
      <c r="H2003" s="1">
        <v>0</v>
      </c>
      <c r="I2003" s="1">
        <v>0</v>
      </c>
      <c r="J2003" s="1">
        <v>0</v>
      </c>
      <c r="K2003" s="1">
        <v>0</v>
      </c>
      <c r="L2003" s="1">
        <v>0</v>
      </c>
      <c r="M2003" s="1">
        <v>0</v>
      </c>
      <c r="N2003" s="1">
        <v>0</v>
      </c>
      <c r="O2003" s="1">
        <v>0</v>
      </c>
      <c r="P2003" s="1">
        <v>0</v>
      </c>
      <c r="Q2003" s="1">
        <v>0</v>
      </c>
      <c r="R2003" s="1">
        <v>0</v>
      </c>
      <c r="S2003" s="1">
        <v>0</v>
      </c>
      <c r="T2003" s="1">
        <v>0</v>
      </c>
      <c r="U2003" s="1">
        <v>0</v>
      </c>
      <c r="V2003" s="1" t="s">
        <v>301</v>
      </c>
    </row>
    <row r="2004" spans="1:22">
      <c r="A2004" t="s">
        <v>195</v>
      </c>
      <c r="B2004" t="s">
        <v>57</v>
      </c>
      <c r="C2004" t="s">
        <v>58</v>
      </c>
      <c r="D2004" s="1">
        <v>0</v>
      </c>
      <c r="E2004" s="1">
        <v>0</v>
      </c>
      <c r="F2004" s="1">
        <v>0</v>
      </c>
      <c r="G2004" s="1">
        <v>0</v>
      </c>
      <c r="H2004" s="1">
        <v>0</v>
      </c>
      <c r="I2004" s="1">
        <v>0</v>
      </c>
      <c r="J2004" s="1">
        <v>0</v>
      </c>
      <c r="K2004" s="1">
        <v>0</v>
      </c>
      <c r="L2004" s="1">
        <v>0</v>
      </c>
      <c r="M2004" s="1">
        <v>0</v>
      </c>
      <c r="N2004" s="1">
        <v>0</v>
      </c>
      <c r="O2004" s="1">
        <v>0</v>
      </c>
      <c r="P2004" s="1">
        <v>0</v>
      </c>
      <c r="Q2004" s="1">
        <v>0</v>
      </c>
      <c r="R2004" s="1">
        <v>0</v>
      </c>
      <c r="S2004" s="1">
        <v>0</v>
      </c>
      <c r="T2004" s="1">
        <v>0</v>
      </c>
      <c r="U2004" s="1">
        <v>20</v>
      </c>
      <c r="V2004" s="1" t="s">
        <v>301</v>
      </c>
    </row>
    <row r="2005" spans="1:22">
      <c r="A2005" t="s">
        <v>195</v>
      </c>
      <c r="B2005" t="s">
        <v>57</v>
      </c>
      <c r="C2005" t="s">
        <v>59</v>
      </c>
      <c r="D2005" s="1">
        <v>0</v>
      </c>
      <c r="E2005" s="1">
        <v>1</v>
      </c>
      <c r="F2005" s="1">
        <v>3</v>
      </c>
      <c r="G2005" s="1">
        <v>6</v>
      </c>
      <c r="H2005" s="1">
        <v>3</v>
      </c>
      <c r="I2005" s="1">
        <v>0</v>
      </c>
      <c r="J2005" s="1">
        <v>2</v>
      </c>
      <c r="K2005" s="1">
        <v>2</v>
      </c>
      <c r="L2005" s="1">
        <v>3</v>
      </c>
      <c r="M2005" s="1">
        <v>6</v>
      </c>
      <c r="N2005" s="1">
        <v>3</v>
      </c>
      <c r="O2005" s="1">
        <v>2</v>
      </c>
      <c r="P2005" s="1">
        <v>5</v>
      </c>
      <c r="Q2005" s="1">
        <v>3</v>
      </c>
      <c r="R2005" s="1">
        <v>5</v>
      </c>
      <c r="S2005" s="1">
        <v>8</v>
      </c>
      <c r="T2005" s="1">
        <v>0</v>
      </c>
      <c r="U2005" s="1">
        <v>13</v>
      </c>
      <c r="V2005" s="1" t="s">
        <v>301</v>
      </c>
    </row>
    <row r="2006" spans="1:22">
      <c r="A2006" t="s">
        <v>195</v>
      </c>
      <c r="B2006" t="s">
        <v>57</v>
      </c>
      <c r="C2006" t="s">
        <v>60</v>
      </c>
      <c r="D2006" s="1">
        <v>0</v>
      </c>
      <c r="E2006" s="1">
        <v>0</v>
      </c>
      <c r="F2006" s="1">
        <v>0</v>
      </c>
      <c r="G2006" s="1">
        <v>0</v>
      </c>
      <c r="H2006" s="1">
        <v>0</v>
      </c>
      <c r="I2006" s="1">
        <v>0</v>
      </c>
      <c r="J2006" s="1">
        <v>0</v>
      </c>
      <c r="K2006" s="1">
        <v>0</v>
      </c>
      <c r="L2006" s="1">
        <v>0</v>
      </c>
      <c r="M2006" s="1">
        <v>0</v>
      </c>
      <c r="N2006" s="1">
        <v>0</v>
      </c>
      <c r="O2006" s="1">
        <v>0</v>
      </c>
      <c r="P2006" s="1">
        <v>0</v>
      </c>
      <c r="Q2006" s="1">
        <v>0</v>
      </c>
      <c r="R2006" s="1">
        <v>0</v>
      </c>
      <c r="S2006" s="1">
        <v>0</v>
      </c>
      <c r="T2006" s="1">
        <v>0</v>
      </c>
      <c r="U2006" s="1">
        <v>0</v>
      </c>
      <c r="V2006" s="1" t="s">
        <v>301</v>
      </c>
    </row>
    <row r="2007" spans="1:22">
      <c r="A2007" t="s">
        <v>195</v>
      </c>
      <c r="B2007" t="s">
        <v>57</v>
      </c>
      <c r="C2007" t="s">
        <v>61</v>
      </c>
      <c r="D2007" s="1">
        <v>0</v>
      </c>
      <c r="E2007" s="1">
        <v>0</v>
      </c>
      <c r="F2007" s="1">
        <v>0</v>
      </c>
      <c r="G2007" s="1">
        <v>0</v>
      </c>
      <c r="H2007" s="1">
        <v>0</v>
      </c>
      <c r="I2007" s="1">
        <v>0</v>
      </c>
      <c r="J2007" s="1">
        <v>0</v>
      </c>
      <c r="K2007" s="1">
        <v>0</v>
      </c>
      <c r="L2007" s="1">
        <v>0</v>
      </c>
      <c r="M2007" s="1">
        <v>0</v>
      </c>
      <c r="N2007" s="1">
        <v>0</v>
      </c>
      <c r="O2007" s="1">
        <v>0</v>
      </c>
      <c r="P2007" s="1">
        <v>0</v>
      </c>
      <c r="Q2007" s="1">
        <v>0</v>
      </c>
      <c r="R2007" s="1">
        <v>0</v>
      </c>
      <c r="S2007" s="1">
        <v>0</v>
      </c>
      <c r="T2007" s="1">
        <v>0</v>
      </c>
      <c r="U2007" s="1">
        <v>0</v>
      </c>
      <c r="V2007" s="1" t="s">
        <v>301</v>
      </c>
    </row>
    <row r="2008" spans="1:22">
      <c r="A2008" t="s">
        <v>195</v>
      </c>
      <c r="B2008" t="s">
        <v>57</v>
      </c>
      <c r="C2008" t="s">
        <v>62</v>
      </c>
      <c r="D2008" s="1">
        <v>0</v>
      </c>
      <c r="E2008" s="1">
        <v>0</v>
      </c>
      <c r="F2008" s="1">
        <v>1</v>
      </c>
      <c r="G2008" s="1">
        <v>0</v>
      </c>
      <c r="H2008" s="1">
        <v>0</v>
      </c>
      <c r="I2008" s="1">
        <v>0</v>
      </c>
      <c r="J2008" s="1">
        <v>0</v>
      </c>
      <c r="K2008" s="1">
        <v>0</v>
      </c>
      <c r="L2008" s="1">
        <v>0</v>
      </c>
      <c r="M2008" s="1">
        <v>1</v>
      </c>
      <c r="N2008" s="1">
        <v>0</v>
      </c>
      <c r="O2008" s="1">
        <v>1</v>
      </c>
      <c r="P2008" s="1">
        <v>0</v>
      </c>
      <c r="Q2008" s="1">
        <v>0</v>
      </c>
      <c r="R2008" s="1">
        <v>0</v>
      </c>
      <c r="S2008" s="1">
        <v>1</v>
      </c>
      <c r="T2008" s="1">
        <v>0</v>
      </c>
      <c r="U2008" s="1">
        <v>1</v>
      </c>
      <c r="V2008" s="1" t="s">
        <v>301</v>
      </c>
    </row>
    <row r="2009" spans="1:22">
      <c r="A2009" t="s">
        <v>195</v>
      </c>
      <c r="B2009" t="s">
        <v>57</v>
      </c>
      <c r="C2009" t="s">
        <v>63</v>
      </c>
      <c r="D2009" s="1">
        <v>0</v>
      </c>
      <c r="E2009" s="1">
        <v>0</v>
      </c>
      <c r="F2009" s="1">
        <v>0</v>
      </c>
      <c r="G2009" s="1">
        <v>0</v>
      </c>
      <c r="H2009" s="1">
        <v>0</v>
      </c>
      <c r="I2009" s="1">
        <v>0</v>
      </c>
      <c r="J2009" s="1">
        <v>0</v>
      </c>
      <c r="K2009" s="1">
        <v>0</v>
      </c>
      <c r="L2009" s="1">
        <v>0</v>
      </c>
      <c r="M2009" s="1">
        <v>0</v>
      </c>
      <c r="N2009" s="1">
        <v>0</v>
      </c>
      <c r="O2009" s="1">
        <v>0</v>
      </c>
      <c r="P2009" s="1">
        <v>0</v>
      </c>
      <c r="Q2009" s="1">
        <v>0</v>
      </c>
      <c r="R2009" s="1">
        <v>0</v>
      </c>
      <c r="S2009" s="1">
        <v>0</v>
      </c>
      <c r="T2009" s="1">
        <v>0</v>
      </c>
      <c r="U2009" s="1">
        <v>0</v>
      </c>
      <c r="V2009" s="1" t="s">
        <v>301</v>
      </c>
    </row>
    <row r="2010" spans="1:22">
      <c r="A2010" t="s">
        <v>195</v>
      </c>
      <c r="B2010" t="s">
        <v>57</v>
      </c>
      <c r="C2010" t="s">
        <v>64</v>
      </c>
      <c r="D2010" s="1">
        <v>0</v>
      </c>
      <c r="E2010" s="1">
        <v>1</v>
      </c>
      <c r="F2010" s="1">
        <v>4</v>
      </c>
      <c r="G2010" s="1">
        <v>6</v>
      </c>
      <c r="H2010" s="1">
        <v>3</v>
      </c>
      <c r="I2010" s="1">
        <v>0</v>
      </c>
      <c r="J2010" s="1">
        <v>2</v>
      </c>
      <c r="K2010" s="1">
        <v>2</v>
      </c>
      <c r="L2010" s="1">
        <v>3</v>
      </c>
      <c r="M2010" s="1">
        <v>7</v>
      </c>
      <c r="N2010" s="1">
        <v>3</v>
      </c>
      <c r="O2010" s="1">
        <v>3</v>
      </c>
      <c r="P2010" s="1">
        <v>5</v>
      </c>
      <c r="Q2010" s="1">
        <v>3</v>
      </c>
      <c r="R2010" s="1">
        <v>5</v>
      </c>
      <c r="S2010" s="1">
        <v>9</v>
      </c>
      <c r="T2010" s="1">
        <v>0</v>
      </c>
      <c r="U2010" s="1">
        <v>14</v>
      </c>
      <c r="V2010" s="1" t="s">
        <v>301</v>
      </c>
    </row>
    <row r="2011" spans="1:22">
      <c r="A2011" t="s">
        <v>195</v>
      </c>
      <c r="B2011" t="s">
        <v>57</v>
      </c>
      <c r="C2011" t="s">
        <v>65</v>
      </c>
      <c r="D2011" s="1">
        <v>0</v>
      </c>
      <c r="E2011" s="1">
        <v>0</v>
      </c>
      <c r="F2011" s="1">
        <v>0</v>
      </c>
      <c r="G2011" s="1">
        <v>0</v>
      </c>
      <c r="H2011" s="1">
        <v>0</v>
      </c>
      <c r="I2011" s="1">
        <v>0</v>
      </c>
      <c r="J2011" s="1">
        <v>0</v>
      </c>
      <c r="K2011" s="1">
        <v>0</v>
      </c>
      <c r="L2011" s="1">
        <v>0</v>
      </c>
      <c r="M2011" s="1">
        <v>0</v>
      </c>
      <c r="N2011" s="1">
        <v>0</v>
      </c>
      <c r="O2011" s="1">
        <v>0</v>
      </c>
      <c r="P2011" s="1">
        <v>0</v>
      </c>
      <c r="Q2011" s="1">
        <v>0</v>
      </c>
      <c r="R2011" s="1">
        <v>0</v>
      </c>
      <c r="S2011" s="1">
        <v>0</v>
      </c>
      <c r="T2011" s="1">
        <v>0</v>
      </c>
      <c r="U2011" s="1">
        <v>0</v>
      </c>
      <c r="V2011" s="1" t="s">
        <v>301</v>
      </c>
    </row>
    <row r="2012" spans="1:22">
      <c r="A2012" t="s">
        <v>196</v>
      </c>
      <c r="B2012" t="s">
        <v>57</v>
      </c>
      <c r="C2012" t="s">
        <v>58</v>
      </c>
      <c r="D2012" s="1">
        <v>0</v>
      </c>
      <c r="E2012" s="1">
        <v>0</v>
      </c>
      <c r="F2012" s="1">
        <v>0</v>
      </c>
      <c r="G2012" s="1">
        <v>0</v>
      </c>
      <c r="H2012" s="1">
        <v>0</v>
      </c>
      <c r="I2012" s="1">
        <v>0</v>
      </c>
      <c r="J2012" s="1">
        <v>0</v>
      </c>
      <c r="K2012" s="1">
        <v>0</v>
      </c>
      <c r="L2012" s="1">
        <v>0</v>
      </c>
      <c r="M2012" s="1">
        <v>0</v>
      </c>
      <c r="N2012" s="1">
        <v>0</v>
      </c>
      <c r="O2012" s="1">
        <v>0</v>
      </c>
      <c r="P2012" s="1">
        <v>0</v>
      </c>
      <c r="Q2012" s="1">
        <v>0</v>
      </c>
      <c r="R2012" s="1">
        <v>0</v>
      </c>
      <c r="S2012" s="1">
        <v>0</v>
      </c>
      <c r="T2012" s="1">
        <v>0</v>
      </c>
      <c r="U2012" s="1">
        <v>20</v>
      </c>
      <c r="V2012" s="1" t="s">
        <v>301</v>
      </c>
    </row>
    <row r="2013" spans="1:22">
      <c r="A2013" t="s">
        <v>196</v>
      </c>
      <c r="B2013" t="s">
        <v>57</v>
      </c>
      <c r="C2013" t="s">
        <v>59</v>
      </c>
      <c r="D2013" s="1">
        <v>0</v>
      </c>
      <c r="E2013" s="1">
        <v>2</v>
      </c>
      <c r="F2013" s="1">
        <v>1</v>
      </c>
      <c r="G2013" s="1">
        <v>14</v>
      </c>
      <c r="H2013" s="1">
        <v>3</v>
      </c>
      <c r="I2013" s="1">
        <v>1</v>
      </c>
      <c r="J2013" s="1">
        <v>4</v>
      </c>
      <c r="K2013" s="1">
        <v>1</v>
      </c>
      <c r="L2013" s="1">
        <v>1</v>
      </c>
      <c r="M2013" s="1">
        <v>13</v>
      </c>
      <c r="N2013" s="1">
        <v>5</v>
      </c>
      <c r="O2013" s="1">
        <v>5</v>
      </c>
      <c r="P2013" s="1">
        <v>7</v>
      </c>
      <c r="Q2013" s="1">
        <v>3</v>
      </c>
      <c r="R2013" s="1">
        <v>9</v>
      </c>
      <c r="S2013" s="1">
        <v>11</v>
      </c>
      <c r="T2013" s="1">
        <v>0</v>
      </c>
      <c r="U2013" s="1">
        <v>20</v>
      </c>
      <c r="V2013" s="1" t="s">
        <v>301</v>
      </c>
    </row>
    <row r="2014" spans="1:22">
      <c r="A2014" t="s">
        <v>196</v>
      </c>
      <c r="B2014" t="s">
        <v>57</v>
      </c>
      <c r="C2014" t="s">
        <v>60</v>
      </c>
      <c r="D2014" s="1">
        <v>0</v>
      </c>
      <c r="E2014" s="1">
        <v>0</v>
      </c>
      <c r="F2014" s="1">
        <v>0</v>
      </c>
      <c r="G2014" s="1">
        <v>0</v>
      </c>
      <c r="H2014" s="1">
        <v>0</v>
      </c>
      <c r="I2014" s="1">
        <v>0</v>
      </c>
      <c r="J2014" s="1">
        <v>0</v>
      </c>
      <c r="K2014" s="1">
        <v>0</v>
      </c>
      <c r="L2014" s="1">
        <v>0</v>
      </c>
      <c r="M2014" s="1">
        <v>0</v>
      </c>
      <c r="N2014" s="1">
        <v>0</v>
      </c>
      <c r="O2014" s="1">
        <v>0</v>
      </c>
      <c r="P2014" s="1">
        <v>0</v>
      </c>
      <c r="Q2014" s="1">
        <v>0</v>
      </c>
      <c r="R2014" s="1">
        <v>0</v>
      </c>
      <c r="S2014" s="1">
        <v>0</v>
      </c>
      <c r="T2014" s="1">
        <v>0</v>
      </c>
      <c r="U2014" s="1">
        <v>0</v>
      </c>
      <c r="V2014" s="1" t="s">
        <v>301</v>
      </c>
    </row>
    <row r="2015" spans="1:22">
      <c r="A2015" t="s">
        <v>196</v>
      </c>
      <c r="B2015" t="s">
        <v>57</v>
      </c>
      <c r="C2015" t="s">
        <v>61</v>
      </c>
      <c r="D2015" s="1">
        <v>0</v>
      </c>
      <c r="E2015" s="1">
        <v>0</v>
      </c>
      <c r="F2015" s="1">
        <v>0</v>
      </c>
      <c r="G2015" s="1">
        <v>0</v>
      </c>
      <c r="H2015" s="1">
        <v>0</v>
      </c>
      <c r="I2015" s="1">
        <v>0</v>
      </c>
      <c r="J2015" s="1">
        <v>0</v>
      </c>
      <c r="K2015" s="1">
        <v>0</v>
      </c>
      <c r="L2015" s="1">
        <v>0</v>
      </c>
      <c r="M2015" s="1">
        <v>0</v>
      </c>
      <c r="N2015" s="1">
        <v>0</v>
      </c>
      <c r="O2015" s="1">
        <v>0</v>
      </c>
      <c r="P2015" s="1">
        <v>0</v>
      </c>
      <c r="Q2015" s="1">
        <v>0</v>
      </c>
      <c r="R2015" s="1">
        <v>0</v>
      </c>
      <c r="S2015" s="1">
        <v>0</v>
      </c>
      <c r="T2015" s="1">
        <v>0</v>
      </c>
      <c r="U2015" s="1">
        <v>0</v>
      </c>
      <c r="V2015" s="1" t="s">
        <v>301</v>
      </c>
    </row>
    <row r="2016" spans="1:22">
      <c r="A2016" t="s">
        <v>196</v>
      </c>
      <c r="B2016" t="s">
        <v>57</v>
      </c>
      <c r="C2016" t="s">
        <v>62</v>
      </c>
      <c r="D2016" s="1">
        <v>0</v>
      </c>
      <c r="E2016" s="1">
        <v>0</v>
      </c>
      <c r="F2016" s="1">
        <v>2</v>
      </c>
      <c r="G2016" s="1">
        <v>1</v>
      </c>
      <c r="H2016" s="1">
        <v>0</v>
      </c>
      <c r="I2016" s="1">
        <v>0</v>
      </c>
      <c r="J2016" s="1">
        <v>0</v>
      </c>
      <c r="K2016" s="1">
        <v>1</v>
      </c>
      <c r="L2016" s="1">
        <v>0</v>
      </c>
      <c r="M2016" s="1">
        <v>2</v>
      </c>
      <c r="N2016" s="1">
        <v>2</v>
      </c>
      <c r="O2016" s="1">
        <v>0</v>
      </c>
      <c r="P2016" s="1">
        <v>1</v>
      </c>
      <c r="Q2016" s="1">
        <v>0</v>
      </c>
      <c r="R2016" s="1">
        <v>2</v>
      </c>
      <c r="S2016" s="1">
        <v>1</v>
      </c>
      <c r="T2016" s="1">
        <v>0</v>
      </c>
      <c r="U2016" s="1">
        <v>3</v>
      </c>
      <c r="V2016" s="1" t="s">
        <v>301</v>
      </c>
    </row>
    <row r="2017" spans="1:22">
      <c r="A2017" t="s">
        <v>196</v>
      </c>
      <c r="B2017" t="s">
        <v>57</v>
      </c>
      <c r="C2017" t="s">
        <v>63</v>
      </c>
      <c r="D2017" s="1">
        <v>0</v>
      </c>
      <c r="E2017" s="1">
        <v>0</v>
      </c>
      <c r="F2017" s="1">
        <v>0</v>
      </c>
      <c r="G2017" s="1">
        <v>0</v>
      </c>
      <c r="H2017" s="1">
        <v>0</v>
      </c>
      <c r="I2017" s="1">
        <v>0</v>
      </c>
      <c r="J2017" s="1">
        <v>0</v>
      </c>
      <c r="K2017" s="1">
        <v>0</v>
      </c>
      <c r="L2017" s="1">
        <v>0</v>
      </c>
      <c r="M2017" s="1">
        <v>0</v>
      </c>
      <c r="N2017" s="1">
        <v>0</v>
      </c>
      <c r="O2017" s="1">
        <v>0</v>
      </c>
      <c r="P2017" s="1">
        <v>0</v>
      </c>
      <c r="Q2017" s="1">
        <v>0</v>
      </c>
      <c r="R2017" s="1">
        <v>0</v>
      </c>
      <c r="S2017" s="1">
        <v>0</v>
      </c>
      <c r="T2017" s="1">
        <v>0</v>
      </c>
      <c r="U2017" s="1">
        <v>0</v>
      </c>
      <c r="V2017" s="1" t="s">
        <v>301</v>
      </c>
    </row>
    <row r="2018" spans="1:22">
      <c r="A2018" t="s">
        <v>196</v>
      </c>
      <c r="B2018" t="s">
        <v>57</v>
      </c>
      <c r="C2018" t="s">
        <v>64</v>
      </c>
      <c r="D2018" s="1">
        <v>0</v>
      </c>
      <c r="E2018" s="1">
        <v>2</v>
      </c>
      <c r="F2018" s="1">
        <v>3</v>
      </c>
      <c r="G2018" s="1">
        <v>15</v>
      </c>
      <c r="H2018" s="1">
        <v>3</v>
      </c>
      <c r="I2018" s="1">
        <v>1</v>
      </c>
      <c r="J2018" s="1">
        <v>4</v>
      </c>
      <c r="K2018" s="1">
        <v>2</v>
      </c>
      <c r="L2018" s="1">
        <v>1</v>
      </c>
      <c r="M2018" s="1">
        <v>15</v>
      </c>
      <c r="N2018" s="1">
        <v>7</v>
      </c>
      <c r="O2018" s="1">
        <v>5</v>
      </c>
      <c r="P2018" s="1">
        <v>8</v>
      </c>
      <c r="Q2018" s="1">
        <v>3</v>
      </c>
      <c r="R2018" s="1">
        <v>11</v>
      </c>
      <c r="S2018" s="1">
        <v>12</v>
      </c>
      <c r="T2018" s="1">
        <v>0</v>
      </c>
      <c r="U2018" s="1">
        <v>23</v>
      </c>
      <c r="V2018" s="1" t="s">
        <v>301</v>
      </c>
    </row>
    <row r="2019" spans="1:22">
      <c r="A2019" t="s">
        <v>196</v>
      </c>
      <c r="B2019" t="s">
        <v>57</v>
      </c>
      <c r="C2019" t="s">
        <v>65</v>
      </c>
      <c r="D2019" s="1">
        <v>0</v>
      </c>
      <c r="E2019" s="1">
        <v>0</v>
      </c>
      <c r="F2019" s="1">
        <v>0</v>
      </c>
      <c r="G2019" s="1">
        <v>0</v>
      </c>
      <c r="H2019" s="1">
        <v>0</v>
      </c>
      <c r="I2019" s="1">
        <v>0</v>
      </c>
      <c r="J2019" s="1">
        <v>0</v>
      </c>
      <c r="K2019" s="1">
        <v>0</v>
      </c>
      <c r="L2019" s="1">
        <v>0</v>
      </c>
      <c r="M2019" s="1">
        <v>0</v>
      </c>
      <c r="N2019" s="1">
        <v>0</v>
      </c>
      <c r="O2019" s="1">
        <v>0</v>
      </c>
      <c r="P2019" s="1">
        <v>0</v>
      </c>
      <c r="Q2019" s="1">
        <v>0</v>
      </c>
      <c r="R2019" s="1">
        <v>0</v>
      </c>
      <c r="S2019" s="1">
        <v>0</v>
      </c>
      <c r="T2019" s="1">
        <v>0</v>
      </c>
      <c r="U2019" s="1">
        <v>0</v>
      </c>
      <c r="V2019" s="1" t="s">
        <v>301</v>
      </c>
    </row>
    <row r="2020" spans="1:22">
      <c r="A2020" t="s">
        <v>55</v>
      </c>
      <c r="B2020" t="s">
        <v>57</v>
      </c>
      <c r="C2020" t="s">
        <v>58</v>
      </c>
      <c r="D2020" s="1">
        <v>0</v>
      </c>
      <c r="E2020" s="1">
        <v>0</v>
      </c>
      <c r="F2020" s="1">
        <v>0</v>
      </c>
      <c r="G2020" s="1">
        <v>0</v>
      </c>
      <c r="H2020" s="1">
        <v>0</v>
      </c>
      <c r="I2020" s="1">
        <v>0</v>
      </c>
      <c r="J2020" s="1">
        <v>0</v>
      </c>
      <c r="K2020" s="1">
        <v>0</v>
      </c>
      <c r="L2020" s="1">
        <v>0</v>
      </c>
      <c r="M2020" s="1">
        <v>0</v>
      </c>
      <c r="N2020" s="1">
        <v>0</v>
      </c>
      <c r="O2020" s="1">
        <v>0</v>
      </c>
      <c r="P2020" s="1">
        <v>0</v>
      </c>
      <c r="Q2020" s="1">
        <v>0</v>
      </c>
      <c r="R2020" s="1">
        <v>0</v>
      </c>
      <c r="S2020" s="1">
        <v>0</v>
      </c>
      <c r="T2020" s="1">
        <v>0</v>
      </c>
      <c r="U2020" s="1">
        <v>216</v>
      </c>
      <c r="V2020" s="1" t="s">
        <v>301</v>
      </c>
    </row>
    <row r="2021" spans="1:22">
      <c r="A2021" t="s">
        <v>55</v>
      </c>
      <c r="B2021" t="s">
        <v>57</v>
      </c>
      <c r="C2021" t="s">
        <v>59</v>
      </c>
      <c r="D2021" s="1">
        <v>3</v>
      </c>
      <c r="E2021" s="1">
        <v>11</v>
      </c>
      <c r="F2021" s="1">
        <v>23</v>
      </c>
      <c r="G2021" s="1">
        <v>39</v>
      </c>
      <c r="H2021" s="1">
        <v>29</v>
      </c>
      <c r="I2021" s="1">
        <v>2</v>
      </c>
      <c r="J2021" s="1">
        <v>12</v>
      </c>
      <c r="K2021" s="1">
        <v>22</v>
      </c>
      <c r="L2021" s="1">
        <v>16</v>
      </c>
      <c r="M2021" s="1">
        <v>53</v>
      </c>
      <c r="N2021" s="1">
        <v>29</v>
      </c>
      <c r="O2021" s="1">
        <v>24</v>
      </c>
      <c r="P2021" s="1">
        <v>35</v>
      </c>
      <c r="Q2021" s="1">
        <v>17</v>
      </c>
      <c r="R2021" s="1">
        <v>41</v>
      </c>
      <c r="S2021" s="1">
        <v>64</v>
      </c>
      <c r="T2021" s="1">
        <v>0</v>
      </c>
      <c r="U2021" s="1">
        <v>105</v>
      </c>
      <c r="V2021" s="1" t="s">
        <v>301</v>
      </c>
    </row>
    <row r="2022" spans="1:22">
      <c r="A2022" t="s">
        <v>55</v>
      </c>
      <c r="B2022" t="s">
        <v>57</v>
      </c>
      <c r="C2022" t="s">
        <v>60</v>
      </c>
      <c r="D2022" s="1">
        <v>0</v>
      </c>
      <c r="E2022" s="1">
        <v>0</v>
      </c>
      <c r="F2022" s="1">
        <v>0</v>
      </c>
      <c r="G2022" s="1">
        <v>0</v>
      </c>
      <c r="H2022" s="1">
        <v>0</v>
      </c>
      <c r="I2022" s="1">
        <v>0</v>
      </c>
      <c r="J2022" s="1">
        <v>0</v>
      </c>
      <c r="K2022" s="1">
        <v>0</v>
      </c>
      <c r="L2022" s="1">
        <v>0</v>
      </c>
      <c r="M2022" s="1">
        <v>0</v>
      </c>
      <c r="N2022" s="1">
        <v>0</v>
      </c>
      <c r="O2022" s="1">
        <v>0</v>
      </c>
      <c r="P2022" s="1">
        <v>0</v>
      </c>
      <c r="Q2022" s="1">
        <v>0</v>
      </c>
      <c r="R2022" s="1">
        <v>0</v>
      </c>
      <c r="S2022" s="1">
        <v>0</v>
      </c>
      <c r="T2022" s="1">
        <v>0</v>
      </c>
      <c r="U2022" s="1">
        <v>0</v>
      </c>
      <c r="V2022" s="1" t="s">
        <v>301</v>
      </c>
    </row>
    <row r="2023" spans="1:22">
      <c r="A2023" t="s">
        <v>55</v>
      </c>
      <c r="B2023" t="s">
        <v>57</v>
      </c>
      <c r="C2023" t="s">
        <v>61</v>
      </c>
      <c r="D2023" s="1">
        <v>0</v>
      </c>
      <c r="E2023" s="1">
        <v>0</v>
      </c>
      <c r="F2023" s="1">
        <v>0</v>
      </c>
      <c r="G2023" s="1">
        <v>0</v>
      </c>
      <c r="H2023" s="1">
        <v>0</v>
      </c>
      <c r="I2023" s="1">
        <v>0</v>
      </c>
      <c r="J2023" s="1">
        <v>0</v>
      </c>
      <c r="K2023" s="1">
        <v>0</v>
      </c>
      <c r="L2023" s="1">
        <v>0</v>
      </c>
      <c r="M2023" s="1">
        <v>0</v>
      </c>
      <c r="N2023" s="1">
        <v>0</v>
      </c>
      <c r="O2023" s="1">
        <v>0</v>
      </c>
      <c r="P2023" s="1">
        <v>0</v>
      </c>
      <c r="Q2023" s="1">
        <v>0</v>
      </c>
      <c r="R2023" s="1">
        <v>0</v>
      </c>
      <c r="S2023" s="1">
        <v>0</v>
      </c>
      <c r="T2023" s="1">
        <v>0</v>
      </c>
      <c r="U2023" s="1">
        <v>0</v>
      </c>
      <c r="V2023" s="1" t="s">
        <v>301</v>
      </c>
    </row>
    <row r="2024" spans="1:22">
      <c r="A2024" t="s">
        <v>55</v>
      </c>
      <c r="B2024" t="s">
        <v>57</v>
      </c>
      <c r="C2024" t="s">
        <v>62</v>
      </c>
      <c r="D2024" s="1">
        <v>2</v>
      </c>
      <c r="E2024" s="1">
        <v>1</v>
      </c>
      <c r="F2024" s="1">
        <v>7</v>
      </c>
      <c r="G2024" s="1">
        <v>2</v>
      </c>
      <c r="H2024" s="1">
        <v>0</v>
      </c>
      <c r="I2024" s="1">
        <v>0</v>
      </c>
      <c r="J2024" s="1">
        <v>1</v>
      </c>
      <c r="K2024" s="1">
        <v>3</v>
      </c>
      <c r="L2024" s="1">
        <v>2</v>
      </c>
      <c r="M2024" s="1">
        <v>6</v>
      </c>
      <c r="N2024" s="1">
        <v>4</v>
      </c>
      <c r="O2024" s="1">
        <v>3</v>
      </c>
      <c r="P2024" s="1">
        <v>4</v>
      </c>
      <c r="Q2024" s="1">
        <v>1</v>
      </c>
      <c r="R2024" s="1">
        <v>4</v>
      </c>
      <c r="S2024" s="1">
        <v>8</v>
      </c>
      <c r="T2024" s="1">
        <v>0</v>
      </c>
      <c r="U2024" s="1">
        <v>12</v>
      </c>
      <c r="V2024" s="1" t="s">
        <v>301</v>
      </c>
    </row>
    <row r="2025" spans="1:22">
      <c r="A2025" t="s">
        <v>55</v>
      </c>
      <c r="B2025" t="s">
        <v>57</v>
      </c>
      <c r="C2025" t="s">
        <v>63</v>
      </c>
      <c r="D2025" s="1">
        <v>0</v>
      </c>
      <c r="E2025" s="1">
        <v>0</v>
      </c>
      <c r="F2025" s="1">
        <v>0</v>
      </c>
      <c r="G2025" s="1">
        <v>0</v>
      </c>
      <c r="H2025" s="1">
        <v>0</v>
      </c>
      <c r="I2025" s="1">
        <v>0</v>
      </c>
      <c r="J2025" s="1">
        <v>0</v>
      </c>
      <c r="K2025" s="1">
        <v>0</v>
      </c>
      <c r="L2025" s="1">
        <v>0</v>
      </c>
      <c r="M2025" s="1">
        <v>0</v>
      </c>
      <c r="N2025" s="1">
        <v>0</v>
      </c>
      <c r="O2025" s="1">
        <v>0</v>
      </c>
      <c r="P2025" s="1">
        <v>0</v>
      </c>
      <c r="Q2025" s="1">
        <v>0</v>
      </c>
      <c r="R2025" s="1">
        <v>0</v>
      </c>
      <c r="S2025" s="1">
        <v>0</v>
      </c>
      <c r="T2025" s="1">
        <v>0</v>
      </c>
      <c r="U2025" s="1">
        <v>0</v>
      </c>
      <c r="V2025" s="1" t="s">
        <v>301</v>
      </c>
    </row>
    <row r="2026" spans="1:22">
      <c r="A2026" t="s">
        <v>55</v>
      </c>
      <c r="B2026" t="s">
        <v>57</v>
      </c>
      <c r="C2026" t="s">
        <v>64</v>
      </c>
      <c r="D2026" s="1">
        <v>5</v>
      </c>
      <c r="E2026" s="1">
        <v>12</v>
      </c>
      <c r="F2026" s="1">
        <v>30</v>
      </c>
      <c r="G2026" s="1">
        <v>41</v>
      </c>
      <c r="H2026" s="1">
        <v>29</v>
      </c>
      <c r="I2026" s="1">
        <v>2</v>
      </c>
      <c r="J2026" s="1">
        <v>13</v>
      </c>
      <c r="K2026" s="1">
        <v>25</v>
      </c>
      <c r="L2026" s="1">
        <v>18</v>
      </c>
      <c r="M2026" s="1">
        <v>59</v>
      </c>
      <c r="N2026" s="1">
        <v>33</v>
      </c>
      <c r="O2026" s="1">
        <v>27</v>
      </c>
      <c r="P2026" s="1">
        <v>39</v>
      </c>
      <c r="Q2026" s="1">
        <v>18</v>
      </c>
      <c r="R2026" s="1">
        <v>45</v>
      </c>
      <c r="S2026" s="1">
        <v>72</v>
      </c>
      <c r="T2026" s="1">
        <v>0</v>
      </c>
      <c r="U2026" s="1">
        <v>117</v>
      </c>
      <c r="V2026" s="1" t="s">
        <v>301</v>
      </c>
    </row>
    <row r="2027" spans="1:22">
      <c r="A2027" t="s">
        <v>55</v>
      </c>
      <c r="B2027" t="s">
        <v>57</v>
      </c>
      <c r="C2027" t="s">
        <v>65</v>
      </c>
      <c r="D2027" s="1">
        <v>0</v>
      </c>
      <c r="E2027" s="1">
        <v>0</v>
      </c>
      <c r="F2027" s="1">
        <v>0</v>
      </c>
      <c r="G2027" s="1">
        <v>1</v>
      </c>
      <c r="H2027" s="1">
        <v>0</v>
      </c>
      <c r="I2027" s="1">
        <v>0</v>
      </c>
      <c r="J2027" s="1">
        <v>0</v>
      </c>
      <c r="K2027" s="1">
        <v>0</v>
      </c>
      <c r="L2027" s="1">
        <v>0</v>
      </c>
      <c r="M2027" s="1">
        <v>1</v>
      </c>
      <c r="N2027" s="1">
        <v>0</v>
      </c>
      <c r="O2027" s="1">
        <v>0</v>
      </c>
      <c r="P2027" s="1">
        <v>1</v>
      </c>
      <c r="Q2027" s="1">
        <v>0</v>
      </c>
      <c r="R2027" s="1">
        <v>0</v>
      </c>
      <c r="S2027" s="1">
        <v>1</v>
      </c>
      <c r="T2027" s="1">
        <v>0</v>
      </c>
      <c r="U2027" s="1">
        <v>1</v>
      </c>
      <c r="V2027" s="1" t="s">
        <v>301</v>
      </c>
    </row>
    <row r="2029" spans="1:22">
      <c r="A2029">
        <f>setup!C35</f>
        <v>3838</v>
      </c>
    </row>
    <row r="2030" spans="1:22">
      <c r="A2030" t="str">
        <f>_xlfn.CONCAT(setup!D35," - ",setup!E35)</f>
        <v>OSEP – ADHD - Digital - OSEP_ADHD_D</v>
      </c>
      <c r="D2030" s="1"/>
      <c r="E2030" s="1"/>
      <c r="F2030" s="1"/>
      <c r="G2030" s="1"/>
      <c r="H2030" s="1"/>
      <c r="I2030" s="1"/>
      <c r="J2030" s="1"/>
      <c r="K2030" s="1"/>
      <c r="L2030" s="1"/>
      <c r="M2030" s="1"/>
      <c r="N2030" s="1"/>
      <c r="O2030" s="1"/>
      <c r="P2030" s="1"/>
      <c r="Q2030" s="1"/>
      <c r="R2030" s="1"/>
      <c r="S2030" s="1"/>
      <c r="T2030" s="1"/>
      <c r="U2030" s="1"/>
    </row>
    <row r="2031" spans="1:22">
      <c r="A2031" t="s">
        <v>35</v>
      </c>
      <c r="B2031" t="s">
        <v>36</v>
      </c>
      <c r="C2031" t="s">
        <v>37</v>
      </c>
      <c r="D2031" s="1" t="s">
        <v>38</v>
      </c>
      <c r="E2031" s="1" t="s">
        <v>39</v>
      </c>
      <c r="F2031" s="1" t="s">
        <v>40</v>
      </c>
      <c r="G2031" s="1" t="s">
        <v>41</v>
      </c>
      <c r="H2031" s="1" t="s">
        <v>42</v>
      </c>
      <c r="I2031" s="1" t="s">
        <v>43</v>
      </c>
      <c r="J2031" s="1" t="s">
        <v>44</v>
      </c>
      <c r="K2031" s="1" t="s">
        <v>45</v>
      </c>
      <c r="L2031" s="1" t="s">
        <v>46</v>
      </c>
      <c r="M2031" s="1" t="s">
        <v>47</v>
      </c>
      <c r="N2031" s="1" t="s">
        <v>48</v>
      </c>
      <c r="O2031" s="1" t="s">
        <v>49</v>
      </c>
      <c r="P2031" s="1" t="s">
        <v>50</v>
      </c>
      <c r="Q2031" s="1" t="s">
        <v>51</v>
      </c>
      <c r="R2031" s="1" t="s">
        <v>52</v>
      </c>
      <c r="S2031" s="1" t="s">
        <v>53</v>
      </c>
      <c r="T2031" t="s">
        <v>54</v>
      </c>
      <c r="U2031" s="1" t="s">
        <v>55</v>
      </c>
      <c r="V2031" t="s">
        <v>56</v>
      </c>
    </row>
    <row r="2032" spans="1:22">
      <c r="A2032" t="s">
        <v>187</v>
      </c>
      <c r="B2032" t="s">
        <v>57</v>
      </c>
      <c r="C2032" t="s">
        <v>58</v>
      </c>
      <c r="D2032" s="1">
        <v>0</v>
      </c>
      <c r="E2032" s="1">
        <v>0</v>
      </c>
      <c r="F2032" s="1">
        <v>0</v>
      </c>
      <c r="G2032" s="1">
        <v>0</v>
      </c>
      <c r="H2032" s="1">
        <v>0</v>
      </c>
      <c r="I2032" s="1">
        <v>0</v>
      </c>
      <c r="J2032" s="1">
        <v>0</v>
      </c>
      <c r="K2032" s="1">
        <v>0</v>
      </c>
      <c r="L2032" s="1">
        <v>0</v>
      </c>
      <c r="M2032" s="1">
        <v>0</v>
      </c>
      <c r="N2032" s="1">
        <v>0</v>
      </c>
      <c r="O2032" s="1">
        <v>0</v>
      </c>
      <c r="P2032" s="1">
        <v>0</v>
      </c>
      <c r="Q2032" s="1">
        <v>0</v>
      </c>
      <c r="R2032" s="1">
        <v>0</v>
      </c>
      <c r="S2032" s="1">
        <v>0</v>
      </c>
      <c r="T2032" s="1">
        <v>0</v>
      </c>
      <c r="U2032" s="1">
        <v>4</v>
      </c>
      <c r="V2032" s="1" t="s">
        <v>301</v>
      </c>
    </row>
    <row r="2033" spans="1:22">
      <c r="A2033" t="s">
        <v>187</v>
      </c>
      <c r="B2033" t="s">
        <v>57</v>
      </c>
      <c r="C2033" t="s">
        <v>59</v>
      </c>
      <c r="D2033" s="1">
        <v>0</v>
      </c>
      <c r="E2033" s="1">
        <v>1</v>
      </c>
      <c r="F2033" s="1">
        <v>0</v>
      </c>
      <c r="G2033" s="1">
        <v>0</v>
      </c>
      <c r="H2033" s="1">
        <v>1</v>
      </c>
      <c r="I2033" s="1">
        <v>0</v>
      </c>
      <c r="J2033" s="1">
        <v>2</v>
      </c>
      <c r="K2033" s="1">
        <v>0</v>
      </c>
      <c r="L2033" s="1">
        <v>0</v>
      </c>
      <c r="M2033" s="1">
        <v>0</v>
      </c>
      <c r="N2033" s="1">
        <v>0</v>
      </c>
      <c r="O2033" s="1">
        <v>0</v>
      </c>
      <c r="P2033" s="1">
        <v>2</v>
      </c>
      <c r="Q2033" s="1">
        <v>0</v>
      </c>
      <c r="R2033" s="1">
        <v>2</v>
      </c>
      <c r="S2033" s="1">
        <v>0</v>
      </c>
      <c r="T2033" s="1">
        <v>0</v>
      </c>
      <c r="U2033" s="1">
        <v>2</v>
      </c>
      <c r="V2033" s="1" t="s">
        <v>301</v>
      </c>
    </row>
    <row r="2034" spans="1:22">
      <c r="A2034" t="s">
        <v>187</v>
      </c>
      <c r="B2034" t="s">
        <v>57</v>
      </c>
      <c r="C2034" t="s">
        <v>60</v>
      </c>
      <c r="D2034" s="1">
        <v>0</v>
      </c>
      <c r="E2034" s="1">
        <v>0</v>
      </c>
      <c r="F2034" s="1">
        <v>0</v>
      </c>
      <c r="G2034" s="1">
        <v>0</v>
      </c>
      <c r="H2034" s="1">
        <v>0</v>
      </c>
      <c r="I2034" s="1">
        <v>0</v>
      </c>
      <c r="J2034" s="1">
        <v>0</v>
      </c>
      <c r="K2034" s="1">
        <v>0</v>
      </c>
      <c r="L2034" s="1">
        <v>0</v>
      </c>
      <c r="M2034" s="1">
        <v>0</v>
      </c>
      <c r="N2034" s="1">
        <v>0</v>
      </c>
      <c r="O2034" s="1">
        <v>0</v>
      </c>
      <c r="P2034" s="1">
        <v>0</v>
      </c>
      <c r="Q2034" s="1">
        <v>0</v>
      </c>
      <c r="R2034" s="1">
        <v>0</v>
      </c>
      <c r="S2034" s="1">
        <v>0</v>
      </c>
      <c r="T2034" s="1">
        <v>0</v>
      </c>
      <c r="U2034" s="1">
        <v>0</v>
      </c>
      <c r="V2034" s="1" t="s">
        <v>301</v>
      </c>
    </row>
    <row r="2035" spans="1:22">
      <c r="A2035" t="s">
        <v>187</v>
      </c>
      <c r="B2035" t="s">
        <v>57</v>
      </c>
      <c r="C2035" t="s">
        <v>61</v>
      </c>
      <c r="D2035" s="1">
        <v>0</v>
      </c>
      <c r="E2035" s="1">
        <v>0</v>
      </c>
      <c r="F2035" s="1">
        <v>0</v>
      </c>
      <c r="G2035" s="1">
        <v>0</v>
      </c>
      <c r="H2035" s="1">
        <v>0</v>
      </c>
      <c r="I2035" s="1">
        <v>0</v>
      </c>
      <c r="J2035" s="1">
        <v>0</v>
      </c>
      <c r="K2035" s="1">
        <v>0</v>
      </c>
      <c r="L2035" s="1">
        <v>0</v>
      </c>
      <c r="M2035" s="1">
        <v>0</v>
      </c>
      <c r="N2035" s="1">
        <v>0</v>
      </c>
      <c r="O2035" s="1">
        <v>0</v>
      </c>
      <c r="P2035" s="1">
        <v>0</v>
      </c>
      <c r="Q2035" s="1">
        <v>0</v>
      </c>
      <c r="R2035" s="1">
        <v>0</v>
      </c>
      <c r="S2035" s="1">
        <v>0</v>
      </c>
      <c r="T2035" s="1">
        <v>0</v>
      </c>
      <c r="U2035" s="1">
        <v>0</v>
      </c>
      <c r="V2035" s="1" t="s">
        <v>301</v>
      </c>
    </row>
    <row r="2036" spans="1:22">
      <c r="A2036" t="s">
        <v>187</v>
      </c>
      <c r="B2036" t="s">
        <v>57</v>
      </c>
      <c r="C2036" t="s">
        <v>62</v>
      </c>
      <c r="D2036" s="1">
        <v>0</v>
      </c>
      <c r="E2036" s="1">
        <v>0</v>
      </c>
      <c r="F2036" s="1">
        <v>0</v>
      </c>
      <c r="G2036" s="1">
        <v>0</v>
      </c>
      <c r="H2036" s="1">
        <v>0</v>
      </c>
      <c r="I2036" s="1">
        <v>0</v>
      </c>
      <c r="J2036" s="1">
        <v>0</v>
      </c>
      <c r="K2036" s="1">
        <v>0</v>
      </c>
      <c r="L2036" s="1">
        <v>0</v>
      </c>
      <c r="M2036" s="1">
        <v>0</v>
      </c>
      <c r="N2036" s="1">
        <v>0</v>
      </c>
      <c r="O2036" s="1">
        <v>0</v>
      </c>
      <c r="P2036" s="1">
        <v>0</v>
      </c>
      <c r="Q2036" s="1">
        <v>0</v>
      </c>
      <c r="R2036" s="1">
        <v>0</v>
      </c>
      <c r="S2036" s="1">
        <v>0</v>
      </c>
      <c r="T2036" s="1">
        <v>0</v>
      </c>
      <c r="U2036" s="1">
        <v>0</v>
      </c>
      <c r="V2036" s="1" t="s">
        <v>301</v>
      </c>
    </row>
    <row r="2037" spans="1:22">
      <c r="A2037" t="s">
        <v>187</v>
      </c>
      <c r="B2037" t="s">
        <v>57</v>
      </c>
      <c r="C2037" t="s">
        <v>63</v>
      </c>
      <c r="D2037" s="1">
        <v>0</v>
      </c>
      <c r="E2037" s="1">
        <v>0</v>
      </c>
      <c r="F2037" s="1">
        <v>0</v>
      </c>
      <c r="G2037" s="1">
        <v>0</v>
      </c>
      <c r="H2037" s="1">
        <v>0</v>
      </c>
      <c r="I2037" s="1">
        <v>0</v>
      </c>
      <c r="J2037" s="1">
        <v>0</v>
      </c>
      <c r="K2037" s="1">
        <v>0</v>
      </c>
      <c r="L2037" s="1">
        <v>0</v>
      </c>
      <c r="M2037" s="1">
        <v>0</v>
      </c>
      <c r="N2037" s="1">
        <v>0</v>
      </c>
      <c r="O2037" s="1">
        <v>0</v>
      </c>
      <c r="P2037" s="1">
        <v>0</v>
      </c>
      <c r="Q2037" s="1">
        <v>0</v>
      </c>
      <c r="R2037" s="1">
        <v>0</v>
      </c>
      <c r="S2037" s="1">
        <v>0</v>
      </c>
      <c r="T2037" s="1">
        <v>0</v>
      </c>
      <c r="U2037" s="1">
        <v>0</v>
      </c>
      <c r="V2037" s="1" t="s">
        <v>301</v>
      </c>
    </row>
    <row r="2038" spans="1:22">
      <c r="A2038" t="s">
        <v>187</v>
      </c>
      <c r="B2038" t="s">
        <v>57</v>
      </c>
      <c r="C2038" t="s">
        <v>64</v>
      </c>
      <c r="D2038" s="1">
        <v>0</v>
      </c>
      <c r="E2038" s="1">
        <v>1</v>
      </c>
      <c r="F2038" s="1">
        <v>0</v>
      </c>
      <c r="G2038" s="1">
        <v>0</v>
      </c>
      <c r="H2038" s="1">
        <v>1</v>
      </c>
      <c r="I2038" s="1">
        <v>0</v>
      </c>
      <c r="J2038" s="1">
        <v>2</v>
      </c>
      <c r="K2038" s="1">
        <v>0</v>
      </c>
      <c r="L2038" s="1">
        <v>0</v>
      </c>
      <c r="M2038" s="1">
        <v>0</v>
      </c>
      <c r="N2038" s="1">
        <v>0</v>
      </c>
      <c r="O2038" s="1">
        <v>0</v>
      </c>
      <c r="P2038" s="1">
        <v>2</v>
      </c>
      <c r="Q2038" s="1">
        <v>0</v>
      </c>
      <c r="R2038" s="1">
        <v>2</v>
      </c>
      <c r="S2038" s="1">
        <v>0</v>
      </c>
      <c r="T2038" s="1">
        <v>0</v>
      </c>
      <c r="U2038" s="1">
        <v>2</v>
      </c>
      <c r="V2038" s="1" t="s">
        <v>301</v>
      </c>
    </row>
    <row r="2039" spans="1:22">
      <c r="A2039" t="s">
        <v>187</v>
      </c>
      <c r="B2039" t="s">
        <v>57</v>
      </c>
      <c r="C2039" t="s">
        <v>65</v>
      </c>
      <c r="D2039" s="1">
        <v>0</v>
      </c>
      <c r="E2039" s="1">
        <v>0</v>
      </c>
      <c r="F2039" s="1">
        <v>0</v>
      </c>
      <c r="G2039" s="1">
        <v>0</v>
      </c>
      <c r="H2039" s="1">
        <v>0</v>
      </c>
      <c r="I2039" s="1">
        <v>0</v>
      </c>
      <c r="J2039" s="1">
        <v>0</v>
      </c>
      <c r="K2039" s="1">
        <v>0</v>
      </c>
      <c r="L2039" s="1">
        <v>0</v>
      </c>
      <c r="M2039" s="1">
        <v>0</v>
      </c>
      <c r="N2039" s="1">
        <v>0</v>
      </c>
      <c r="O2039" s="1">
        <v>0</v>
      </c>
      <c r="P2039" s="1">
        <v>0</v>
      </c>
      <c r="Q2039" s="1">
        <v>0</v>
      </c>
      <c r="R2039" s="1">
        <v>0</v>
      </c>
      <c r="S2039" s="1">
        <v>0</v>
      </c>
      <c r="T2039" s="1">
        <v>0</v>
      </c>
      <c r="U2039" s="1">
        <v>0</v>
      </c>
      <c r="V2039" s="1" t="s">
        <v>301</v>
      </c>
    </row>
    <row r="2040" spans="1:22">
      <c r="A2040" t="s">
        <v>188</v>
      </c>
      <c r="B2040" t="s">
        <v>57</v>
      </c>
      <c r="C2040" t="s">
        <v>58</v>
      </c>
      <c r="D2040" s="1">
        <v>0</v>
      </c>
      <c r="E2040" s="1">
        <v>0</v>
      </c>
      <c r="F2040" s="1">
        <v>0</v>
      </c>
      <c r="G2040" s="1">
        <v>0</v>
      </c>
      <c r="H2040" s="1">
        <v>0</v>
      </c>
      <c r="I2040" s="1">
        <v>0</v>
      </c>
      <c r="J2040" s="1">
        <v>0</v>
      </c>
      <c r="K2040" s="1">
        <v>0</v>
      </c>
      <c r="L2040" s="1">
        <v>0</v>
      </c>
      <c r="M2040" s="1">
        <v>0</v>
      </c>
      <c r="N2040" s="1">
        <v>0</v>
      </c>
      <c r="O2040" s="1">
        <v>0</v>
      </c>
      <c r="P2040" s="1">
        <v>0</v>
      </c>
      <c r="Q2040" s="1">
        <v>0</v>
      </c>
      <c r="R2040" s="1">
        <v>0</v>
      </c>
      <c r="S2040" s="1">
        <v>0</v>
      </c>
      <c r="T2040" s="1">
        <v>0</v>
      </c>
      <c r="U2040" s="1">
        <v>5</v>
      </c>
      <c r="V2040" s="1" t="s">
        <v>301</v>
      </c>
    </row>
    <row r="2041" spans="1:22">
      <c r="A2041" t="s">
        <v>188</v>
      </c>
      <c r="B2041" t="s">
        <v>57</v>
      </c>
      <c r="C2041" t="s">
        <v>59</v>
      </c>
      <c r="D2041" s="1">
        <v>1</v>
      </c>
      <c r="E2041" s="1">
        <v>0</v>
      </c>
      <c r="F2041" s="1">
        <v>0</v>
      </c>
      <c r="G2041" s="1">
        <v>0</v>
      </c>
      <c r="H2041" s="1">
        <v>0</v>
      </c>
      <c r="I2041" s="1">
        <v>0</v>
      </c>
      <c r="J2041" s="1">
        <v>0</v>
      </c>
      <c r="K2041" s="1">
        <v>0</v>
      </c>
      <c r="L2041" s="1">
        <v>0</v>
      </c>
      <c r="M2041" s="1">
        <v>1</v>
      </c>
      <c r="N2041" s="1">
        <v>1</v>
      </c>
      <c r="O2041" s="1">
        <v>0</v>
      </c>
      <c r="P2041" s="1">
        <v>0</v>
      </c>
      <c r="Q2041" s="1">
        <v>0</v>
      </c>
      <c r="R2041" s="1">
        <v>0</v>
      </c>
      <c r="S2041" s="1">
        <v>1</v>
      </c>
      <c r="T2041" s="1">
        <v>0</v>
      </c>
      <c r="U2041" s="1">
        <v>1</v>
      </c>
      <c r="V2041" s="1" t="s">
        <v>301</v>
      </c>
    </row>
    <row r="2042" spans="1:22">
      <c r="A2042" t="s">
        <v>188</v>
      </c>
      <c r="B2042" t="s">
        <v>57</v>
      </c>
      <c r="C2042" t="s">
        <v>60</v>
      </c>
      <c r="D2042" s="1">
        <v>0</v>
      </c>
      <c r="E2042" s="1">
        <v>0</v>
      </c>
      <c r="F2042" s="1">
        <v>0</v>
      </c>
      <c r="G2042" s="1">
        <v>0</v>
      </c>
      <c r="H2042" s="1">
        <v>0</v>
      </c>
      <c r="I2042" s="1">
        <v>0</v>
      </c>
      <c r="J2042" s="1">
        <v>0</v>
      </c>
      <c r="K2042" s="1">
        <v>0</v>
      </c>
      <c r="L2042" s="1">
        <v>0</v>
      </c>
      <c r="M2042" s="1">
        <v>0</v>
      </c>
      <c r="N2042" s="1">
        <v>0</v>
      </c>
      <c r="O2042" s="1">
        <v>0</v>
      </c>
      <c r="P2042" s="1">
        <v>0</v>
      </c>
      <c r="Q2042" s="1">
        <v>0</v>
      </c>
      <c r="R2042" s="1">
        <v>0</v>
      </c>
      <c r="S2042" s="1">
        <v>0</v>
      </c>
      <c r="T2042" s="1">
        <v>0</v>
      </c>
      <c r="U2042" s="1">
        <v>0</v>
      </c>
      <c r="V2042" s="1" t="s">
        <v>301</v>
      </c>
    </row>
    <row r="2043" spans="1:22">
      <c r="A2043" t="s">
        <v>188</v>
      </c>
      <c r="B2043" t="s">
        <v>57</v>
      </c>
      <c r="C2043" t="s">
        <v>61</v>
      </c>
      <c r="D2043" s="1">
        <v>0</v>
      </c>
      <c r="E2043" s="1">
        <v>0</v>
      </c>
      <c r="F2043" s="1">
        <v>0</v>
      </c>
      <c r="G2043" s="1">
        <v>0</v>
      </c>
      <c r="H2043" s="1">
        <v>0</v>
      </c>
      <c r="I2043" s="1">
        <v>0</v>
      </c>
      <c r="J2043" s="1">
        <v>0</v>
      </c>
      <c r="K2043" s="1">
        <v>0</v>
      </c>
      <c r="L2043" s="1">
        <v>0</v>
      </c>
      <c r="M2043" s="1">
        <v>0</v>
      </c>
      <c r="N2043" s="1">
        <v>0</v>
      </c>
      <c r="O2043" s="1">
        <v>0</v>
      </c>
      <c r="P2043" s="1">
        <v>0</v>
      </c>
      <c r="Q2043" s="1">
        <v>0</v>
      </c>
      <c r="R2043" s="1">
        <v>0</v>
      </c>
      <c r="S2043" s="1">
        <v>0</v>
      </c>
      <c r="T2043" s="1">
        <v>0</v>
      </c>
      <c r="U2043" s="1">
        <v>0</v>
      </c>
      <c r="V2043" s="1" t="s">
        <v>301</v>
      </c>
    </row>
    <row r="2044" spans="1:22">
      <c r="A2044" t="s">
        <v>188</v>
      </c>
      <c r="B2044" t="s">
        <v>57</v>
      </c>
      <c r="C2044" t="s">
        <v>62</v>
      </c>
      <c r="D2044" s="1">
        <v>0</v>
      </c>
      <c r="E2044" s="1">
        <v>0</v>
      </c>
      <c r="F2044" s="1">
        <v>0</v>
      </c>
      <c r="G2044" s="1">
        <v>0</v>
      </c>
      <c r="H2044" s="1">
        <v>0</v>
      </c>
      <c r="I2044" s="1">
        <v>0</v>
      </c>
      <c r="J2044" s="1">
        <v>0</v>
      </c>
      <c r="K2044" s="1">
        <v>0</v>
      </c>
      <c r="L2044" s="1">
        <v>0</v>
      </c>
      <c r="M2044" s="1">
        <v>0</v>
      </c>
      <c r="N2044" s="1">
        <v>0</v>
      </c>
      <c r="O2044" s="1">
        <v>0</v>
      </c>
      <c r="P2044" s="1">
        <v>0</v>
      </c>
      <c r="Q2044" s="1">
        <v>0</v>
      </c>
      <c r="R2044" s="1">
        <v>0</v>
      </c>
      <c r="S2044" s="1">
        <v>0</v>
      </c>
      <c r="T2044" s="1">
        <v>0</v>
      </c>
      <c r="U2044" s="1">
        <v>0</v>
      </c>
      <c r="V2044" s="1" t="s">
        <v>301</v>
      </c>
    </row>
    <row r="2045" spans="1:22">
      <c r="A2045" t="s">
        <v>188</v>
      </c>
      <c r="B2045" t="s">
        <v>57</v>
      </c>
      <c r="C2045" t="s">
        <v>63</v>
      </c>
      <c r="D2045" s="1">
        <v>0</v>
      </c>
      <c r="E2045" s="1">
        <v>0</v>
      </c>
      <c r="F2045" s="1">
        <v>0</v>
      </c>
      <c r="G2045" s="1">
        <v>0</v>
      </c>
      <c r="H2045" s="1">
        <v>0</v>
      </c>
      <c r="I2045" s="1">
        <v>0</v>
      </c>
      <c r="J2045" s="1">
        <v>0</v>
      </c>
      <c r="K2045" s="1">
        <v>0</v>
      </c>
      <c r="L2045" s="1">
        <v>0</v>
      </c>
      <c r="M2045" s="1">
        <v>0</v>
      </c>
      <c r="N2045" s="1">
        <v>0</v>
      </c>
      <c r="O2045" s="1">
        <v>0</v>
      </c>
      <c r="P2045" s="1">
        <v>0</v>
      </c>
      <c r="Q2045" s="1">
        <v>0</v>
      </c>
      <c r="R2045" s="1">
        <v>0</v>
      </c>
      <c r="S2045" s="1">
        <v>0</v>
      </c>
      <c r="T2045" s="1">
        <v>0</v>
      </c>
      <c r="U2045" s="1">
        <v>0</v>
      </c>
      <c r="V2045" s="1" t="s">
        <v>301</v>
      </c>
    </row>
    <row r="2046" spans="1:22">
      <c r="A2046" t="s">
        <v>188</v>
      </c>
      <c r="B2046" t="s">
        <v>57</v>
      </c>
      <c r="C2046" t="s">
        <v>64</v>
      </c>
      <c r="D2046" s="1">
        <v>1</v>
      </c>
      <c r="E2046" s="1">
        <v>0</v>
      </c>
      <c r="F2046" s="1">
        <v>0</v>
      </c>
      <c r="G2046" s="1">
        <v>0</v>
      </c>
      <c r="H2046" s="1">
        <v>0</v>
      </c>
      <c r="I2046" s="1">
        <v>0</v>
      </c>
      <c r="J2046" s="1">
        <v>0</v>
      </c>
      <c r="K2046" s="1">
        <v>0</v>
      </c>
      <c r="L2046" s="1">
        <v>0</v>
      </c>
      <c r="M2046" s="1">
        <v>1</v>
      </c>
      <c r="N2046" s="1">
        <v>1</v>
      </c>
      <c r="O2046" s="1">
        <v>0</v>
      </c>
      <c r="P2046" s="1">
        <v>0</v>
      </c>
      <c r="Q2046" s="1">
        <v>0</v>
      </c>
      <c r="R2046" s="1">
        <v>0</v>
      </c>
      <c r="S2046" s="1">
        <v>1</v>
      </c>
      <c r="T2046" s="1">
        <v>0</v>
      </c>
      <c r="U2046" s="1">
        <v>1</v>
      </c>
      <c r="V2046" s="1" t="s">
        <v>301</v>
      </c>
    </row>
    <row r="2047" spans="1:22">
      <c r="A2047" t="s">
        <v>188</v>
      </c>
      <c r="B2047" t="s">
        <v>57</v>
      </c>
      <c r="C2047" t="s">
        <v>65</v>
      </c>
      <c r="D2047" s="1">
        <v>0</v>
      </c>
      <c r="E2047" s="1">
        <v>0</v>
      </c>
      <c r="F2047" s="1">
        <v>0</v>
      </c>
      <c r="G2047" s="1">
        <v>0</v>
      </c>
      <c r="H2047" s="1">
        <v>0</v>
      </c>
      <c r="I2047" s="1">
        <v>0</v>
      </c>
      <c r="J2047" s="1">
        <v>0</v>
      </c>
      <c r="K2047" s="1">
        <v>0</v>
      </c>
      <c r="L2047" s="1">
        <v>0</v>
      </c>
      <c r="M2047" s="1">
        <v>0</v>
      </c>
      <c r="N2047" s="1">
        <v>0</v>
      </c>
      <c r="O2047" s="1">
        <v>0</v>
      </c>
      <c r="P2047" s="1">
        <v>0</v>
      </c>
      <c r="Q2047" s="1">
        <v>0</v>
      </c>
      <c r="R2047" s="1">
        <v>0</v>
      </c>
      <c r="S2047" s="1">
        <v>0</v>
      </c>
      <c r="T2047" s="1">
        <v>0</v>
      </c>
      <c r="U2047" s="1">
        <v>0</v>
      </c>
      <c r="V2047" s="1" t="s">
        <v>301</v>
      </c>
    </row>
    <row r="2048" spans="1:22">
      <c r="A2048" t="s">
        <v>66</v>
      </c>
      <c r="B2048" t="s">
        <v>57</v>
      </c>
      <c r="C2048" t="s">
        <v>58</v>
      </c>
      <c r="D2048" s="1">
        <v>0</v>
      </c>
      <c r="E2048" s="1">
        <v>0</v>
      </c>
      <c r="F2048" s="1">
        <v>0</v>
      </c>
      <c r="G2048" s="1">
        <v>0</v>
      </c>
      <c r="H2048" s="1">
        <v>0</v>
      </c>
      <c r="I2048" s="1">
        <v>0</v>
      </c>
      <c r="J2048" s="1">
        <v>0</v>
      </c>
      <c r="K2048" s="1">
        <v>0</v>
      </c>
      <c r="L2048" s="1">
        <v>0</v>
      </c>
      <c r="M2048" s="1">
        <v>0</v>
      </c>
      <c r="N2048" s="1">
        <v>0</v>
      </c>
      <c r="O2048" s="1">
        <v>0</v>
      </c>
      <c r="P2048" s="1">
        <v>0</v>
      </c>
      <c r="Q2048" s="1">
        <v>0</v>
      </c>
      <c r="R2048" s="1">
        <v>0</v>
      </c>
      <c r="S2048" s="1">
        <v>0</v>
      </c>
      <c r="T2048" s="1">
        <v>0</v>
      </c>
      <c r="U2048" s="1">
        <v>5</v>
      </c>
      <c r="V2048" s="1" t="s">
        <v>301</v>
      </c>
    </row>
    <row r="2049" spans="1:22">
      <c r="A2049" t="s">
        <v>66</v>
      </c>
      <c r="B2049" t="s">
        <v>57</v>
      </c>
      <c r="C2049" t="s">
        <v>59</v>
      </c>
      <c r="D2049" s="1">
        <v>0</v>
      </c>
      <c r="E2049" s="1">
        <v>0</v>
      </c>
      <c r="F2049" s="1">
        <v>0</v>
      </c>
      <c r="G2049" s="1">
        <v>0</v>
      </c>
      <c r="H2049" s="1">
        <v>0</v>
      </c>
      <c r="I2049" s="1">
        <v>0</v>
      </c>
      <c r="J2049" s="1">
        <v>0</v>
      </c>
      <c r="K2049" s="1">
        <v>0</v>
      </c>
      <c r="L2049" s="1">
        <v>0</v>
      </c>
      <c r="M2049" s="1">
        <v>0</v>
      </c>
      <c r="N2049" s="1">
        <v>0</v>
      </c>
      <c r="O2049" s="1">
        <v>0</v>
      </c>
      <c r="P2049" s="1">
        <v>0</v>
      </c>
      <c r="Q2049" s="1">
        <v>0</v>
      </c>
      <c r="R2049" s="1">
        <v>0</v>
      </c>
      <c r="S2049" s="1">
        <v>0</v>
      </c>
      <c r="T2049" s="1">
        <v>0</v>
      </c>
      <c r="U2049" s="1">
        <v>0</v>
      </c>
      <c r="V2049" s="1" t="s">
        <v>301</v>
      </c>
    </row>
    <row r="2050" spans="1:22">
      <c r="A2050" t="s">
        <v>66</v>
      </c>
      <c r="B2050" t="s">
        <v>57</v>
      </c>
      <c r="C2050" t="s">
        <v>60</v>
      </c>
      <c r="D2050" s="1">
        <v>0</v>
      </c>
      <c r="E2050" s="1">
        <v>0</v>
      </c>
      <c r="F2050" s="1">
        <v>0</v>
      </c>
      <c r="G2050" s="1">
        <v>0</v>
      </c>
      <c r="H2050" s="1">
        <v>0</v>
      </c>
      <c r="I2050" s="1">
        <v>0</v>
      </c>
      <c r="J2050" s="1">
        <v>0</v>
      </c>
      <c r="K2050" s="1">
        <v>0</v>
      </c>
      <c r="L2050" s="1">
        <v>0</v>
      </c>
      <c r="M2050" s="1">
        <v>0</v>
      </c>
      <c r="N2050" s="1">
        <v>0</v>
      </c>
      <c r="O2050" s="1">
        <v>0</v>
      </c>
      <c r="P2050" s="1">
        <v>0</v>
      </c>
      <c r="Q2050" s="1">
        <v>0</v>
      </c>
      <c r="R2050" s="1">
        <v>0</v>
      </c>
      <c r="S2050" s="1">
        <v>0</v>
      </c>
      <c r="T2050" s="1">
        <v>0</v>
      </c>
      <c r="U2050" s="1">
        <v>0</v>
      </c>
      <c r="V2050" s="1" t="s">
        <v>301</v>
      </c>
    </row>
    <row r="2051" spans="1:22">
      <c r="A2051" t="s">
        <v>66</v>
      </c>
      <c r="B2051" t="s">
        <v>57</v>
      </c>
      <c r="C2051" t="s">
        <v>61</v>
      </c>
      <c r="D2051" s="1">
        <v>0</v>
      </c>
      <c r="E2051" s="1">
        <v>0</v>
      </c>
      <c r="F2051" s="1">
        <v>0</v>
      </c>
      <c r="G2051" s="1">
        <v>0</v>
      </c>
      <c r="H2051" s="1">
        <v>0</v>
      </c>
      <c r="I2051" s="1">
        <v>0</v>
      </c>
      <c r="J2051" s="1">
        <v>0</v>
      </c>
      <c r="K2051" s="1">
        <v>0</v>
      </c>
      <c r="L2051" s="1">
        <v>0</v>
      </c>
      <c r="M2051" s="1">
        <v>0</v>
      </c>
      <c r="N2051" s="1">
        <v>0</v>
      </c>
      <c r="O2051" s="1">
        <v>0</v>
      </c>
      <c r="P2051" s="1">
        <v>0</v>
      </c>
      <c r="Q2051" s="1">
        <v>0</v>
      </c>
      <c r="R2051" s="1">
        <v>0</v>
      </c>
      <c r="S2051" s="1">
        <v>0</v>
      </c>
      <c r="T2051" s="1">
        <v>0</v>
      </c>
      <c r="U2051" s="1">
        <v>0</v>
      </c>
      <c r="V2051" s="1" t="s">
        <v>301</v>
      </c>
    </row>
    <row r="2052" spans="1:22">
      <c r="A2052" t="s">
        <v>66</v>
      </c>
      <c r="B2052" t="s">
        <v>57</v>
      </c>
      <c r="C2052" t="s">
        <v>62</v>
      </c>
      <c r="D2052" s="1">
        <v>0</v>
      </c>
      <c r="E2052" s="1">
        <v>0</v>
      </c>
      <c r="F2052" s="1">
        <v>0</v>
      </c>
      <c r="G2052" s="1">
        <v>0</v>
      </c>
      <c r="H2052" s="1">
        <v>0</v>
      </c>
      <c r="I2052" s="1">
        <v>0</v>
      </c>
      <c r="J2052" s="1">
        <v>0</v>
      </c>
      <c r="K2052" s="1">
        <v>0</v>
      </c>
      <c r="L2052" s="1">
        <v>0</v>
      </c>
      <c r="M2052" s="1">
        <v>0</v>
      </c>
      <c r="N2052" s="1">
        <v>0</v>
      </c>
      <c r="O2052" s="1">
        <v>0</v>
      </c>
      <c r="P2052" s="1">
        <v>0</v>
      </c>
      <c r="Q2052" s="1">
        <v>0</v>
      </c>
      <c r="R2052" s="1">
        <v>0</v>
      </c>
      <c r="S2052" s="1">
        <v>0</v>
      </c>
      <c r="T2052" s="1">
        <v>0</v>
      </c>
      <c r="U2052" s="1">
        <v>0</v>
      </c>
      <c r="V2052" s="1" t="s">
        <v>301</v>
      </c>
    </row>
    <row r="2053" spans="1:22">
      <c r="A2053" t="s">
        <v>66</v>
      </c>
      <c r="B2053" t="s">
        <v>57</v>
      </c>
      <c r="C2053" t="s">
        <v>63</v>
      </c>
      <c r="D2053" s="1">
        <v>0</v>
      </c>
      <c r="E2053" s="1">
        <v>0</v>
      </c>
      <c r="F2053" s="1">
        <v>0</v>
      </c>
      <c r="G2053" s="1">
        <v>0</v>
      </c>
      <c r="H2053" s="1">
        <v>0</v>
      </c>
      <c r="I2053" s="1">
        <v>0</v>
      </c>
      <c r="J2053" s="1">
        <v>0</v>
      </c>
      <c r="K2053" s="1">
        <v>0</v>
      </c>
      <c r="L2053" s="1">
        <v>0</v>
      </c>
      <c r="M2053" s="1">
        <v>0</v>
      </c>
      <c r="N2053" s="1">
        <v>0</v>
      </c>
      <c r="O2053" s="1">
        <v>0</v>
      </c>
      <c r="P2053" s="1">
        <v>0</v>
      </c>
      <c r="Q2053" s="1">
        <v>0</v>
      </c>
      <c r="R2053" s="1">
        <v>0</v>
      </c>
      <c r="S2053" s="1">
        <v>0</v>
      </c>
      <c r="T2053" s="1">
        <v>0</v>
      </c>
      <c r="U2053" s="1">
        <v>0</v>
      </c>
      <c r="V2053" s="1" t="s">
        <v>301</v>
      </c>
    </row>
    <row r="2054" spans="1:22">
      <c r="A2054" t="s">
        <v>66</v>
      </c>
      <c r="B2054" t="s">
        <v>57</v>
      </c>
      <c r="C2054" t="s">
        <v>64</v>
      </c>
      <c r="D2054" s="1">
        <v>0</v>
      </c>
      <c r="E2054" s="1">
        <v>0</v>
      </c>
      <c r="F2054" s="1">
        <v>0</v>
      </c>
      <c r="G2054" s="1">
        <v>0</v>
      </c>
      <c r="H2054" s="1">
        <v>0</v>
      </c>
      <c r="I2054" s="1">
        <v>0</v>
      </c>
      <c r="J2054" s="1">
        <v>0</v>
      </c>
      <c r="K2054" s="1">
        <v>0</v>
      </c>
      <c r="L2054" s="1">
        <v>0</v>
      </c>
      <c r="M2054" s="1">
        <v>0</v>
      </c>
      <c r="N2054" s="1">
        <v>0</v>
      </c>
      <c r="O2054" s="1">
        <v>0</v>
      </c>
      <c r="P2054" s="1">
        <v>0</v>
      </c>
      <c r="Q2054" s="1">
        <v>0</v>
      </c>
      <c r="R2054" s="1">
        <v>0</v>
      </c>
      <c r="S2054" s="1">
        <v>0</v>
      </c>
      <c r="T2054" s="1">
        <v>0</v>
      </c>
      <c r="U2054" s="1">
        <v>0</v>
      </c>
      <c r="V2054" s="1" t="s">
        <v>301</v>
      </c>
    </row>
    <row r="2055" spans="1:22">
      <c r="A2055" t="s">
        <v>66</v>
      </c>
      <c r="B2055" t="s">
        <v>57</v>
      </c>
      <c r="C2055" t="s">
        <v>65</v>
      </c>
      <c r="D2055" s="1">
        <v>0</v>
      </c>
      <c r="E2055" s="1">
        <v>0</v>
      </c>
      <c r="F2055" s="1">
        <v>0</v>
      </c>
      <c r="G2055" s="1">
        <v>0</v>
      </c>
      <c r="H2055" s="1">
        <v>0</v>
      </c>
      <c r="I2055" s="1">
        <v>0</v>
      </c>
      <c r="J2055" s="1">
        <v>0</v>
      </c>
      <c r="K2055" s="1">
        <v>0</v>
      </c>
      <c r="L2055" s="1">
        <v>0</v>
      </c>
      <c r="M2055" s="1">
        <v>0</v>
      </c>
      <c r="N2055" s="1">
        <v>0</v>
      </c>
      <c r="O2055" s="1">
        <v>0</v>
      </c>
      <c r="P2055" s="1">
        <v>0</v>
      </c>
      <c r="Q2055" s="1">
        <v>0</v>
      </c>
      <c r="R2055" s="1">
        <v>0</v>
      </c>
      <c r="S2055" s="1">
        <v>0</v>
      </c>
      <c r="T2055" s="1">
        <v>0</v>
      </c>
      <c r="U2055" s="1">
        <v>0</v>
      </c>
      <c r="V2055" s="1" t="s">
        <v>301</v>
      </c>
    </row>
    <row r="2056" spans="1:22">
      <c r="A2056" t="s">
        <v>189</v>
      </c>
      <c r="B2056" t="s">
        <v>57</v>
      </c>
      <c r="C2056" t="s">
        <v>58</v>
      </c>
      <c r="D2056" s="1">
        <v>0</v>
      </c>
      <c r="E2056" s="1">
        <v>0</v>
      </c>
      <c r="F2056" s="1">
        <v>0</v>
      </c>
      <c r="G2056" s="1">
        <v>0</v>
      </c>
      <c r="H2056" s="1">
        <v>0</v>
      </c>
      <c r="I2056" s="1">
        <v>0</v>
      </c>
      <c r="J2056" s="1">
        <v>0</v>
      </c>
      <c r="K2056" s="1">
        <v>0</v>
      </c>
      <c r="L2056" s="1">
        <v>0</v>
      </c>
      <c r="M2056" s="1">
        <v>0</v>
      </c>
      <c r="N2056" s="1">
        <v>0</v>
      </c>
      <c r="O2056" s="1">
        <v>0</v>
      </c>
      <c r="P2056" s="1">
        <v>0</v>
      </c>
      <c r="Q2056" s="1">
        <v>0</v>
      </c>
      <c r="R2056" s="1">
        <v>0</v>
      </c>
      <c r="S2056" s="1">
        <v>0</v>
      </c>
      <c r="T2056" s="1">
        <v>0</v>
      </c>
      <c r="U2056" s="1">
        <v>5</v>
      </c>
      <c r="V2056" s="1" t="s">
        <v>301</v>
      </c>
    </row>
    <row r="2057" spans="1:22">
      <c r="A2057" t="s">
        <v>189</v>
      </c>
      <c r="B2057" t="s">
        <v>57</v>
      </c>
      <c r="C2057" t="s">
        <v>59</v>
      </c>
      <c r="D2057" s="1">
        <v>0</v>
      </c>
      <c r="E2057" s="1">
        <v>0</v>
      </c>
      <c r="F2057" s="1">
        <v>0</v>
      </c>
      <c r="G2057" s="1">
        <v>0</v>
      </c>
      <c r="H2057" s="1">
        <v>0</v>
      </c>
      <c r="I2057" s="1">
        <v>0</v>
      </c>
      <c r="J2057" s="1">
        <v>0</v>
      </c>
      <c r="K2057" s="1">
        <v>0</v>
      </c>
      <c r="L2057" s="1">
        <v>0</v>
      </c>
      <c r="M2057" s="1">
        <v>0</v>
      </c>
      <c r="N2057" s="1">
        <v>0</v>
      </c>
      <c r="O2057" s="1">
        <v>0</v>
      </c>
      <c r="P2057" s="1">
        <v>0</v>
      </c>
      <c r="Q2057" s="1">
        <v>0</v>
      </c>
      <c r="R2057" s="1">
        <v>0</v>
      </c>
      <c r="S2057" s="1">
        <v>0</v>
      </c>
      <c r="T2057" s="1">
        <v>0</v>
      </c>
      <c r="U2057" s="1">
        <v>0</v>
      </c>
      <c r="V2057" s="1" t="s">
        <v>301</v>
      </c>
    </row>
    <row r="2058" spans="1:22">
      <c r="A2058" t="s">
        <v>189</v>
      </c>
      <c r="B2058" t="s">
        <v>57</v>
      </c>
      <c r="C2058" t="s">
        <v>60</v>
      </c>
      <c r="D2058" s="1">
        <v>0</v>
      </c>
      <c r="E2058" s="1">
        <v>0</v>
      </c>
      <c r="F2058" s="1">
        <v>0</v>
      </c>
      <c r="G2058" s="1">
        <v>0</v>
      </c>
      <c r="H2058" s="1">
        <v>0</v>
      </c>
      <c r="I2058" s="1">
        <v>0</v>
      </c>
      <c r="J2058" s="1">
        <v>0</v>
      </c>
      <c r="K2058" s="1">
        <v>0</v>
      </c>
      <c r="L2058" s="1">
        <v>0</v>
      </c>
      <c r="M2058" s="1">
        <v>0</v>
      </c>
      <c r="N2058" s="1">
        <v>0</v>
      </c>
      <c r="O2058" s="1">
        <v>0</v>
      </c>
      <c r="P2058" s="1">
        <v>0</v>
      </c>
      <c r="Q2058" s="1">
        <v>0</v>
      </c>
      <c r="R2058" s="1">
        <v>0</v>
      </c>
      <c r="S2058" s="1">
        <v>0</v>
      </c>
      <c r="T2058" s="1">
        <v>0</v>
      </c>
      <c r="U2058" s="1">
        <v>0</v>
      </c>
      <c r="V2058" s="1" t="s">
        <v>301</v>
      </c>
    </row>
    <row r="2059" spans="1:22">
      <c r="A2059" t="s">
        <v>189</v>
      </c>
      <c r="B2059" t="s">
        <v>57</v>
      </c>
      <c r="C2059" t="s">
        <v>61</v>
      </c>
      <c r="D2059" s="1">
        <v>0</v>
      </c>
      <c r="E2059" s="1">
        <v>0</v>
      </c>
      <c r="F2059" s="1">
        <v>0</v>
      </c>
      <c r="G2059" s="1">
        <v>0</v>
      </c>
      <c r="H2059" s="1">
        <v>0</v>
      </c>
      <c r="I2059" s="1">
        <v>0</v>
      </c>
      <c r="J2059" s="1">
        <v>0</v>
      </c>
      <c r="K2059" s="1">
        <v>0</v>
      </c>
      <c r="L2059" s="1">
        <v>0</v>
      </c>
      <c r="M2059" s="1">
        <v>0</v>
      </c>
      <c r="N2059" s="1">
        <v>0</v>
      </c>
      <c r="O2059" s="1">
        <v>0</v>
      </c>
      <c r="P2059" s="1">
        <v>0</v>
      </c>
      <c r="Q2059" s="1">
        <v>0</v>
      </c>
      <c r="R2059" s="1">
        <v>0</v>
      </c>
      <c r="S2059" s="1">
        <v>0</v>
      </c>
      <c r="T2059" s="1">
        <v>0</v>
      </c>
      <c r="U2059" s="1">
        <v>0</v>
      </c>
      <c r="V2059" s="1" t="s">
        <v>301</v>
      </c>
    </row>
    <row r="2060" spans="1:22">
      <c r="A2060" t="s">
        <v>189</v>
      </c>
      <c r="B2060" t="s">
        <v>57</v>
      </c>
      <c r="C2060" t="s">
        <v>62</v>
      </c>
      <c r="D2060" s="1">
        <v>0</v>
      </c>
      <c r="E2060" s="1">
        <v>0</v>
      </c>
      <c r="F2060" s="1">
        <v>0</v>
      </c>
      <c r="G2060" s="1">
        <v>0</v>
      </c>
      <c r="H2060" s="1">
        <v>0</v>
      </c>
      <c r="I2060" s="1">
        <v>0</v>
      </c>
      <c r="J2060" s="1">
        <v>0</v>
      </c>
      <c r="K2060" s="1">
        <v>0</v>
      </c>
      <c r="L2060" s="1">
        <v>0</v>
      </c>
      <c r="M2060" s="1">
        <v>0</v>
      </c>
      <c r="N2060" s="1">
        <v>0</v>
      </c>
      <c r="O2060" s="1">
        <v>0</v>
      </c>
      <c r="P2060" s="1">
        <v>0</v>
      </c>
      <c r="Q2060" s="1">
        <v>0</v>
      </c>
      <c r="R2060" s="1">
        <v>0</v>
      </c>
      <c r="S2060" s="1">
        <v>0</v>
      </c>
      <c r="T2060" s="1">
        <v>0</v>
      </c>
      <c r="U2060" s="1">
        <v>0</v>
      </c>
      <c r="V2060" s="1" t="s">
        <v>301</v>
      </c>
    </row>
    <row r="2061" spans="1:22">
      <c r="A2061" t="s">
        <v>189</v>
      </c>
      <c r="B2061" t="s">
        <v>57</v>
      </c>
      <c r="C2061" t="s">
        <v>63</v>
      </c>
      <c r="D2061" s="1">
        <v>0</v>
      </c>
      <c r="E2061" s="1">
        <v>0</v>
      </c>
      <c r="F2061" s="1">
        <v>0</v>
      </c>
      <c r="G2061" s="1">
        <v>0</v>
      </c>
      <c r="H2061" s="1">
        <v>0</v>
      </c>
      <c r="I2061" s="1">
        <v>0</v>
      </c>
      <c r="J2061" s="1">
        <v>0</v>
      </c>
      <c r="K2061" s="1">
        <v>0</v>
      </c>
      <c r="L2061" s="1">
        <v>0</v>
      </c>
      <c r="M2061" s="1">
        <v>0</v>
      </c>
      <c r="N2061" s="1">
        <v>0</v>
      </c>
      <c r="O2061" s="1">
        <v>0</v>
      </c>
      <c r="P2061" s="1">
        <v>0</v>
      </c>
      <c r="Q2061" s="1">
        <v>0</v>
      </c>
      <c r="R2061" s="1">
        <v>0</v>
      </c>
      <c r="S2061" s="1">
        <v>0</v>
      </c>
      <c r="T2061" s="1">
        <v>0</v>
      </c>
      <c r="U2061" s="1">
        <v>0</v>
      </c>
      <c r="V2061" s="1" t="s">
        <v>301</v>
      </c>
    </row>
    <row r="2062" spans="1:22">
      <c r="A2062" t="s">
        <v>189</v>
      </c>
      <c r="B2062" t="s">
        <v>57</v>
      </c>
      <c r="C2062" t="s">
        <v>64</v>
      </c>
      <c r="D2062" s="1">
        <v>0</v>
      </c>
      <c r="E2062" s="1">
        <v>0</v>
      </c>
      <c r="F2062" s="1">
        <v>0</v>
      </c>
      <c r="G2062" s="1">
        <v>0</v>
      </c>
      <c r="H2062" s="1">
        <v>0</v>
      </c>
      <c r="I2062" s="1">
        <v>0</v>
      </c>
      <c r="J2062" s="1">
        <v>0</v>
      </c>
      <c r="K2062" s="1">
        <v>0</v>
      </c>
      <c r="L2062" s="1">
        <v>0</v>
      </c>
      <c r="M2062" s="1">
        <v>0</v>
      </c>
      <c r="N2062" s="1">
        <v>0</v>
      </c>
      <c r="O2062" s="1">
        <v>0</v>
      </c>
      <c r="P2062" s="1">
        <v>0</v>
      </c>
      <c r="Q2062" s="1">
        <v>0</v>
      </c>
      <c r="R2062" s="1">
        <v>0</v>
      </c>
      <c r="S2062" s="1">
        <v>0</v>
      </c>
      <c r="T2062" s="1">
        <v>0</v>
      </c>
      <c r="U2062" s="1">
        <v>0</v>
      </c>
      <c r="V2062" s="1" t="s">
        <v>301</v>
      </c>
    </row>
    <row r="2063" spans="1:22">
      <c r="A2063" t="s">
        <v>189</v>
      </c>
      <c r="B2063" t="s">
        <v>57</v>
      </c>
      <c r="C2063" t="s">
        <v>65</v>
      </c>
      <c r="D2063" s="1">
        <v>0</v>
      </c>
      <c r="E2063" s="1">
        <v>0</v>
      </c>
      <c r="F2063" s="1">
        <v>0</v>
      </c>
      <c r="G2063" s="1">
        <v>0</v>
      </c>
      <c r="H2063" s="1">
        <v>0</v>
      </c>
      <c r="I2063" s="1">
        <v>0</v>
      </c>
      <c r="J2063" s="1">
        <v>0</v>
      </c>
      <c r="K2063" s="1">
        <v>0</v>
      </c>
      <c r="L2063" s="1">
        <v>0</v>
      </c>
      <c r="M2063" s="1">
        <v>0</v>
      </c>
      <c r="N2063" s="1">
        <v>0</v>
      </c>
      <c r="O2063" s="1">
        <v>0</v>
      </c>
      <c r="P2063" s="1">
        <v>0</v>
      </c>
      <c r="Q2063" s="1">
        <v>0</v>
      </c>
      <c r="R2063" s="1">
        <v>0</v>
      </c>
      <c r="S2063" s="1">
        <v>0</v>
      </c>
      <c r="T2063" s="1">
        <v>0</v>
      </c>
      <c r="U2063" s="1">
        <v>0</v>
      </c>
      <c r="V2063" s="1" t="s">
        <v>301</v>
      </c>
    </row>
    <row r="2064" spans="1:22">
      <c r="A2064" t="s">
        <v>190</v>
      </c>
      <c r="B2064" t="s">
        <v>57</v>
      </c>
      <c r="C2064" t="s">
        <v>58</v>
      </c>
      <c r="D2064" s="1">
        <v>0</v>
      </c>
      <c r="E2064" s="1">
        <v>0</v>
      </c>
      <c r="F2064" s="1">
        <v>0</v>
      </c>
      <c r="G2064" s="1">
        <v>0</v>
      </c>
      <c r="H2064" s="1">
        <v>0</v>
      </c>
      <c r="I2064" s="1">
        <v>0</v>
      </c>
      <c r="J2064" s="1">
        <v>0</v>
      </c>
      <c r="K2064" s="1">
        <v>0</v>
      </c>
      <c r="L2064" s="1">
        <v>0</v>
      </c>
      <c r="M2064" s="1">
        <v>0</v>
      </c>
      <c r="N2064" s="1">
        <v>0</v>
      </c>
      <c r="O2064" s="1">
        <v>0</v>
      </c>
      <c r="P2064" s="1">
        <v>0</v>
      </c>
      <c r="Q2064" s="1">
        <v>0</v>
      </c>
      <c r="R2064" s="1">
        <v>0</v>
      </c>
      <c r="S2064" s="1">
        <v>0</v>
      </c>
      <c r="T2064" s="1">
        <v>0</v>
      </c>
      <c r="U2064" s="1">
        <v>5</v>
      </c>
      <c r="V2064" s="1" t="s">
        <v>301</v>
      </c>
    </row>
    <row r="2065" spans="1:22">
      <c r="A2065" t="s">
        <v>190</v>
      </c>
      <c r="B2065" t="s">
        <v>57</v>
      </c>
      <c r="C2065" t="s">
        <v>59</v>
      </c>
      <c r="D2065" s="1">
        <v>0</v>
      </c>
      <c r="E2065" s="1">
        <v>0</v>
      </c>
      <c r="F2065" s="1">
        <v>0</v>
      </c>
      <c r="G2065" s="1">
        <v>0</v>
      </c>
      <c r="H2065" s="1">
        <v>2</v>
      </c>
      <c r="I2065" s="1">
        <v>1</v>
      </c>
      <c r="J2065" s="1">
        <v>0</v>
      </c>
      <c r="K2065" s="1">
        <v>0</v>
      </c>
      <c r="L2065" s="1">
        <v>1</v>
      </c>
      <c r="M2065" s="1">
        <v>0</v>
      </c>
      <c r="N2065" s="1">
        <v>2</v>
      </c>
      <c r="O2065" s="1">
        <v>0</v>
      </c>
      <c r="P2065" s="1">
        <v>0</v>
      </c>
      <c r="Q2065" s="1">
        <v>0</v>
      </c>
      <c r="R2065" s="1">
        <v>0</v>
      </c>
      <c r="S2065" s="1">
        <v>2</v>
      </c>
      <c r="T2065" s="1">
        <v>0</v>
      </c>
      <c r="U2065" s="1">
        <v>2</v>
      </c>
      <c r="V2065" s="1" t="s">
        <v>301</v>
      </c>
    </row>
    <row r="2066" spans="1:22">
      <c r="A2066" t="s">
        <v>190</v>
      </c>
      <c r="B2066" t="s">
        <v>57</v>
      </c>
      <c r="C2066" t="s">
        <v>60</v>
      </c>
      <c r="D2066" s="1">
        <v>0</v>
      </c>
      <c r="E2066" s="1">
        <v>0</v>
      </c>
      <c r="F2066" s="1">
        <v>0</v>
      </c>
      <c r="G2066" s="1">
        <v>0</v>
      </c>
      <c r="H2066" s="1">
        <v>0</v>
      </c>
      <c r="I2066" s="1">
        <v>0</v>
      </c>
      <c r="J2066" s="1">
        <v>0</v>
      </c>
      <c r="K2066" s="1">
        <v>0</v>
      </c>
      <c r="L2066" s="1">
        <v>0</v>
      </c>
      <c r="M2066" s="1">
        <v>0</v>
      </c>
      <c r="N2066" s="1">
        <v>0</v>
      </c>
      <c r="O2066" s="1">
        <v>0</v>
      </c>
      <c r="P2066" s="1">
        <v>0</v>
      </c>
      <c r="Q2066" s="1">
        <v>0</v>
      </c>
      <c r="R2066" s="1">
        <v>0</v>
      </c>
      <c r="S2066" s="1">
        <v>0</v>
      </c>
      <c r="T2066" s="1">
        <v>0</v>
      </c>
      <c r="U2066" s="1">
        <v>0</v>
      </c>
      <c r="V2066" s="1" t="s">
        <v>301</v>
      </c>
    </row>
    <row r="2067" spans="1:22">
      <c r="A2067" t="s">
        <v>190</v>
      </c>
      <c r="B2067" t="s">
        <v>57</v>
      </c>
      <c r="C2067" t="s">
        <v>61</v>
      </c>
      <c r="D2067" s="1">
        <v>0</v>
      </c>
      <c r="E2067" s="1">
        <v>0</v>
      </c>
      <c r="F2067" s="1">
        <v>0</v>
      </c>
      <c r="G2067" s="1">
        <v>0</v>
      </c>
      <c r="H2067" s="1">
        <v>0</v>
      </c>
      <c r="I2067" s="1">
        <v>0</v>
      </c>
      <c r="J2067" s="1">
        <v>0</v>
      </c>
      <c r="K2067" s="1">
        <v>0</v>
      </c>
      <c r="L2067" s="1">
        <v>0</v>
      </c>
      <c r="M2067" s="1">
        <v>0</v>
      </c>
      <c r="N2067" s="1">
        <v>0</v>
      </c>
      <c r="O2067" s="1">
        <v>0</v>
      </c>
      <c r="P2067" s="1">
        <v>0</v>
      </c>
      <c r="Q2067" s="1">
        <v>0</v>
      </c>
      <c r="R2067" s="1">
        <v>0</v>
      </c>
      <c r="S2067" s="1">
        <v>0</v>
      </c>
      <c r="T2067" s="1">
        <v>0</v>
      </c>
      <c r="U2067" s="1">
        <v>0</v>
      </c>
      <c r="V2067" s="1" t="s">
        <v>301</v>
      </c>
    </row>
    <row r="2068" spans="1:22">
      <c r="A2068" t="s">
        <v>190</v>
      </c>
      <c r="B2068" t="s">
        <v>57</v>
      </c>
      <c r="C2068" t="s">
        <v>62</v>
      </c>
      <c r="D2068" s="1">
        <v>0</v>
      </c>
      <c r="E2068" s="1">
        <v>0</v>
      </c>
      <c r="F2068" s="1">
        <v>0</v>
      </c>
      <c r="G2068" s="1">
        <v>0</v>
      </c>
      <c r="H2068" s="1">
        <v>0</v>
      </c>
      <c r="I2068" s="1">
        <v>0</v>
      </c>
      <c r="J2068" s="1">
        <v>0</v>
      </c>
      <c r="K2068" s="1">
        <v>0</v>
      </c>
      <c r="L2068" s="1">
        <v>0</v>
      </c>
      <c r="M2068" s="1">
        <v>0</v>
      </c>
      <c r="N2068" s="1">
        <v>0</v>
      </c>
      <c r="O2068" s="1">
        <v>0</v>
      </c>
      <c r="P2068" s="1">
        <v>0</v>
      </c>
      <c r="Q2068" s="1">
        <v>0</v>
      </c>
      <c r="R2068" s="1">
        <v>0</v>
      </c>
      <c r="S2068" s="1">
        <v>0</v>
      </c>
      <c r="T2068" s="1">
        <v>0</v>
      </c>
      <c r="U2068" s="1">
        <v>0</v>
      </c>
      <c r="V2068" s="1" t="s">
        <v>301</v>
      </c>
    </row>
    <row r="2069" spans="1:22">
      <c r="A2069" t="s">
        <v>190</v>
      </c>
      <c r="B2069" t="s">
        <v>57</v>
      </c>
      <c r="C2069" t="s">
        <v>63</v>
      </c>
      <c r="D2069" s="1">
        <v>0</v>
      </c>
      <c r="E2069" s="1">
        <v>0</v>
      </c>
      <c r="F2069" s="1">
        <v>0</v>
      </c>
      <c r="G2069" s="1">
        <v>0</v>
      </c>
      <c r="H2069" s="1">
        <v>0</v>
      </c>
      <c r="I2069" s="1">
        <v>0</v>
      </c>
      <c r="J2069" s="1">
        <v>0</v>
      </c>
      <c r="K2069" s="1">
        <v>0</v>
      </c>
      <c r="L2069" s="1">
        <v>0</v>
      </c>
      <c r="M2069" s="1">
        <v>0</v>
      </c>
      <c r="N2069" s="1">
        <v>0</v>
      </c>
      <c r="O2069" s="1">
        <v>0</v>
      </c>
      <c r="P2069" s="1">
        <v>0</v>
      </c>
      <c r="Q2069" s="1">
        <v>0</v>
      </c>
      <c r="R2069" s="1">
        <v>0</v>
      </c>
      <c r="S2069" s="1">
        <v>0</v>
      </c>
      <c r="T2069" s="1">
        <v>0</v>
      </c>
      <c r="U2069" s="1">
        <v>0</v>
      </c>
      <c r="V2069" s="1" t="s">
        <v>301</v>
      </c>
    </row>
    <row r="2070" spans="1:22">
      <c r="A2070" t="s">
        <v>190</v>
      </c>
      <c r="B2070" t="s">
        <v>57</v>
      </c>
      <c r="C2070" t="s">
        <v>64</v>
      </c>
      <c r="D2070" s="1">
        <v>0</v>
      </c>
      <c r="E2070" s="1">
        <v>0</v>
      </c>
      <c r="F2070" s="1">
        <v>0</v>
      </c>
      <c r="G2070" s="1">
        <v>0</v>
      </c>
      <c r="H2070" s="1">
        <v>2</v>
      </c>
      <c r="I2070" s="1">
        <v>1</v>
      </c>
      <c r="J2070" s="1">
        <v>0</v>
      </c>
      <c r="K2070" s="1">
        <v>0</v>
      </c>
      <c r="L2070" s="1">
        <v>1</v>
      </c>
      <c r="M2070" s="1">
        <v>0</v>
      </c>
      <c r="N2070" s="1">
        <v>2</v>
      </c>
      <c r="O2070" s="1">
        <v>0</v>
      </c>
      <c r="P2070" s="1">
        <v>0</v>
      </c>
      <c r="Q2070" s="1">
        <v>0</v>
      </c>
      <c r="R2070" s="1">
        <v>0</v>
      </c>
      <c r="S2070" s="1">
        <v>2</v>
      </c>
      <c r="T2070" s="1">
        <v>0</v>
      </c>
      <c r="U2070" s="1">
        <v>2</v>
      </c>
      <c r="V2070" s="1" t="s">
        <v>301</v>
      </c>
    </row>
    <row r="2071" spans="1:22">
      <c r="A2071" t="s">
        <v>190</v>
      </c>
      <c r="B2071" t="s">
        <v>57</v>
      </c>
      <c r="C2071" t="s">
        <v>65</v>
      </c>
      <c r="D2071" s="1">
        <v>0</v>
      </c>
      <c r="E2071" s="1">
        <v>0</v>
      </c>
      <c r="F2071" s="1">
        <v>0</v>
      </c>
      <c r="G2071" s="1">
        <v>0</v>
      </c>
      <c r="H2071" s="1">
        <v>0</v>
      </c>
      <c r="I2071" s="1">
        <v>0</v>
      </c>
      <c r="J2071" s="1">
        <v>0</v>
      </c>
      <c r="K2071" s="1">
        <v>0</v>
      </c>
      <c r="L2071" s="1">
        <v>0</v>
      </c>
      <c r="M2071" s="1">
        <v>0</v>
      </c>
      <c r="N2071" s="1">
        <v>0</v>
      </c>
      <c r="O2071" s="1">
        <v>0</v>
      </c>
      <c r="P2071" s="1">
        <v>0</v>
      </c>
      <c r="Q2071" s="1">
        <v>0</v>
      </c>
      <c r="R2071" s="1">
        <v>0</v>
      </c>
      <c r="S2071" s="1">
        <v>0</v>
      </c>
      <c r="T2071" s="1">
        <v>0</v>
      </c>
      <c r="U2071" s="1">
        <v>0</v>
      </c>
      <c r="V2071" s="1" t="s">
        <v>301</v>
      </c>
    </row>
    <row r="2072" spans="1:22">
      <c r="A2072" t="s">
        <v>191</v>
      </c>
      <c r="B2072" t="s">
        <v>57</v>
      </c>
      <c r="C2072" t="s">
        <v>58</v>
      </c>
      <c r="D2072" s="1">
        <v>0</v>
      </c>
      <c r="E2072" s="1">
        <v>0</v>
      </c>
      <c r="F2072" s="1">
        <v>0</v>
      </c>
      <c r="G2072" s="1">
        <v>0</v>
      </c>
      <c r="H2072" s="1">
        <v>0</v>
      </c>
      <c r="I2072" s="1">
        <v>0</v>
      </c>
      <c r="J2072" s="1">
        <v>0</v>
      </c>
      <c r="K2072" s="1">
        <v>0</v>
      </c>
      <c r="L2072" s="1">
        <v>0</v>
      </c>
      <c r="M2072" s="1">
        <v>0</v>
      </c>
      <c r="N2072" s="1">
        <v>0</v>
      </c>
      <c r="O2072" s="1">
        <v>0</v>
      </c>
      <c r="P2072" s="1">
        <v>0</v>
      </c>
      <c r="Q2072" s="1">
        <v>0</v>
      </c>
      <c r="R2072" s="1">
        <v>0</v>
      </c>
      <c r="S2072" s="1">
        <v>0</v>
      </c>
      <c r="T2072" s="1">
        <v>0</v>
      </c>
      <c r="U2072" s="1">
        <v>5</v>
      </c>
      <c r="V2072" s="1" t="s">
        <v>301</v>
      </c>
    </row>
    <row r="2073" spans="1:22">
      <c r="A2073" t="s">
        <v>191</v>
      </c>
      <c r="B2073" t="s">
        <v>57</v>
      </c>
      <c r="C2073" t="s">
        <v>59</v>
      </c>
      <c r="D2073" s="1">
        <v>0</v>
      </c>
      <c r="E2073" s="1">
        <v>1</v>
      </c>
      <c r="F2073" s="1">
        <v>0</v>
      </c>
      <c r="G2073" s="1">
        <v>0</v>
      </c>
      <c r="H2073" s="1">
        <v>0</v>
      </c>
      <c r="I2073" s="1">
        <v>0</v>
      </c>
      <c r="J2073" s="1">
        <v>0</v>
      </c>
      <c r="K2073" s="1">
        <v>1</v>
      </c>
      <c r="L2073" s="1">
        <v>0</v>
      </c>
      <c r="M2073" s="1">
        <v>0</v>
      </c>
      <c r="N2073" s="1">
        <v>0</v>
      </c>
      <c r="O2073" s="1">
        <v>0</v>
      </c>
      <c r="P2073" s="1">
        <v>0</v>
      </c>
      <c r="Q2073" s="1">
        <v>1</v>
      </c>
      <c r="R2073" s="1">
        <v>0</v>
      </c>
      <c r="S2073" s="1">
        <v>1</v>
      </c>
      <c r="T2073" s="1">
        <v>0</v>
      </c>
      <c r="U2073" s="1">
        <v>1</v>
      </c>
      <c r="V2073" s="1" t="s">
        <v>301</v>
      </c>
    </row>
    <row r="2074" spans="1:22">
      <c r="A2074" t="s">
        <v>191</v>
      </c>
      <c r="B2074" t="s">
        <v>57</v>
      </c>
      <c r="C2074" t="s">
        <v>60</v>
      </c>
      <c r="D2074" s="1">
        <v>0</v>
      </c>
      <c r="E2074" s="1">
        <v>0</v>
      </c>
      <c r="F2074" s="1">
        <v>0</v>
      </c>
      <c r="G2074" s="1">
        <v>0</v>
      </c>
      <c r="H2074" s="1">
        <v>0</v>
      </c>
      <c r="I2074" s="1">
        <v>0</v>
      </c>
      <c r="J2074" s="1">
        <v>0</v>
      </c>
      <c r="K2074" s="1">
        <v>0</v>
      </c>
      <c r="L2074" s="1">
        <v>0</v>
      </c>
      <c r="M2074" s="1">
        <v>0</v>
      </c>
      <c r="N2074" s="1">
        <v>0</v>
      </c>
      <c r="O2074" s="1">
        <v>0</v>
      </c>
      <c r="P2074" s="1">
        <v>0</v>
      </c>
      <c r="Q2074" s="1">
        <v>0</v>
      </c>
      <c r="R2074" s="1">
        <v>0</v>
      </c>
      <c r="S2074" s="1">
        <v>0</v>
      </c>
      <c r="T2074" s="1">
        <v>0</v>
      </c>
      <c r="U2074" s="1">
        <v>0</v>
      </c>
      <c r="V2074" s="1" t="s">
        <v>301</v>
      </c>
    </row>
    <row r="2075" spans="1:22">
      <c r="A2075" t="s">
        <v>191</v>
      </c>
      <c r="B2075" t="s">
        <v>57</v>
      </c>
      <c r="C2075" t="s">
        <v>61</v>
      </c>
      <c r="D2075" s="1">
        <v>0</v>
      </c>
      <c r="E2075" s="1">
        <v>0</v>
      </c>
      <c r="F2075" s="1">
        <v>0</v>
      </c>
      <c r="G2075" s="1">
        <v>0</v>
      </c>
      <c r="H2075" s="1">
        <v>0</v>
      </c>
      <c r="I2075" s="1">
        <v>0</v>
      </c>
      <c r="J2075" s="1">
        <v>0</v>
      </c>
      <c r="K2075" s="1">
        <v>0</v>
      </c>
      <c r="L2075" s="1">
        <v>0</v>
      </c>
      <c r="M2075" s="1">
        <v>0</v>
      </c>
      <c r="N2075" s="1">
        <v>0</v>
      </c>
      <c r="O2075" s="1">
        <v>0</v>
      </c>
      <c r="P2075" s="1">
        <v>0</v>
      </c>
      <c r="Q2075" s="1">
        <v>0</v>
      </c>
      <c r="R2075" s="1">
        <v>0</v>
      </c>
      <c r="S2075" s="1">
        <v>0</v>
      </c>
      <c r="T2075" s="1">
        <v>0</v>
      </c>
      <c r="U2075" s="1">
        <v>0</v>
      </c>
      <c r="V2075" s="1" t="s">
        <v>301</v>
      </c>
    </row>
    <row r="2076" spans="1:22">
      <c r="A2076" t="s">
        <v>191</v>
      </c>
      <c r="B2076" t="s">
        <v>57</v>
      </c>
      <c r="C2076" t="s">
        <v>62</v>
      </c>
      <c r="D2076" s="1">
        <v>0</v>
      </c>
      <c r="E2076" s="1">
        <v>0</v>
      </c>
      <c r="F2076" s="1">
        <v>0</v>
      </c>
      <c r="G2076" s="1">
        <v>0</v>
      </c>
      <c r="H2076" s="1">
        <v>0</v>
      </c>
      <c r="I2076" s="1">
        <v>0</v>
      </c>
      <c r="J2076" s="1">
        <v>0</v>
      </c>
      <c r="K2076" s="1">
        <v>0</v>
      </c>
      <c r="L2076" s="1">
        <v>0</v>
      </c>
      <c r="M2076" s="1">
        <v>0</v>
      </c>
      <c r="N2076" s="1">
        <v>0</v>
      </c>
      <c r="O2076" s="1">
        <v>0</v>
      </c>
      <c r="P2076" s="1">
        <v>0</v>
      </c>
      <c r="Q2076" s="1">
        <v>0</v>
      </c>
      <c r="R2076" s="1">
        <v>0</v>
      </c>
      <c r="S2076" s="1">
        <v>0</v>
      </c>
      <c r="T2076" s="1">
        <v>0</v>
      </c>
      <c r="U2076" s="1">
        <v>0</v>
      </c>
      <c r="V2076" s="1" t="s">
        <v>301</v>
      </c>
    </row>
    <row r="2077" spans="1:22">
      <c r="A2077" t="s">
        <v>191</v>
      </c>
      <c r="B2077" t="s">
        <v>57</v>
      </c>
      <c r="C2077" t="s">
        <v>63</v>
      </c>
      <c r="D2077" s="1">
        <v>0</v>
      </c>
      <c r="E2077" s="1">
        <v>0</v>
      </c>
      <c r="F2077" s="1">
        <v>0</v>
      </c>
      <c r="G2077" s="1">
        <v>0</v>
      </c>
      <c r="H2077" s="1">
        <v>0</v>
      </c>
      <c r="I2077" s="1">
        <v>0</v>
      </c>
      <c r="J2077" s="1">
        <v>0</v>
      </c>
      <c r="K2077" s="1">
        <v>0</v>
      </c>
      <c r="L2077" s="1">
        <v>0</v>
      </c>
      <c r="M2077" s="1">
        <v>0</v>
      </c>
      <c r="N2077" s="1">
        <v>0</v>
      </c>
      <c r="O2077" s="1">
        <v>0</v>
      </c>
      <c r="P2077" s="1">
        <v>0</v>
      </c>
      <c r="Q2077" s="1">
        <v>0</v>
      </c>
      <c r="R2077" s="1">
        <v>0</v>
      </c>
      <c r="S2077" s="1">
        <v>0</v>
      </c>
      <c r="T2077" s="1">
        <v>0</v>
      </c>
      <c r="U2077" s="1">
        <v>0</v>
      </c>
      <c r="V2077" s="1" t="s">
        <v>301</v>
      </c>
    </row>
    <row r="2078" spans="1:22">
      <c r="A2078" t="s">
        <v>191</v>
      </c>
      <c r="B2078" t="s">
        <v>57</v>
      </c>
      <c r="C2078" t="s">
        <v>64</v>
      </c>
      <c r="D2078" s="1">
        <v>0</v>
      </c>
      <c r="E2078" s="1">
        <v>1</v>
      </c>
      <c r="F2078" s="1">
        <v>0</v>
      </c>
      <c r="G2078" s="1">
        <v>0</v>
      </c>
      <c r="H2078" s="1">
        <v>0</v>
      </c>
      <c r="I2078" s="1">
        <v>0</v>
      </c>
      <c r="J2078" s="1">
        <v>0</v>
      </c>
      <c r="K2078" s="1">
        <v>1</v>
      </c>
      <c r="L2078" s="1">
        <v>0</v>
      </c>
      <c r="M2078" s="1">
        <v>0</v>
      </c>
      <c r="N2078" s="1">
        <v>0</v>
      </c>
      <c r="O2078" s="1">
        <v>0</v>
      </c>
      <c r="P2078" s="1">
        <v>0</v>
      </c>
      <c r="Q2078" s="1">
        <v>1</v>
      </c>
      <c r="R2078" s="1">
        <v>0</v>
      </c>
      <c r="S2078" s="1">
        <v>1</v>
      </c>
      <c r="T2078" s="1">
        <v>0</v>
      </c>
      <c r="U2078" s="1">
        <v>1</v>
      </c>
      <c r="V2078" s="1" t="s">
        <v>301</v>
      </c>
    </row>
    <row r="2079" spans="1:22">
      <c r="A2079" t="s">
        <v>191</v>
      </c>
      <c r="B2079" t="s">
        <v>57</v>
      </c>
      <c r="C2079" t="s">
        <v>65</v>
      </c>
      <c r="D2079" s="1">
        <v>0</v>
      </c>
      <c r="E2079" s="1">
        <v>0</v>
      </c>
      <c r="F2079" s="1">
        <v>0</v>
      </c>
      <c r="G2079" s="1">
        <v>0</v>
      </c>
      <c r="H2079" s="1">
        <v>0</v>
      </c>
      <c r="I2079" s="1">
        <v>0</v>
      </c>
      <c r="J2079" s="1">
        <v>0</v>
      </c>
      <c r="K2079" s="1">
        <v>0</v>
      </c>
      <c r="L2079" s="1">
        <v>0</v>
      </c>
      <c r="M2079" s="1">
        <v>0</v>
      </c>
      <c r="N2079" s="1">
        <v>0</v>
      </c>
      <c r="O2079" s="1">
        <v>0</v>
      </c>
      <c r="P2079" s="1">
        <v>0</v>
      </c>
      <c r="Q2079" s="1">
        <v>0</v>
      </c>
      <c r="R2079" s="1">
        <v>0</v>
      </c>
      <c r="S2079" s="1">
        <v>0</v>
      </c>
      <c r="T2079" s="1">
        <v>0</v>
      </c>
      <c r="U2079" s="1">
        <v>0</v>
      </c>
      <c r="V2079" s="1" t="s">
        <v>301</v>
      </c>
    </row>
    <row r="2080" spans="1:22">
      <c r="A2080" t="s">
        <v>192</v>
      </c>
      <c r="B2080" t="s">
        <v>57</v>
      </c>
      <c r="C2080" t="s">
        <v>58</v>
      </c>
      <c r="D2080" s="1">
        <v>0</v>
      </c>
      <c r="E2080" s="1">
        <v>0</v>
      </c>
      <c r="F2080" s="1">
        <v>0</v>
      </c>
      <c r="G2080" s="1">
        <v>0</v>
      </c>
      <c r="H2080" s="1">
        <v>0</v>
      </c>
      <c r="I2080" s="1">
        <v>0</v>
      </c>
      <c r="J2080" s="1">
        <v>0</v>
      </c>
      <c r="K2080" s="1">
        <v>0</v>
      </c>
      <c r="L2080" s="1">
        <v>0</v>
      </c>
      <c r="M2080" s="1">
        <v>0</v>
      </c>
      <c r="N2080" s="1">
        <v>0</v>
      </c>
      <c r="O2080" s="1">
        <v>0</v>
      </c>
      <c r="P2080" s="1">
        <v>0</v>
      </c>
      <c r="Q2080" s="1">
        <v>0</v>
      </c>
      <c r="R2080" s="1">
        <v>0</v>
      </c>
      <c r="S2080" s="1">
        <v>0</v>
      </c>
      <c r="T2080" s="1">
        <v>0</v>
      </c>
      <c r="U2080" s="1">
        <v>5</v>
      </c>
      <c r="V2080" s="1" t="s">
        <v>301</v>
      </c>
    </row>
    <row r="2081" spans="1:22">
      <c r="A2081" t="s">
        <v>192</v>
      </c>
      <c r="B2081" t="s">
        <v>57</v>
      </c>
      <c r="C2081" t="s">
        <v>59</v>
      </c>
      <c r="D2081" s="1">
        <v>1</v>
      </c>
      <c r="E2081" s="1">
        <v>0</v>
      </c>
      <c r="F2081" s="1">
        <v>0</v>
      </c>
      <c r="G2081" s="1">
        <v>0</v>
      </c>
      <c r="H2081" s="1">
        <v>0</v>
      </c>
      <c r="I2081" s="1">
        <v>0</v>
      </c>
      <c r="J2081" s="1">
        <v>0</v>
      </c>
      <c r="K2081" s="1">
        <v>1</v>
      </c>
      <c r="L2081" s="1">
        <v>0</v>
      </c>
      <c r="M2081" s="1">
        <v>0</v>
      </c>
      <c r="N2081" s="1">
        <v>0</v>
      </c>
      <c r="O2081" s="1">
        <v>0</v>
      </c>
      <c r="P2081" s="1">
        <v>1</v>
      </c>
      <c r="Q2081" s="1">
        <v>0</v>
      </c>
      <c r="R2081" s="1">
        <v>0</v>
      </c>
      <c r="S2081" s="1">
        <v>1</v>
      </c>
      <c r="T2081" s="1">
        <v>0</v>
      </c>
      <c r="U2081" s="1">
        <v>1</v>
      </c>
      <c r="V2081" s="1" t="s">
        <v>301</v>
      </c>
    </row>
    <row r="2082" spans="1:22">
      <c r="A2082" t="s">
        <v>192</v>
      </c>
      <c r="B2082" t="s">
        <v>57</v>
      </c>
      <c r="C2082" t="s">
        <v>60</v>
      </c>
      <c r="D2082" s="1">
        <v>0</v>
      </c>
      <c r="E2082" s="1">
        <v>0</v>
      </c>
      <c r="F2082" s="1">
        <v>0</v>
      </c>
      <c r="G2082" s="1">
        <v>0</v>
      </c>
      <c r="H2082" s="1">
        <v>0</v>
      </c>
      <c r="I2082" s="1">
        <v>0</v>
      </c>
      <c r="J2082" s="1">
        <v>0</v>
      </c>
      <c r="K2082" s="1">
        <v>0</v>
      </c>
      <c r="L2082" s="1">
        <v>0</v>
      </c>
      <c r="M2082" s="1">
        <v>0</v>
      </c>
      <c r="N2082" s="1">
        <v>0</v>
      </c>
      <c r="O2082" s="1">
        <v>0</v>
      </c>
      <c r="P2082" s="1">
        <v>0</v>
      </c>
      <c r="Q2082" s="1">
        <v>0</v>
      </c>
      <c r="R2082" s="1">
        <v>0</v>
      </c>
      <c r="S2082" s="1">
        <v>0</v>
      </c>
      <c r="T2082" s="1">
        <v>0</v>
      </c>
      <c r="U2082" s="1">
        <v>0</v>
      </c>
      <c r="V2082" s="1" t="s">
        <v>301</v>
      </c>
    </row>
    <row r="2083" spans="1:22">
      <c r="A2083" t="s">
        <v>192</v>
      </c>
      <c r="B2083" t="s">
        <v>57</v>
      </c>
      <c r="C2083" t="s">
        <v>61</v>
      </c>
      <c r="D2083" s="1">
        <v>0</v>
      </c>
      <c r="E2083" s="1">
        <v>0</v>
      </c>
      <c r="F2083" s="1">
        <v>0</v>
      </c>
      <c r="G2083" s="1">
        <v>0</v>
      </c>
      <c r="H2083" s="1">
        <v>0</v>
      </c>
      <c r="I2083" s="1">
        <v>0</v>
      </c>
      <c r="J2083" s="1">
        <v>0</v>
      </c>
      <c r="K2083" s="1">
        <v>0</v>
      </c>
      <c r="L2083" s="1">
        <v>0</v>
      </c>
      <c r="M2083" s="1">
        <v>0</v>
      </c>
      <c r="N2083" s="1">
        <v>0</v>
      </c>
      <c r="O2083" s="1">
        <v>0</v>
      </c>
      <c r="P2083" s="1">
        <v>0</v>
      </c>
      <c r="Q2083" s="1">
        <v>0</v>
      </c>
      <c r="R2083" s="1">
        <v>0</v>
      </c>
      <c r="S2083" s="1">
        <v>0</v>
      </c>
      <c r="T2083" s="1">
        <v>0</v>
      </c>
      <c r="U2083" s="1">
        <v>0</v>
      </c>
      <c r="V2083" s="1" t="s">
        <v>301</v>
      </c>
    </row>
    <row r="2084" spans="1:22">
      <c r="A2084" t="s">
        <v>192</v>
      </c>
      <c r="B2084" t="s">
        <v>57</v>
      </c>
      <c r="C2084" t="s">
        <v>62</v>
      </c>
      <c r="D2084" s="1">
        <v>0</v>
      </c>
      <c r="E2084" s="1">
        <v>0</v>
      </c>
      <c r="F2084" s="1">
        <v>0</v>
      </c>
      <c r="G2084" s="1">
        <v>0</v>
      </c>
      <c r="H2084" s="1">
        <v>0</v>
      </c>
      <c r="I2084" s="1">
        <v>0</v>
      </c>
      <c r="J2084" s="1">
        <v>0</v>
      </c>
      <c r="K2084" s="1">
        <v>0</v>
      </c>
      <c r="L2084" s="1">
        <v>0</v>
      </c>
      <c r="M2084" s="1">
        <v>0</v>
      </c>
      <c r="N2084" s="1">
        <v>0</v>
      </c>
      <c r="O2084" s="1">
        <v>0</v>
      </c>
      <c r="P2084" s="1">
        <v>0</v>
      </c>
      <c r="Q2084" s="1">
        <v>0</v>
      </c>
      <c r="R2084" s="1">
        <v>0</v>
      </c>
      <c r="S2084" s="1">
        <v>0</v>
      </c>
      <c r="T2084" s="1">
        <v>0</v>
      </c>
      <c r="U2084" s="1">
        <v>0</v>
      </c>
      <c r="V2084" s="1" t="s">
        <v>301</v>
      </c>
    </row>
    <row r="2085" spans="1:22">
      <c r="A2085" t="s">
        <v>192</v>
      </c>
      <c r="B2085" t="s">
        <v>57</v>
      </c>
      <c r="C2085" t="s">
        <v>63</v>
      </c>
      <c r="D2085" s="1">
        <v>0</v>
      </c>
      <c r="E2085" s="1">
        <v>0</v>
      </c>
      <c r="F2085" s="1">
        <v>0</v>
      </c>
      <c r="G2085" s="1">
        <v>0</v>
      </c>
      <c r="H2085" s="1">
        <v>0</v>
      </c>
      <c r="I2085" s="1">
        <v>0</v>
      </c>
      <c r="J2085" s="1">
        <v>0</v>
      </c>
      <c r="K2085" s="1">
        <v>0</v>
      </c>
      <c r="L2085" s="1">
        <v>0</v>
      </c>
      <c r="M2085" s="1">
        <v>0</v>
      </c>
      <c r="N2085" s="1">
        <v>0</v>
      </c>
      <c r="O2085" s="1">
        <v>0</v>
      </c>
      <c r="P2085" s="1">
        <v>0</v>
      </c>
      <c r="Q2085" s="1">
        <v>0</v>
      </c>
      <c r="R2085" s="1">
        <v>0</v>
      </c>
      <c r="S2085" s="1">
        <v>0</v>
      </c>
      <c r="T2085" s="1">
        <v>0</v>
      </c>
      <c r="U2085" s="1">
        <v>0</v>
      </c>
      <c r="V2085" s="1" t="s">
        <v>301</v>
      </c>
    </row>
    <row r="2086" spans="1:22">
      <c r="A2086" t="s">
        <v>192</v>
      </c>
      <c r="B2086" t="s">
        <v>57</v>
      </c>
      <c r="C2086" t="s">
        <v>64</v>
      </c>
      <c r="D2086" s="1">
        <v>1</v>
      </c>
      <c r="E2086" s="1">
        <v>0</v>
      </c>
      <c r="F2086" s="1">
        <v>0</v>
      </c>
      <c r="G2086" s="1">
        <v>0</v>
      </c>
      <c r="H2086" s="1">
        <v>0</v>
      </c>
      <c r="I2086" s="1">
        <v>0</v>
      </c>
      <c r="J2086" s="1">
        <v>0</v>
      </c>
      <c r="K2086" s="1">
        <v>1</v>
      </c>
      <c r="L2086" s="1">
        <v>0</v>
      </c>
      <c r="M2086" s="1">
        <v>0</v>
      </c>
      <c r="N2086" s="1">
        <v>0</v>
      </c>
      <c r="O2086" s="1">
        <v>0</v>
      </c>
      <c r="P2086" s="1">
        <v>1</v>
      </c>
      <c r="Q2086" s="1">
        <v>0</v>
      </c>
      <c r="R2086" s="1">
        <v>0</v>
      </c>
      <c r="S2086" s="1">
        <v>1</v>
      </c>
      <c r="T2086" s="1">
        <v>0</v>
      </c>
      <c r="U2086" s="1">
        <v>1</v>
      </c>
      <c r="V2086" s="1" t="s">
        <v>301</v>
      </c>
    </row>
    <row r="2087" spans="1:22">
      <c r="A2087" t="s">
        <v>192</v>
      </c>
      <c r="B2087" t="s">
        <v>57</v>
      </c>
      <c r="C2087" t="s">
        <v>65</v>
      </c>
      <c r="D2087" s="1">
        <v>0</v>
      </c>
      <c r="E2087" s="1">
        <v>0</v>
      </c>
      <c r="F2087" s="1">
        <v>0</v>
      </c>
      <c r="G2087" s="1">
        <v>0</v>
      </c>
      <c r="H2087" s="1">
        <v>0</v>
      </c>
      <c r="I2087" s="1">
        <v>0</v>
      </c>
      <c r="J2087" s="1">
        <v>0</v>
      </c>
      <c r="K2087" s="1">
        <v>0</v>
      </c>
      <c r="L2087" s="1">
        <v>0</v>
      </c>
      <c r="M2087" s="1">
        <v>0</v>
      </c>
      <c r="N2087" s="1">
        <v>0</v>
      </c>
      <c r="O2087" s="1">
        <v>0</v>
      </c>
      <c r="P2087" s="1">
        <v>0</v>
      </c>
      <c r="Q2087" s="1">
        <v>0</v>
      </c>
      <c r="R2087" s="1">
        <v>0</v>
      </c>
      <c r="S2087" s="1">
        <v>0</v>
      </c>
      <c r="T2087" s="1">
        <v>0</v>
      </c>
      <c r="U2087" s="1">
        <v>0</v>
      </c>
      <c r="V2087" s="1" t="s">
        <v>301</v>
      </c>
    </row>
    <row r="2088" spans="1:22">
      <c r="A2088" t="s">
        <v>193</v>
      </c>
      <c r="B2088" t="s">
        <v>57</v>
      </c>
      <c r="C2088" t="s">
        <v>58</v>
      </c>
      <c r="D2088" s="1">
        <v>0</v>
      </c>
      <c r="E2088" s="1">
        <v>0</v>
      </c>
      <c r="F2088" s="1">
        <v>0</v>
      </c>
      <c r="G2088" s="1">
        <v>0</v>
      </c>
      <c r="H2088" s="1">
        <v>0</v>
      </c>
      <c r="I2088" s="1">
        <v>0</v>
      </c>
      <c r="J2088" s="1">
        <v>0</v>
      </c>
      <c r="K2088" s="1">
        <v>0</v>
      </c>
      <c r="L2088" s="1">
        <v>0</v>
      </c>
      <c r="M2088" s="1">
        <v>0</v>
      </c>
      <c r="N2088" s="1">
        <v>0</v>
      </c>
      <c r="O2088" s="1">
        <v>0</v>
      </c>
      <c r="P2088" s="1">
        <v>0</v>
      </c>
      <c r="Q2088" s="1">
        <v>0</v>
      </c>
      <c r="R2088" s="1">
        <v>0</v>
      </c>
      <c r="S2088" s="1">
        <v>0</v>
      </c>
      <c r="T2088" s="1">
        <v>0</v>
      </c>
      <c r="U2088" s="1">
        <v>5</v>
      </c>
      <c r="V2088" s="1" t="s">
        <v>301</v>
      </c>
    </row>
    <row r="2089" spans="1:22">
      <c r="A2089" t="s">
        <v>193</v>
      </c>
      <c r="B2089" t="s">
        <v>57</v>
      </c>
      <c r="C2089" t="s">
        <v>59</v>
      </c>
      <c r="D2089" s="1">
        <v>1</v>
      </c>
      <c r="E2089" s="1">
        <v>1</v>
      </c>
      <c r="F2089" s="1">
        <v>1</v>
      </c>
      <c r="G2089" s="1">
        <v>0</v>
      </c>
      <c r="H2089" s="1">
        <v>1</v>
      </c>
      <c r="I2089" s="1">
        <v>0</v>
      </c>
      <c r="J2089" s="1">
        <v>2</v>
      </c>
      <c r="K2089" s="1">
        <v>0</v>
      </c>
      <c r="L2089" s="1">
        <v>0</v>
      </c>
      <c r="M2089" s="1">
        <v>2</v>
      </c>
      <c r="N2089" s="1">
        <v>1</v>
      </c>
      <c r="O2089" s="1">
        <v>1</v>
      </c>
      <c r="P2089" s="1">
        <v>2</v>
      </c>
      <c r="Q2089" s="1">
        <v>0</v>
      </c>
      <c r="R2089" s="1">
        <v>3</v>
      </c>
      <c r="S2089" s="1">
        <v>1</v>
      </c>
      <c r="T2089" s="1">
        <v>0</v>
      </c>
      <c r="U2089" s="1">
        <v>4</v>
      </c>
      <c r="V2089" s="1" t="s">
        <v>301</v>
      </c>
    </row>
    <row r="2090" spans="1:22">
      <c r="A2090" t="s">
        <v>193</v>
      </c>
      <c r="B2090" t="s">
        <v>57</v>
      </c>
      <c r="C2090" t="s">
        <v>60</v>
      </c>
      <c r="D2090" s="1">
        <v>0</v>
      </c>
      <c r="E2090" s="1">
        <v>0</v>
      </c>
      <c r="F2090" s="1">
        <v>0</v>
      </c>
      <c r="G2090" s="1">
        <v>0</v>
      </c>
      <c r="H2090" s="1">
        <v>0</v>
      </c>
      <c r="I2090" s="1">
        <v>0</v>
      </c>
      <c r="J2090" s="1">
        <v>0</v>
      </c>
      <c r="K2090" s="1">
        <v>0</v>
      </c>
      <c r="L2090" s="1">
        <v>0</v>
      </c>
      <c r="M2090" s="1">
        <v>0</v>
      </c>
      <c r="N2090" s="1">
        <v>0</v>
      </c>
      <c r="O2090" s="1">
        <v>0</v>
      </c>
      <c r="P2090" s="1">
        <v>0</v>
      </c>
      <c r="Q2090" s="1">
        <v>0</v>
      </c>
      <c r="R2090" s="1">
        <v>0</v>
      </c>
      <c r="S2090" s="1">
        <v>0</v>
      </c>
      <c r="T2090" s="1">
        <v>0</v>
      </c>
      <c r="U2090" s="1">
        <v>0</v>
      </c>
      <c r="V2090" s="1" t="s">
        <v>301</v>
      </c>
    </row>
    <row r="2091" spans="1:22">
      <c r="A2091" t="s">
        <v>193</v>
      </c>
      <c r="B2091" t="s">
        <v>57</v>
      </c>
      <c r="C2091" t="s">
        <v>61</v>
      </c>
      <c r="D2091" s="1">
        <v>0</v>
      </c>
      <c r="E2091" s="1">
        <v>0</v>
      </c>
      <c r="F2091" s="1">
        <v>0</v>
      </c>
      <c r="G2091" s="1">
        <v>0</v>
      </c>
      <c r="H2091" s="1">
        <v>0</v>
      </c>
      <c r="I2091" s="1">
        <v>0</v>
      </c>
      <c r="J2091" s="1">
        <v>0</v>
      </c>
      <c r="K2091" s="1">
        <v>0</v>
      </c>
      <c r="L2091" s="1">
        <v>0</v>
      </c>
      <c r="M2091" s="1">
        <v>0</v>
      </c>
      <c r="N2091" s="1">
        <v>0</v>
      </c>
      <c r="O2091" s="1">
        <v>0</v>
      </c>
      <c r="P2091" s="1">
        <v>0</v>
      </c>
      <c r="Q2091" s="1">
        <v>0</v>
      </c>
      <c r="R2091" s="1">
        <v>0</v>
      </c>
      <c r="S2091" s="1">
        <v>0</v>
      </c>
      <c r="T2091" s="1">
        <v>0</v>
      </c>
      <c r="U2091" s="1">
        <v>0</v>
      </c>
      <c r="V2091" s="1" t="s">
        <v>301</v>
      </c>
    </row>
    <row r="2092" spans="1:22">
      <c r="A2092" t="s">
        <v>193</v>
      </c>
      <c r="B2092" t="s">
        <v>57</v>
      </c>
      <c r="C2092" t="s">
        <v>62</v>
      </c>
      <c r="D2092" s="1">
        <v>0</v>
      </c>
      <c r="E2092" s="1">
        <v>0</v>
      </c>
      <c r="F2092" s="1">
        <v>0</v>
      </c>
      <c r="G2092" s="1">
        <v>0</v>
      </c>
      <c r="H2092" s="1">
        <v>0</v>
      </c>
      <c r="I2092" s="1">
        <v>0</v>
      </c>
      <c r="J2092" s="1">
        <v>0</v>
      </c>
      <c r="K2092" s="1">
        <v>0</v>
      </c>
      <c r="L2092" s="1">
        <v>0</v>
      </c>
      <c r="M2092" s="1">
        <v>0</v>
      </c>
      <c r="N2092" s="1">
        <v>0</v>
      </c>
      <c r="O2092" s="1">
        <v>0</v>
      </c>
      <c r="P2092" s="1">
        <v>0</v>
      </c>
      <c r="Q2092" s="1">
        <v>0</v>
      </c>
      <c r="R2092" s="1">
        <v>0</v>
      </c>
      <c r="S2092" s="1">
        <v>0</v>
      </c>
      <c r="T2092" s="1">
        <v>0</v>
      </c>
      <c r="U2092" s="1">
        <v>0</v>
      </c>
      <c r="V2092" s="1" t="s">
        <v>301</v>
      </c>
    </row>
    <row r="2093" spans="1:22">
      <c r="A2093" t="s">
        <v>193</v>
      </c>
      <c r="B2093" t="s">
        <v>57</v>
      </c>
      <c r="C2093" t="s">
        <v>63</v>
      </c>
      <c r="D2093" s="1">
        <v>0</v>
      </c>
      <c r="E2093" s="1">
        <v>0</v>
      </c>
      <c r="F2093" s="1">
        <v>0</v>
      </c>
      <c r="G2093" s="1">
        <v>0</v>
      </c>
      <c r="H2093" s="1">
        <v>0</v>
      </c>
      <c r="I2093" s="1">
        <v>0</v>
      </c>
      <c r="J2093" s="1">
        <v>0</v>
      </c>
      <c r="K2093" s="1">
        <v>0</v>
      </c>
      <c r="L2093" s="1">
        <v>0</v>
      </c>
      <c r="M2093" s="1">
        <v>0</v>
      </c>
      <c r="N2093" s="1">
        <v>0</v>
      </c>
      <c r="O2093" s="1">
        <v>0</v>
      </c>
      <c r="P2093" s="1">
        <v>0</v>
      </c>
      <c r="Q2093" s="1">
        <v>0</v>
      </c>
      <c r="R2093" s="1">
        <v>0</v>
      </c>
      <c r="S2093" s="1">
        <v>0</v>
      </c>
      <c r="T2093" s="1">
        <v>0</v>
      </c>
      <c r="U2093" s="1">
        <v>0</v>
      </c>
      <c r="V2093" s="1" t="s">
        <v>301</v>
      </c>
    </row>
    <row r="2094" spans="1:22">
      <c r="A2094" t="s">
        <v>193</v>
      </c>
      <c r="B2094" t="s">
        <v>57</v>
      </c>
      <c r="C2094" t="s">
        <v>64</v>
      </c>
      <c r="D2094" s="1">
        <v>1</v>
      </c>
      <c r="E2094" s="1">
        <v>1</v>
      </c>
      <c r="F2094" s="1">
        <v>1</v>
      </c>
      <c r="G2094" s="1">
        <v>0</v>
      </c>
      <c r="H2094" s="1">
        <v>1</v>
      </c>
      <c r="I2094" s="1">
        <v>0</v>
      </c>
      <c r="J2094" s="1">
        <v>2</v>
      </c>
      <c r="K2094" s="1">
        <v>0</v>
      </c>
      <c r="L2094" s="1">
        <v>0</v>
      </c>
      <c r="M2094" s="1">
        <v>2</v>
      </c>
      <c r="N2094" s="1">
        <v>1</v>
      </c>
      <c r="O2094" s="1">
        <v>1</v>
      </c>
      <c r="P2094" s="1">
        <v>2</v>
      </c>
      <c r="Q2094" s="1">
        <v>0</v>
      </c>
      <c r="R2094" s="1">
        <v>3</v>
      </c>
      <c r="S2094" s="1">
        <v>1</v>
      </c>
      <c r="T2094" s="1">
        <v>0</v>
      </c>
      <c r="U2094" s="1">
        <v>4</v>
      </c>
      <c r="V2094" s="1" t="s">
        <v>301</v>
      </c>
    </row>
    <row r="2095" spans="1:22">
      <c r="A2095" t="s">
        <v>193</v>
      </c>
      <c r="B2095" t="s">
        <v>57</v>
      </c>
      <c r="C2095" t="s">
        <v>65</v>
      </c>
      <c r="D2095" s="1">
        <v>0</v>
      </c>
      <c r="E2095" s="1">
        <v>0</v>
      </c>
      <c r="F2095" s="1">
        <v>0</v>
      </c>
      <c r="G2095" s="1">
        <v>0</v>
      </c>
      <c r="H2095" s="1">
        <v>0</v>
      </c>
      <c r="I2095" s="1">
        <v>0</v>
      </c>
      <c r="J2095" s="1">
        <v>0</v>
      </c>
      <c r="K2095" s="1">
        <v>0</v>
      </c>
      <c r="L2095" s="1">
        <v>0</v>
      </c>
      <c r="M2095" s="1">
        <v>0</v>
      </c>
      <c r="N2095" s="1">
        <v>0</v>
      </c>
      <c r="O2095" s="1">
        <v>0</v>
      </c>
      <c r="P2095" s="1">
        <v>0</v>
      </c>
      <c r="Q2095" s="1">
        <v>0</v>
      </c>
      <c r="R2095" s="1">
        <v>0</v>
      </c>
      <c r="S2095" s="1">
        <v>0</v>
      </c>
      <c r="T2095" s="1">
        <v>0</v>
      </c>
      <c r="U2095" s="1">
        <v>0</v>
      </c>
      <c r="V2095" s="1" t="s">
        <v>301</v>
      </c>
    </row>
    <row r="2096" spans="1:22">
      <c r="A2096" t="s">
        <v>194</v>
      </c>
      <c r="B2096" t="s">
        <v>57</v>
      </c>
      <c r="C2096" t="s">
        <v>58</v>
      </c>
      <c r="D2096" s="1">
        <v>0</v>
      </c>
      <c r="E2096" s="1">
        <v>0</v>
      </c>
      <c r="F2096" s="1">
        <v>0</v>
      </c>
      <c r="G2096" s="1">
        <v>0</v>
      </c>
      <c r="H2096" s="1">
        <v>0</v>
      </c>
      <c r="I2096" s="1">
        <v>0</v>
      </c>
      <c r="J2096" s="1">
        <v>0</v>
      </c>
      <c r="K2096" s="1">
        <v>0</v>
      </c>
      <c r="L2096" s="1">
        <v>0</v>
      </c>
      <c r="M2096" s="1">
        <v>0</v>
      </c>
      <c r="N2096" s="1">
        <v>0</v>
      </c>
      <c r="O2096" s="1">
        <v>0</v>
      </c>
      <c r="P2096" s="1">
        <v>0</v>
      </c>
      <c r="Q2096" s="1">
        <v>0</v>
      </c>
      <c r="R2096" s="1">
        <v>0</v>
      </c>
      <c r="S2096" s="1">
        <v>0</v>
      </c>
      <c r="T2096" s="1">
        <v>0</v>
      </c>
      <c r="U2096" s="1">
        <v>5</v>
      </c>
      <c r="V2096" s="1" t="s">
        <v>301</v>
      </c>
    </row>
    <row r="2097" spans="1:22">
      <c r="A2097" t="s">
        <v>194</v>
      </c>
      <c r="B2097" t="s">
        <v>57</v>
      </c>
      <c r="C2097" t="s">
        <v>59</v>
      </c>
      <c r="D2097" s="1">
        <v>0</v>
      </c>
      <c r="E2097" s="1">
        <v>0</v>
      </c>
      <c r="F2097" s="1">
        <v>0</v>
      </c>
      <c r="G2097" s="1">
        <v>2</v>
      </c>
      <c r="H2097" s="1">
        <v>1</v>
      </c>
      <c r="I2097" s="1">
        <v>0</v>
      </c>
      <c r="J2097" s="1">
        <v>2</v>
      </c>
      <c r="K2097" s="1">
        <v>0</v>
      </c>
      <c r="L2097" s="1">
        <v>0</v>
      </c>
      <c r="M2097" s="1">
        <v>1</v>
      </c>
      <c r="N2097" s="1">
        <v>1</v>
      </c>
      <c r="O2097" s="1">
        <v>1</v>
      </c>
      <c r="P2097" s="1">
        <v>1</v>
      </c>
      <c r="Q2097" s="1">
        <v>0</v>
      </c>
      <c r="R2097" s="1">
        <v>0</v>
      </c>
      <c r="S2097" s="1">
        <v>3</v>
      </c>
      <c r="T2097" s="1">
        <v>0</v>
      </c>
      <c r="U2097" s="1">
        <v>3</v>
      </c>
      <c r="V2097" s="1" t="s">
        <v>301</v>
      </c>
    </row>
    <row r="2098" spans="1:22">
      <c r="A2098" t="s">
        <v>194</v>
      </c>
      <c r="B2098" t="s">
        <v>57</v>
      </c>
      <c r="C2098" t="s">
        <v>60</v>
      </c>
      <c r="D2098" s="1">
        <v>0</v>
      </c>
      <c r="E2098" s="1">
        <v>0</v>
      </c>
      <c r="F2098" s="1">
        <v>0</v>
      </c>
      <c r="G2098" s="1">
        <v>0</v>
      </c>
      <c r="H2098" s="1">
        <v>0</v>
      </c>
      <c r="I2098" s="1">
        <v>0</v>
      </c>
      <c r="J2098" s="1">
        <v>0</v>
      </c>
      <c r="K2098" s="1">
        <v>0</v>
      </c>
      <c r="L2098" s="1">
        <v>0</v>
      </c>
      <c r="M2098" s="1">
        <v>0</v>
      </c>
      <c r="N2098" s="1">
        <v>0</v>
      </c>
      <c r="O2098" s="1">
        <v>0</v>
      </c>
      <c r="P2098" s="1">
        <v>0</v>
      </c>
      <c r="Q2098" s="1">
        <v>0</v>
      </c>
      <c r="R2098" s="1">
        <v>0</v>
      </c>
      <c r="S2098" s="1">
        <v>0</v>
      </c>
      <c r="T2098" s="1">
        <v>0</v>
      </c>
      <c r="U2098" s="1">
        <v>0</v>
      </c>
      <c r="V2098" s="1" t="s">
        <v>301</v>
      </c>
    </row>
    <row r="2099" spans="1:22">
      <c r="A2099" t="s">
        <v>194</v>
      </c>
      <c r="B2099" t="s">
        <v>57</v>
      </c>
      <c r="C2099" t="s">
        <v>61</v>
      </c>
      <c r="D2099" s="1">
        <v>0</v>
      </c>
      <c r="E2099" s="1">
        <v>1</v>
      </c>
      <c r="F2099" s="1">
        <v>0</v>
      </c>
      <c r="G2099" s="1">
        <v>0</v>
      </c>
      <c r="H2099" s="1">
        <v>0</v>
      </c>
      <c r="I2099" s="1">
        <v>0</v>
      </c>
      <c r="J2099" s="1">
        <v>0</v>
      </c>
      <c r="K2099" s="1">
        <v>0</v>
      </c>
      <c r="L2099" s="1">
        <v>0</v>
      </c>
      <c r="M2099" s="1">
        <v>1</v>
      </c>
      <c r="N2099" s="1">
        <v>0</v>
      </c>
      <c r="O2099" s="1">
        <v>0</v>
      </c>
      <c r="P2099" s="1">
        <v>1</v>
      </c>
      <c r="Q2099" s="1">
        <v>0</v>
      </c>
      <c r="R2099" s="1">
        <v>0</v>
      </c>
      <c r="S2099" s="1">
        <v>1</v>
      </c>
      <c r="T2099" s="1">
        <v>0</v>
      </c>
      <c r="U2099" s="1">
        <v>1</v>
      </c>
      <c r="V2099" s="1" t="s">
        <v>301</v>
      </c>
    </row>
    <row r="2100" spans="1:22">
      <c r="A2100" t="s">
        <v>194</v>
      </c>
      <c r="B2100" t="s">
        <v>57</v>
      </c>
      <c r="C2100" t="s">
        <v>62</v>
      </c>
      <c r="D2100" s="1">
        <v>0</v>
      </c>
      <c r="E2100" s="1">
        <v>0</v>
      </c>
      <c r="F2100" s="1">
        <v>0</v>
      </c>
      <c r="G2100" s="1">
        <v>1</v>
      </c>
      <c r="H2100" s="1">
        <v>0</v>
      </c>
      <c r="I2100" s="1">
        <v>0</v>
      </c>
      <c r="J2100" s="1">
        <v>0</v>
      </c>
      <c r="K2100" s="1">
        <v>0</v>
      </c>
      <c r="L2100" s="1">
        <v>0</v>
      </c>
      <c r="M2100" s="1">
        <v>1</v>
      </c>
      <c r="N2100" s="1">
        <v>1</v>
      </c>
      <c r="O2100" s="1">
        <v>0</v>
      </c>
      <c r="P2100" s="1">
        <v>0</v>
      </c>
      <c r="Q2100" s="1">
        <v>0</v>
      </c>
      <c r="R2100" s="1">
        <v>0</v>
      </c>
      <c r="S2100" s="1">
        <v>1</v>
      </c>
      <c r="T2100" s="1">
        <v>0</v>
      </c>
      <c r="U2100" s="1">
        <v>1</v>
      </c>
      <c r="V2100" s="1" t="s">
        <v>301</v>
      </c>
    </row>
    <row r="2101" spans="1:22">
      <c r="A2101" t="s">
        <v>194</v>
      </c>
      <c r="B2101" t="s">
        <v>57</v>
      </c>
      <c r="C2101" t="s">
        <v>63</v>
      </c>
      <c r="D2101" s="1">
        <v>0</v>
      </c>
      <c r="E2101" s="1">
        <v>0</v>
      </c>
      <c r="F2101" s="1">
        <v>0</v>
      </c>
      <c r="G2101" s="1">
        <v>0</v>
      </c>
      <c r="H2101" s="1">
        <v>0</v>
      </c>
      <c r="I2101" s="1">
        <v>0</v>
      </c>
      <c r="J2101" s="1">
        <v>0</v>
      </c>
      <c r="K2101" s="1">
        <v>0</v>
      </c>
      <c r="L2101" s="1">
        <v>0</v>
      </c>
      <c r="M2101" s="1">
        <v>0</v>
      </c>
      <c r="N2101" s="1">
        <v>0</v>
      </c>
      <c r="O2101" s="1">
        <v>0</v>
      </c>
      <c r="P2101" s="1">
        <v>0</v>
      </c>
      <c r="Q2101" s="1">
        <v>0</v>
      </c>
      <c r="R2101" s="1">
        <v>0</v>
      </c>
      <c r="S2101" s="1">
        <v>0</v>
      </c>
      <c r="T2101" s="1">
        <v>0</v>
      </c>
      <c r="U2101" s="1">
        <v>0</v>
      </c>
      <c r="V2101" s="1" t="s">
        <v>301</v>
      </c>
    </row>
    <row r="2102" spans="1:22">
      <c r="A2102" t="s">
        <v>194</v>
      </c>
      <c r="B2102" t="s">
        <v>57</v>
      </c>
      <c r="C2102" t="s">
        <v>64</v>
      </c>
      <c r="D2102" s="1">
        <v>0</v>
      </c>
      <c r="E2102" s="1">
        <v>1</v>
      </c>
      <c r="F2102" s="1">
        <v>0</v>
      </c>
      <c r="G2102" s="1">
        <v>3</v>
      </c>
      <c r="H2102" s="1">
        <v>1</v>
      </c>
      <c r="I2102" s="1">
        <v>0</v>
      </c>
      <c r="J2102" s="1">
        <v>2</v>
      </c>
      <c r="K2102" s="1">
        <v>0</v>
      </c>
      <c r="L2102" s="1">
        <v>0</v>
      </c>
      <c r="M2102" s="1">
        <v>3</v>
      </c>
      <c r="N2102" s="1">
        <v>2</v>
      </c>
      <c r="O2102" s="1">
        <v>1</v>
      </c>
      <c r="P2102" s="1">
        <v>2</v>
      </c>
      <c r="Q2102" s="1">
        <v>0</v>
      </c>
      <c r="R2102" s="1">
        <v>0</v>
      </c>
      <c r="S2102" s="1">
        <v>5</v>
      </c>
      <c r="T2102" s="1">
        <v>0</v>
      </c>
      <c r="U2102" s="1">
        <v>5</v>
      </c>
      <c r="V2102" s="1" t="s">
        <v>301</v>
      </c>
    </row>
    <row r="2103" spans="1:22">
      <c r="A2103" t="s">
        <v>194</v>
      </c>
      <c r="B2103" t="s">
        <v>57</v>
      </c>
      <c r="C2103" t="s">
        <v>65</v>
      </c>
      <c r="D2103" s="1">
        <v>0</v>
      </c>
      <c r="E2103" s="1">
        <v>0</v>
      </c>
      <c r="F2103" s="1">
        <v>0</v>
      </c>
      <c r="G2103" s="1">
        <v>0</v>
      </c>
      <c r="H2103" s="1">
        <v>0</v>
      </c>
      <c r="I2103" s="1">
        <v>0</v>
      </c>
      <c r="J2103" s="1">
        <v>0</v>
      </c>
      <c r="K2103" s="1">
        <v>0</v>
      </c>
      <c r="L2103" s="1">
        <v>0</v>
      </c>
      <c r="M2103" s="1">
        <v>0</v>
      </c>
      <c r="N2103" s="1">
        <v>0</v>
      </c>
      <c r="O2103" s="1">
        <v>0</v>
      </c>
      <c r="P2103" s="1">
        <v>0</v>
      </c>
      <c r="Q2103" s="1">
        <v>0</v>
      </c>
      <c r="R2103" s="1">
        <v>0</v>
      </c>
      <c r="S2103" s="1">
        <v>0</v>
      </c>
      <c r="T2103" s="1">
        <v>0</v>
      </c>
      <c r="U2103" s="1">
        <v>0</v>
      </c>
      <c r="V2103" s="1" t="s">
        <v>301</v>
      </c>
    </row>
    <row r="2104" spans="1:22">
      <c r="A2104" t="s">
        <v>195</v>
      </c>
      <c r="B2104" t="s">
        <v>57</v>
      </c>
      <c r="C2104" t="s">
        <v>58</v>
      </c>
      <c r="D2104" s="1">
        <v>0</v>
      </c>
      <c r="E2104" s="1">
        <v>0</v>
      </c>
      <c r="F2104" s="1">
        <v>0</v>
      </c>
      <c r="G2104" s="1">
        <v>0</v>
      </c>
      <c r="H2104" s="1">
        <v>0</v>
      </c>
      <c r="I2104" s="1">
        <v>0</v>
      </c>
      <c r="J2104" s="1">
        <v>0</v>
      </c>
      <c r="K2104" s="1">
        <v>0</v>
      </c>
      <c r="L2104" s="1">
        <v>0</v>
      </c>
      <c r="M2104" s="1">
        <v>0</v>
      </c>
      <c r="N2104" s="1">
        <v>0</v>
      </c>
      <c r="O2104" s="1">
        <v>0</v>
      </c>
      <c r="P2104" s="1">
        <v>0</v>
      </c>
      <c r="Q2104" s="1">
        <v>0</v>
      </c>
      <c r="R2104" s="1">
        <v>0</v>
      </c>
      <c r="S2104" s="1">
        <v>0</v>
      </c>
      <c r="T2104" s="1">
        <v>0</v>
      </c>
      <c r="U2104" s="1">
        <v>5</v>
      </c>
      <c r="V2104" s="1" t="s">
        <v>301</v>
      </c>
    </row>
    <row r="2105" spans="1:22">
      <c r="A2105" t="s">
        <v>195</v>
      </c>
      <c r="B2105" t="s">
        <v>57</v>
      </c>
      <c r="C2105" t="s">
        <v>59</v>
      </c>
      <c r="D2105" s="1">
        <v>0</v>
      </c>
      <c r="E2105" s="1">
        <v>0</v>
      </c>
      <c r="F2105" s="1">
        <v>0</v>
      </c>
      <c r="G2105" s="1">
        <v>0</v>
      </c>
      <c r="H2105" s="1">
        <v>0</v>
      </c>
      <c r="I2105" s="1">
        <v>0</v>
      </c>
      <c r="J2105" s="1">
        <v>0</v>
      </c>
      <c r="K2105" s="1">
        <v>0</v>
      </c>
      <c r="L2105" s="1">
        <v>0</v>
      </c>
      <c r="M2105" s="1">
        <v>0</v>
      </c>
      <c r="N2105" s="1">
        <v>0</v>
      </c>
      <c r="O2105" s="1">
        <v>0</v>
      </c>
      <c r="P2105" s="1">
        <v>0</v>
      </c>
      <c r="Q2105" s="1">
        <v>0</v>
      </c>
      <c r="R2105" s="1">
        <v>0</v>
      </c>
      <c r="S2105" s="1">
        <v>0</v>
      </c>
      <c r="T2105" s="1">
        <v>0</v>
      </c>
      <c r="U2105" s="1">
        <v>0</v>
      </c>
      <c r="V2105" s="1" t="s">
        <v>301</v>
      </c>
    </row>
    <row r="2106" spans="1:22">
      <c r="A2106" t="s">
        <v>195</v>
      </c>
      <c r="B2106" t="s">
        <v>57</v>
      </c>
      <c r="C2106" t="s">
        <v>60</v>
      </c>
      <c r="D2106" s="1">
        <v>0</v>
      </c>
      <c r="E2106" s="1">
        <v>0</v>
      </c>
      <c r="F2106" s="1">
        <v>0</v>
      </c>
      <c r="G2106" s="1">
        <v>0</v>
      </c>
      <c r="H2106" s="1">
        <v>0</v>
      </c>
      <c r="I2106" s="1">
        <v>0</v>
      </c>
      <c r="J2106" s="1">
        <v>0</v>
      </c>
      <c r="K2106" s="1">
        <v>0</v>
      </c>
      <c r="L2106" s="1">
        <v>0</v>
      </c>
      <c r="M2106" s="1">
        <v>0</v>
      </c>
      <c r="N2106" s="1">
        <v>0</v>
      </c>
      <c r="O2106" s="1">
        <v>0</v>
      </c>
      <c r="P2106" s="1">
        <v>0</v>
      </c>
      <c r="Q2106" s="1">
        <v>0</v>
      </c>
      <c r="R2106" s="1">
        <v>0</v>
      </c>
      <c r="S2106" s="1">
        <v>0</v>
      </c>
      <c r="T2106" s="1">
        <v>0</v>
      </c>
      <c r="U2106" s="1">
        <v>0</v>
      </c>
      <c r="V2106" s="1" t="s">
        <v>301</v>
      </c>
    </row>
    <row r="2107" spans="1:22">
      <c r="A2107" t="s">
        <v>195</v>
      </c>
      <c r="B2107" t="s">
        <v>57</v>
      </c>
      <c r="C2107" t="s">
        <v>61</v>
      </c>
      <c r="D2107" s="1">
        <v>0</v>
      </c>
      <c r="E2107" s="1">
        <v>0</v>
      </c>
      <c r="F2107" s="1">
        <v>0</v>
      </c>
      <c r="G2107" s="1">
        <v>0</v>
      </c>
      <c r="H2107" s="1">
        <v>0</v>
      </c>
      <c r="I2107" s="1">
        <v>0</v>
      </c>
      <c r="J2107" s="1">
        <v>0</v>
      </c>
      <c r="K2107" s="1">
        <v>0</v>
      </c>
      <c r="L2107" s="1">
        <v>0</v>
      </c>
      <c r="M2107" s="1">
        <v>0</v>
      </c>
      <c r="N2107" s="1">
        <v>0</v>
      </c>
      <c r="O2107" s="1">
        <v>0</v>
      </c>
      <c r="P2107" s="1">
        <v>0</v>
      </c>
      <c r="Q2107" s="1">
        <v>0</v>
      </c>
      <c r="R2107" s="1">
        <v>0</v>
      </c>
      <c r="S2107" s="1">
        <v>0</v>
      </c>
      <c r="T2107" s="1">
        <v>0</v>
      </c>
      <c r="U2107" s="1">
        <v>0</v>
      </c>
      <c r="V2107" s="1" t="s">
        <v>301</v>
      </c>
    </row>
    <row r="2108" spans="1:22">
      <c r="A2108" t="s">
        <v>195</v>
      </c>
      <c r="B2108" t="s">
        <v>57</v>
      </c>
      <c r="C2108" t="s">
        <v>62</v>
      </c>
      <c r="D2108" s="1">
        <v>0</v>
      </c>
      <c r="E2108" s="1">
        <v>0</v>
      </c>
      <c r="F2108" s="1">
        <v>0</v>
      </c>
      <c r="G2108" s="1">
        <v>1</v>
      </c>
      <c r="H2108" s="1">
        <v>0</v>
      </c>
      <c r="I2108" s="1">
        <v>0</v>
      </c>
      <c r="J2108" s="1">
        <v>0</v>
      </c>
      <c r="K2108" s="1">
        <v>0</v>
      </c>
      <c r="L2108" s="1">
        <v>0</v>
      </c>
      <c r="M2108" s="1">
        <v>1</v>
      </c>
      <c r="N2108" s="1">
        <v>0</v>
      </c>
      <c r="O2108" s="1">
        <v>0</v>
      </c>
      <c r="P2108" s="1">
        <v>0</v>
      </c>
      <c r="Q2108" s="1">
        <v>1</v>
      </c>
      <c r="R2108" s="1">
        <v>1</v>
      </c>
      <c r="S2108" s="1">
        <v>0</v>
      </c>
      <c r="T2108" s="1">
        <v>0</v>
      </c>
      <c r="U2108" s="1">
        <v>1</v>
      </c>
      <c r="V2108" s="1" t="s">
        <v>301</v>
      </c>
    </row>
    <row r="2109" spans="1:22">
      <c r="A2109" t="s">
        <v>195</v>
      </c>
      <c r="B2109" t="s">
        <v>57</v>
      </c>
      <c r="C2109" t="s">
        <v>63</v>
      </c>
      <c r="D2109" s="1">
        <v>0</v>
      </c>
      <c r="E2109" s="1">
        <v>0</v>
      </c>
      <c r="F2109" s="1">
        <v>0</v>
      </c>
      <c r="G2109" s="1">
        <v>0</v>
      </c>
      <c r="H2109" s="1">
        <v>0</v>
      </c>
      <c r="I2109" s="1">
        <v>0</v>
      </c>
      <c r="J2109" s="1">
        <v>0</v>
      </c>
      <c r="K2109" s="1">
        <v>0</v>
      </c>
      <c r="L2109" s="1">
        <v>0</v>
      </c>
      <c r="M2109" s="1">
        <v>0</v>
      </c>
      <c r="N2109" s="1">
        <v>0</v>
      </c>
      <c r="O2109" s="1">
        <v>0</v>
      </c>
      <c r="P2109" s="1">
        <v>0</v>
      </c>
      <c r="Q2109" s="1">
        <v>0</v>
      </c>
      <c r="R2109" s="1">
        <v>0</v>
      </c>
      <c r="S2109" s="1">
        <v>0</v>
      </c>
      <c r="T2109" s="1">
        <v>0</v>
      </c>
      <c r="U2109" s="1">
        <v>0</v>
      </c>
      <c r="V2109" s="1" t="s">
        <v>301</v>
      </c>
    </row>
    <row r="2110" spans="1:22">
      <c r="A2110" t="s">
        <v>195</v>
      </c>
      <c r="B2110" t="s">
        <v>57</v>
      </c>
      <c r="C2110" t="s">
        <v>64</v>
      </c>
      <c r="D2110" s="1">
        <v>0</v>
      </c>
      <c r="E2110" s="1">
        <v>0</v>
      </c>
      <c r="F2110" s="1">
        <v>0</v>
      </c>
      <c r="G2110" s="1">
        <v>1</v>
      </c>
      <c r="H2110" s="1">
        <v>0</v>
      </c>
      <c r="I2110" s="1">
        <v>0</v>
      </c>
      <c r="J2110" s="1">
        <v>0</v>
      </c>
      <c r="K2110" s="1">
        <v>0</v>
      </c>
      <c r="L2110" s="1">
        <v>0</v>
      </c>
      <c r="M2110" s="1">
        <v>1</v>
      </c>
      <c r="N2110" s="1">
        <v>0</v>
      </c>
      <c r="O2110" s="1">
        <v>0</v>
      </c>
      <c r="P2110" s="1">
        <v>0</v>
      </c>
      <c r="Q2110" s="1">
        <v>1</v>
      </c>
      <c r="R2110" s="1">
        <v>1</v>
      </c>
      <c r="S2110" s="1">
        <v>0</v>
      </c>
      <c r="T2110" s="1">
        <v>0</v>
      </c>
      <c r="U2110" s="1">
        <v>1</v>
      </c>
      <c r="V2110" s="1" t="s">
        <v>301</v>
      </c>
    </row>
    <row r="2111" spans="1:22">
      <c r="A2111" t="s">
        <v>195</v>
      </c>
      <c r="B2111" t="s">
        <v>57</v>
      </c>
      <c r="C2111" t="s">
        <v>65</v>
      </c>
      <c r="D2111" s="1">
        <v>0</v>
      </c>
      <c r="E2111" s="1">
        <v>0</v>
      </c>
      <c r="F2111" s="1">
        <v>0</v>
      </c>
      <c r="G2111" s="1">
        <v>0</v>
      </c>
      <c r="H2111" s="1">
        <v>0</v>
      </c>
      <c r="I2111" s="1">
        <v>0</v>
      </c>
      <c r="J2111" s="1">
        <v>0</v>
      </c>
      <c r="K2111" s="1">
        <v>0</v>
      </c>
      <c r="L2111" s="1">
        <v>0</v>
      </c>
      <c r="M2111" s="1">
        <v>0</v>
      </c>
      <c r="N2111" s="1">
        <v>0</v>
      </c>
      <c r="O2111" s="1">
        <v>0</v>
      </c>
      <c r="P2111" s="1">
        <v>0</v>
      </c>
      <c r="Q2111" s="1">
        <v>0</v>
      </c>
      <c r="R2111" s="1">
        <v>0</v>
      </c>
      <c r="S2111" s="1">
        <v>0</v>
      </c>
      <c r="T2111" s="1">
        <v>0</v>
      </c>
      <c r="U2111" s="1">
        <v>0</v>
      </c>
      <c r="V2111" s="1" t="s">
        <v>301</v>
      </c>
    </row>
    <row r="2112" spans="1:22">
      <c r="A2112" t="s">
        <v>196</v>
      </c>
      <c r="B2112" t="s">
        <v>57</v>
      </c>
      <c r="C2112" t="s">
        <v>58</v>
      </c>
      <c r="D2112" s="1">
        <v>0</v>
      </c>
      <c r="E2112" s="1">
        <v>0</v>
      </c>
      <c r="F2112" s="1">
        <v>0</v>
      </c>
      <c r="G2112" s="1">
        <v>0</v>
      </c>
      <c r="H2112" s="1">
        <v>0</v>
      </c>
      <c r="I2112" s="1">
        <v>0</v>
      </c>
      <c r="J2112" s="1">
        <v>0</v>
      </c>
      <c r="K2112" s="1">
        <v>0</v>
      </c>
      <c r="L2112" s="1">
        <v>0</v>
      </c>
      <c r="M2112" s="1">
        <v>0</v>
      </c>
      <c r="N2112" s="1">
        <v>0</v>
      </c>
      <c r="O2112" s="1">
        <v>0</v>
      </c>
      <c r="P2112" s="1">
        <v>0</v>
      </c>
      <c r="Q2112" s="1">
        <v>0</v>
      </c>
      <c r="R2112" s="1">
        <v>0</v>
      </c>
      <c r="S2112" s="1">
        <v>0</v>
      </c>
      <c r="T2112" s="1">
        <v>0</v>
      </c>
      <c r="U2112" s="1">
        <v>5</v>
      </c>
      <c r="V2112" s="1" t="s">
        <v>301</v>
      </c>
    </row>
    <row r="2113" spans="1:22">
      <c r="A2113" t="s">
        <v>196</v>
      </c>
      <c r="B2113" t="s">
        <v>57</v>
      </c>
      <c r="C2113" t="s">
        <v>59</v>
      </c>
      <c r="D2113" s="1">
        <v>0</v>
      </c>
      <c r="E2113" s="1">
        <v>0</v>
      </c>
      <c r="F2113" s="1">
        <v>0</v>
      </c>
      <c r="G2113" s="1">
        <v>1</v>
      </c>
      <c r="H2113" s="1">
        <v>0</v>
      </c>
      <c r="I2113" s="1">
        <v>0</v>
      </c>
      <c r="J2113" s="1">
        <v>1</v>
      </c>
      <c r="K2113" s="1">
        <v>0</v>
      </c>
      <c r="L2113" s="1">
        <v>0</v>
      </c>
      <c r="M2113" s="1">
        <v>0</v>
      </c>
      <c r="N2113" s="1">
        <v>0</v>
      </c>
      <c r="O2113" s="1">
        <v>0</v>
      </c>
      <c r="P2113" s="1">
        <v>1</v>
      </c>
      <c r="Q2113" s="1">
        <v>0</v>
      </c>
      <c r="R2113" s="1">
        <v>0</v>
      </c>
      <c r="S2113" s="1">
        <v>1</v>
      </c>
      <c r="T2113" s="1">
        <v>0</v>
      </c>
      <c r="U2113" s="1">
        <v>1</v>
      </c>
      <c r="V2113" s="1" t="s">
        <v>301</v>
      </c>
    </row>
    <row r="2114" spans="1:22">
      <c r="A2114" t="s">
        <v>196</v>
      </c>
      <c r="B2114" t="s">
        <v>57</v>
      </c>
      <c r="C2114" t="s">
        <v>60</v>
      </c>
      <c r="D2114" s="1">
        <v>0</v>
      </c>
      <c r="E2114" s="1">
        <v>0</v>
      </c>
      <c r="F2114" s="1">
        <v>0</v>
      </c>
      <c r="G2114" s="1">
        <v>0</v>
      </c>
      <c r="H2114" s="1">
        <v>0</v>
      </c>
      <c r="I2114" s="1">
        <v>0</v>
      </c>
      <c r="J2114" s="1">
        <v>0</v>
      </c>
      <c r="K2114" s="1">
        <v>0</v>
      </c>
      <c r="L2114" s="1">
        <v>0</v>
      </c>
      <c r="M2114" s="1">
        <v>0</v>
      </c>
      <c r="N2114" s="1">
        <v>0</v>
      </c>
      <c r="O2114" s="1">
        <v>0</v>
      </c>
      <c r="P2114" s="1">
        <v>0</v>
      </c>
      <c r="Q2114" s="1">
        <v>0</v>
      </c>
      <c r="R2114" s="1">
        <v>0</v>
      </c>
      <c r="S2114" s="1">
        <v>0</v>
      </c>
      <c r="T2114" s="1">
        <v>0</v>
      </c>
      <c r="U2114" s="1">
        <v>0</v>
      </c>
      <c r="V2114" s="1" t="s">
        <v>301</v>
      </c>
    </row>
    <row r="2115" spans="1:22">
      <c r="A2115" t="s">
        <v>196</v>
      </c>
      <c r="B2115" t="s">
        <v>57</v>
      </c>
      <c r="C2115" t="s">
        <v>61</v>
      </c>
      <c r="D2115" s="1">
        <v>0</v>
      </c>
      <c r="E2115" s="1">
        <v>0</v>
      </c>
      <c r="F2115" s="1">
        <v>0</v>
      </c>
      <c r="G2115" s="1">
        <v>0</v>
      </c>
      <c r="H2115" s="1">
        <v>0</v>
      </c>
      <c r="I2115" s="1">
        <v>0</v>
      </c>
      <c r="J2115" s="1">
        <v>0</v>
      </c>
      <c r="K2115" s="1">
        <v>0</v>
      </c>
      <c r="L2115" s="1">
        <v>0</v>
      </c>
      <c r="M2115" s="1">
        <v>0</v>
      </c>
      <c r="N2115" s="1">
        <v>0</v>
      </c>
      <c r="O2115" s="1">
        <v>0</v>
      </c>
      <c r="P2115" s="1">
        <v>0</v>
      </c>
      <c r="Q2115" s="1">
        <v>0</v>
      </c>
      <c r="R2115" s="1">
        <v>0</v>
      </c>
      <c r="S2115" s="1">
        <v>0</v>
      </c>
      <c r="T2115" s="1">
        <v>0</v>
      </c>
      <c r="U2115" s="1">
        <v>0</v>
      </c>
      <c r="V2115" s="1" t="s">
        <v>301</v>
      </c>
    </row>
    <row r="2116" spans="1:22">
      <c r="A2116" t="s">
        <v>196</v>
      </c>
      <c r="B2116" t="s">
        <v>57</v>
      </c>
      <c r="C2116" t="s">
        <v>62</v>
      </c>
      <c r="D2116" s="1">
        <v>0</v>
      </c>
      <c r="E2116" s="1">
        <v>0</v>
      </c>
      <c r="F2116" s="1">
        <v>0</v>
      </c>
      <c r="G2116" s="1">
        <v>1</v>
      </c>
      <c r="H2116" s="1">
        <v>0</v>
      </c>
      <c r="I2116" s="1">
        <v>0</v>
      </c>
      <c r="J2116" s="1">
        <v>0</v>
      </c>
      <c r="K2116" s="1">
        <v>1</v>
      </c>
      <c r="L2116" s="1">
        <v>0</v>
      </c>
      <c r="M2116" s="1">
        <v>0</v>
      </c>
      <c r="N2116" s="1">
        <v>0</v>
      </c>
      <c r="O2116" s="1">
        <v>1</v>
      </c>
      <c r="P2116" s="1">
        <v>0</v>
      </c>
      <c r="Q2116" s="1">
        <v>0</v>
      </c>
      <c r="R2116" s="1">
        <v>0</v>
      </c>
      <c r="S2116" s="1">
        <v>1</v>
      </c>
      <c r="T2116" s="1">
        <v>0</v>
      </c>
      <c r="U2116" s="1">
        <v>1</v>
      </c>
      <c r="V2116" s="1" t="s">
        <v>301</v>
      </c>
    </row>
    <row r="2117" spans="1:22">
      <c r="A2117" t="s">
        <v>196</v>
      </c>
      <c r="B2117" t="s">
        <v>57</v>
      </c>
      <c r="C2117" t="s">
        <v>63</v>
      </c>
      <c r="D2117" s="1">
        <v>0</v>
      </c>
      <c r="E2117" s="1">
        <v>0</v>
      </c>
      <c r="F2117" s="1">
        <v>0</v>
      </c>
      <c r="G2117" s="1">
        <v>0</v>
      </c>
      <c r="H2117" s="1">
        <v>0</v>
      </c>
      <c r="I2117" s="1">
        <v>0</v>
      </c>
      <c r="J2117" s="1">
        <v>0</v>
      </c>
      <c r="K2117" s="1">
        <v>0</v>
      </c>
      <c r="L2117" s="1">
        <v>0</v>
      </c>
      <c r="M2117" s="1">
        <v>0</v>
      </c>
      <c r="N2117" s="1">
        <v>0</v>
      </c>
      <c r="O2117" s="1">
        <v>0</v>
      </c>
      <c r="P2117" s="1">
        <v>0</v>
      </c>
      <c r="Q2117" s="1">
        <v>0</v>
      </c>
      <c r="R2117" s="1">
        <v>0</v>
      </c>
      <c r="S2117" s="1">
        <v>0</v>
      </c>
      <c r="T2117" s="1">
        <v>0</v>
      </c>
      <c r="U2117" s="1">
        <v>0</v>
      </c>
      <c r="V2117" s="1" t="s">
        <v>301</v>
      </c>
    </row>
    <row r="2118" spans="1:22">
      <c r="A2118" t="s">
        <v>196</v>
      </c>
      <c r="B2118" t="s">
        <v>57</v>
      </c>
      <c r="C2118" t="s">
        <v>64</v>
      </c>
      <c r="D2118" s="1">
        <v>0</v>
      </c>
      <c r="E2118" s="1">
        <v>0</v>
      </c>
      <c r="F2118" s="1">
        <v>0</v>
      </c>
      <c r="G2118" s="1">
        <v>2</v>
      </c>
      <c r="H2118" s="1">
        <v>0</v>
      </c>
      <c r="I2118" s="1">
        <v>0</v>
      </c>
      <c r="J2118" s="1">
        <v>1</v>
      </c>
      <c r="K2118" s="1">
        <v>1</v>
      </c>
      <c r="L2118" s="1">
        <v>0</v>
      </c>
      <c r="M2118" s="1">
        <v>0</v>
      </c>
      <c r="N2118" s="1">
        <v>0</v>
      </c>
      <c r="O2118" s="1">
        <v>1</v>
      </c>
      <c r="P2118" s="1">
        <v>1</v>
      </c>
      <c r="Q2118" s="1">
        <v>0</v>
      </c>
      <c r="R2118" s="1">
        <v>0</v>
      </c>
      <c r="S2118" s="1">
        <v>2</v>
      </c>
      <c r="T2118" s="1">
        <v>0</v>
      </c>
      <c r="U2118" s="1">
        <v>2</v>
      </c>
      <c r="V2118" s="1" t="s">
        <v>301</v>
      </c>
    </row>
    <row r="2119" spans="1:22">
      <c r="A2119" t="s">
        <v>196</v>
      </c>
      <c r="B2119" t="s">
        <v>57</v>
      </c>
      <c r="C2119" t="s">
        <v>65</v>
      </c>
      <c r="D2119" s="1">
        <v>0</v>
      </c>
      <c r="E2119" s="1">
        <v>0</v>
      </c>
      <c r="F2119" s="1">
        <v>0</v>
      </c>
      <c r="G2119" s="1">
        <v>0</v>
      </c>
      <c r="H2119" s="1">
        <v>0</v>
      </c>
      <c r="I2119" s="1">
        <v>0</v>
      </c>
      <c r="J2119" s="1">
        <v>0</v>
      </c>
      <c r="K2119" s="1">
        <v>0</v>
      </c>
      <c r="L2119" s="1">
        <v>0</v>
      </c>
      <c r="M2119" s="1">
        <v>0</v>
      </c>
      <c r="N2119" s="1">
        <v>0</v>
      </c>
      <c r="O2119" s="1">
        <v>0</v>
      </c>
      <c r="P2119" s="1">
        <v>0</v>
      </c>
      <c r="Q2119" s="1">
        <v>0</v>
      </c>
      <c r="R2119" s="1">
        <v>0</v>
      </c>
      <c r="S2119" s="1">
        <v>0</v>
      </c>
      <c r="T2119" s="1">
        <v>0</v>
      </c>
      <c r="U2119" s="1">
        <v>0</v>
      </c>
      <c r="V2119" s="1" t="s">
        <v>301</v>
      </c>
    </row>
    <row r="2120" spans="1:22">
      <c r="A2120" t="s">
        <v>55</v>
      </c>
      <c r="B2120" t="s">
        <v>57</v>
      </c>
      <c r="C2120" t="s">
        <v>58</v>
      </c>
      <c r="D2120" s="1">
        <v>0</v>
      </c>
      <c r="E2120" s="1">
        <v>0</v>
      </c>
      <c r="F2120" s="1">
        <v>0</v>
      </c>
      <c r="G2120" s="1">
        <v>0</v>
      </c>
      <c r="H2120" s="1">
        <v>0</v>
      </c>
      <c r="I2120" s="1">
        <v>0</v>
      </c>
      <c r="J2120" s="1">
        <v>0</v>
      </c>
      <c r="K2120" s="1">
        <v>0</v>
      </c>
      <c r="L2120" s="1">
        <v>0</v>
      </c>
      <c r="M2120" s="1">
        <v>0</v>
      </c>
      <c r="N2120" s="1">
        <v>0</v>
      </c>
      <c r="O2120" s="1">
        <v>0</v>
      </c>
      <c r="P2120" s="1">
        <v>0</v>
      </c>
      <c r="Q2120" s="1">
        <v>0</v>
      </c>
      <c r="R2120" s="1">
        <v>0</v>
      </c>
      <c r="S2120" s="1">
        <v>0</v>
      </c>
      <c r="T2120" s="1">
        <v>0</v>
      </c>
      <c r="U2120" s="1">
        <v>54</v>
      </c>
      <c r="V2120" s="1" t="s">
        <v>301</v>
      </c>
    </row>
    <row r="2121" spans="1:22">
      <c r="A2121" t="s">
        <v>55</v>
      </c>
      <c r="B2121" t="s">
        <v>57</v>
      </c>
      <c r="C2121" t="s">
        <v>59</v>
      </c>
      <c r="D2121" s="1">
        <v>3</v>
      </c>
      <c r="E2121" s="1">
        <v>3</v>
      </c>
      <c r="F2121" s="1">
        <v>1</v>
      </c>
      <c r="G2121" s="1">
        <v>3</v>
      </c>
      <c r="H2121" s="1">
        <v>5</v>
      </c>
      <c r="I2121" s="1">
        <v>1</v>
      </c>
      <c r="J2121" s="1">
        <v>7</v>
      </c>
      <c r="K2121" s="1">
        <v>2</v>
      </c>
      <c r="L2121" s="1">
        <v>1</v>
      </c>
      <c r="M2121" s="1">
        <v>4</v>
      </c>
      <c r="N2121" s="1">
        <v>5</v>
      </c>
      <c r="O2121" s="1">
        <v>2</v>
      </c>
      <c r="P2121" s="1">
        <v>7</v>
      </c>
      <c r="Q2121" s="1">
        <v>1</v>
      </c>
      <c r="R2121" s="1">
        <v>5</v>
      </c>
      <c r="S2121" s="1">
        <v>10</v>
      </c>
      <c r="T2121" s="1">
        <v>0</v>
      </c>
      <c r="U2121" s="1">
        <v>15</v>
      </c>
      <c r="V2121" s="1" t="s">
        <v>301</v>
      </c>
    </row>
    <row r="2122" spans="1:22">
      <c r="A2122" t="s">
        <v>55</v>
      </c>
      <c r="B2122" t="s">
        <v>57</v>
      </c>
      <c r="C2122" t="s">
        <v>60</v>
      </c>
      <c r="D2122" s="1">
        <v>0</v>
      </c>
      <c r="E2122" s="1">
        <v>0</v>
      </c>
      <c r="F2122" s="1">
        <v>0</v>
      </c>
      <c r="G2122" s="1">
        <v>0</v>
      </c>
      <c r="H2122" s="1">
        <v>0</v>
      </c>
      <c r="I2122" s="1">
        <v>0</v>
      </c>
      <c r="J2122" s="1">
        <v>0</v>
      </c>
      <c r="K2122" s="1">
        <v>0</v>
      </c>
      <c r="L2122" s="1">
        <v>0</v>
      </c>
      <c r="M2122" s="1">
        <v>0</v>
      </c>
      <c r="N2122" s="1">
        <v>0</v>
      </c>
      <c r="O2122" s="1">
        <v>0</v>
      </c>
      <c r="P2122" s="1">
        <v>0</v>
      </c>
      <c r="Q2122" s="1">
        <v>0</v>
      </c>
      <c r="R2122" s="1">
        <v>0</v>
      </c>
      <c r="S2122" s="1">
        <v>0</v>
      </c>
      <c r="T2122" s="1">
        <v>0</v>
      </c>
      <c r="U2122" s="1">
        <v>0</v>
      </c>
      <c r="V2122" s="1" t="s">
        <v>301</v>
      </c>
    </row>
    <row r="2123" spans="1:22">
      <c r="A2123" t="s">
        <v>55</v>
      </c>
      <c r="B2123" t="s">
        <v>57</v>
      </c>
      <c r="C2123" t="s">
        <v>61</v>
      </c>
      <c r="D2123" s="1">
        <v>0</v>
      </c>
      <c r="E2123" s="1">
        <v>1</v>
      </c>
      <c r="F2123" s="1">
        <v>0</v>
      </c>
      <c r="G2123" s="1">
        <v>0</v>
      </c>
      <c r="H2123" s="1">
        <v>0</v>
      </c>
      <c r="I2123" s="1">
        <v>0</v>
      </c>
      <c r="J2123" s="1">
        <v>0</v>
      </c>
      <c r="K2123" s="1">
        <v>0</v>
      </c>
      <c r="L2123" s="1">
        <v>0</v>
      </c>
      <c r="M2123" s="1">
        <v>1</v>
      </c>
      <c r="N2123" s="1">
        <v>0</v>
      </c>
      <c r="O2123" s="1">
        <v>0</v>
      </c>
      <c r="P2123" s="1">
        <v>1</v>
      </c>
      <c r="Q2123" s="1">
        <v>0</v>
      </c>
      <c r="R2123" s="1">
        <v>0</v>
      </c>
      <c r="S2123" s="1">
        <v>1</v>
      </c>
      <c r="T2123" s="1">
        <v>0</v>
      </c>
      <c r="U2123" s="1">
        <v>1</v>
      </c>
      <c r="V2123" s="1" t="s">
        <v>301</v>
      </c>
    </row>
    <row r="2124" spans="1:22">
      <c r="A2124" t="s">
        <v>55</v>
      </c>
      <c r="B2124" t="s">
        <v>57</v>
      </c>
      <c r="C2124" t="s">
        <v>62</v>
      </c>
      <c r="D2124" s="1">
        <v>0</v>
      </c>
      <c r="E2124" s="1">
        <v>0</v>
      </c>
      <c r="F2124" s="1">
        <v>0</v>
      </c>
      <c r="G2124" s="1">
        <v>3</v>
      </c>
      <c r="H2124" s="1">
        <v>0</v>
      </c>
      <c r="I2124" s="1">
        <v>0</v>
      </c>
      <c r="J2124" s="1">
        <v>0</v>
      </c>
      <c r="K2124" s="1">
        <v>1</v>
      </c>
      <c r="L2124" s="1">
        <v>0</v>
      </c>
      <c r="M2124" s="1">
        <v>2</v>
      </c>
      <c r="N2124" s="1">
        <v>1</v>
      </c>
      <c r="O2124" s="1">
        <v>1</v>
      </c>
      <c r="P2124" s="1">
        <v>0</v>
      </c>
      <c r="Q2124" s="1">
        <v>1</v>
      </c>
      <c r="R2124" s="1">
        <v>1</v>
      </c>
      <c r="S2124" s="1">
        <v>2</v>
      </c>
      <c r="T2124" s="1">
        <v>0</v>
      </c>
      <c r="U2124" s="1">
        <v>3</v>
      </c>
      <c r="V2124" s="1" t="s">
        <v>301</v>
      </c>
    </row>
    <row r="2125" spans="1:22">
      <c r="A2125" t="s">
        <v>55</v>
      </c>
      <c r="B2125" t="s">
        <v>57</v>
      </c>
      <c r="C2125" t="s">
        <v>63</v>
      </c>
      <c r="D2125" s="1">
        <v>0</v>
      </c>
      <c r="E2125" s="1">
        <v>0</v>
      </c>
      <c r="F2125" s="1">
        <v>0</v>
      </c>
      <c r="G2125" s="1">
        <v>0</v>
      </c>
      <c r="H2125" s="1">
        <v>0</v>
      </c>
      <c r="I2125" s="1">
        <v>0</v>
      </c>
      <c r="J2125" s="1">
        <v>0</v>
      </c>
      <c r="K2125" s="1">
        <v>0</v>
      </c>
      <c r="L2125" s="1">
        <v>0</v>
      </c>
      <c r="M2125" s="1">
        <v>0</v>
      </c>
      <c r="N2125" s="1">
        <v>0</v>
      </c>
      <c r="O2125" s="1">
        <v>0</v>
      </c>
      <c r="P2125" s="1">
        <v>0</v>
      </c>
      <c r="Q2125" s="1">
        <v>0</v>
      </c>
      <c r="R2125" s="1">
        <v>0</v>
      </c>
      <c r="S2125" s="1">
        <v>0</v>
      </c>
      <c r="T2125" s="1">
        <v>0</v>
      </c>
      <c r="U2125" s="1">
        <v>0</v>
      </c>
      <c r="V2125" s="1" t="s">
        <v>301</v>
      </c>
    </row>
    <row r="2126" spans="1:22">
      <c r="A2126" t="s">
        <v>55</v>
      </c>
      <c r="B2126" t="s">
        <v>57</v>
      </c>
      <c r="C2126" t="s">
        <v>64</v>
      </c>
      <c r="D2126" s="1">
        <v>3</v>
      </c>
      <c r="E2126" s="1">
        <v>4</v>
      </c>
      <c r="F2126" s="1">
        <v>1</v>
      </c>
      <c r="G2126" s="1">
        <v>6</v>
      </c>
      <c r="H2126" s="1">
        <v>5</v>
      </c>
      <c r="I2126" s="1">
        <v>1</v>
      </c>
      <c r="J2126" s="1">
        <v>7</v>
      </c>
      <c r="K2126" s="1">
        <v>3</v>
      </c>
      <c r="L2126" s="1">
        <v>1</v>
      </c>
      <c r="M2126" s="1">
        <v>7</v>
      </c>
      <c r="N2126" s="1">
        <v>6</v>
      </c>
      <c r="O2126" s="1">
        <v>3</v>
      </c>
      <c r="P2126" s="1">
        <v>8</v>
      </c>
      <c r="Q2126" s="1">
        <v>2</v>
      </c>
      <c r="R2126" s="1">
        <v>6</v>
      </c>
      <c r="S2126" s="1">
        <v>13</v>
      </c>
      <c r="T2126" s="1">
        <v>0</v>
      </c>
      <c r="U2126" s="1">
        <v>19</v>
      </c>
      <c r="V2126" s="1" t="s">
        <v>301</v>
      </c>
    </row>
    <row r="2127" spans="1:22">
      <c r="A2127" t="s">
        <v>55</v>
      </c>
      <c r="B2127" t="s">
        <v>57</v>
      </c>
      <c r="C2127" t="s">
        <v>65</v>
      </c>
      <c r="D2127" s="1">
        <v>0</v>
      </c>
      <c r="E2127" s="1">
        <v>0</v>
      </c>
      <c r="F2127" s="1">
        <v>0</v>
      </c>
      <c r="G2127" s="1">
        <v>0</v>
      </c>
      <c r="H2127" s="1">
        <v>0</v>
      </c>
      <c r="I2127" s="1">
        <v>0</v>
      </c>
      <c r="J2127" s="1">
        <v>0</v>
      </c>
      <c r="K2127" s="1">
        <v>0</v>
      </c>
      <c r="L2127" s="1">
        <v>0</v>
      </c>
      <c r="M2127" s="1">
        <v>0</v>
      </c>
      <c r="N2127" s="1">
        <v>0</v>
      </c>
      <c r="O2127" s="1">
        <v>0</v>
      </c>
      <c r="P2127" s="1">
        <v>0</v>
      </c>
      <c r="Q2127" s="1">
        <v>0</v>
      </c>
      <c r="R2127" s="1">
        <v>0</v>
      </c>
      <c r="S2127" s="1">
        <v>0</v>
      </c>
      <c r="T2127" s="1">
        <v>0</v>
      </c>
      <c r="U2127" s="1">
        <v>0</v>
      </c>
      <c r="V2127" s="1" t="s">
        <v>301</v>
      </c>
    </row>
  </sheetData>
  <phoneticPr fontId="5" type="noConversion"/>
  <pageMargins left="0.7" right="0.7" top="0.75" bottom="0.75" header="0.3" footer="0.3"/>
  <pageSetup orientation="portrait" r:id="rId1"/>
  <tableParts count="20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FAA304-4165-934A-9F04-42D458DA0E2A}">
  <sheetPr codeName="Sheet3"/>
  <dimension ref="A1:P23"/>
  <sheetViews>
    <sheetView zoomScaleNormal="100" workbookViewId="0">
      <selection activeCell="B11" sqref="B11"/>
    </sheetView>
  </sheetViews>
  <sheetFormatPr defaultColWidth="11" defaultRowHeight="15.75"/>
  <cols>
    <col min="1" max="1" width="10.625" style="11" bestFit="1" customWidth="1"/>
    <col min="2" max="2" width="77.625" bestFit="1" customWidth="1"/>
    <col min="3" max="3" width="9" style="1" bestFit="1" customWidth="1"/>
    <col min="4" max="4" width="13.5" style="1" bestFit="1" customWidth="1"/>
    <col min="5" max="5" width="10" style="12" bestFit="1" customWidth="1"/>
    <col min="6" max="6" width="1.625" hidden="1" customWidth="1"/>
    <col min="7" max="7" width="2.125" hidden="1" customWidth="1"/>
    <col min="8" max="8" width="16.5" style="1" customWidth="1"/>
    <col min="9" max="9" width="14.125" style="1" customWidth="1"/>
    <col min="16" max="16" width="14.5" hidden="1" customWidth="1"/>
  </cols>
  <sheetData>
    <row r="1" spans="1:16" s="43" customFormat="1">
      <c r="A1" s="140" t="str">
        <f>_xlfn.CONCAT("Last Refreshed at: ",F3)</f>
        <v>Last Refreshed at: 09/17/2026 @ 7:20 AM</v>
      </c>
      <c r="B1" s="140"/>
      <c r="C1" s="140"/>
      <c r="D1" s="140"/>
      <c r="E1" s="140"/>
      <c r="F1" s="140"/>
      <c r="G1"/>
      <c r="H1" s="141" t="s">
        <v>67</v>
      </c>
      <c r="I1" s="141"/>
      <c r="L1" s="137" t="s">
        <v>68</v>
      </c>
      <c r="M1" s="137"/>
      <c r="P1" s="118" t="s">
        <v>69</v>
      </c>
    </row>
    <row r="2" spans="1:16">
      <c r="A2" s="78" t="s">
        <v>24</v>
      </c>
      <c r="B2" s="78" t="s">
        <v>70</v>
      </c>
      <c r="C2" s="85" t="s">
        <v>71</v>
      </c>
      <c r="D2" s="85" t="s">
        <v>72</v>
      </c>
      <c r="E2" s="86" t="s">
        <v>73</v>
      </c>
      <c r="F2" s="79" t="s">
        <v>74</v>
      </c>
      <c r="H2" s="80" t="s">
        <v>75</v>
      </c>
      <c r="I2" s="80" t="s">
        <v>73</v>
      </c>
      <c r="J2" s="1"/>
      <c r="L2" s="138">
        <f>SUM(OSEP_AUT_P!W101,OSEP_AUT_D!W101,OSEP_DD_P!W45,OSEP_DD_D!W45,OSEP_ED_P!W101,OSEP_ED_D!W21,OSEP_MD_P!W21,OSEP_MD_D!W21,OSEP_OI_P!W21,OSEP_OI_D!W21,OSEP_OHI_P!W101,OSEP_OHI_D!W101,OSEP_SLD_P!W101,OSEP_SLD_D!W101,OSEP_SI_P!W101,OSEP_SI_D!W101,OSEP_TBI_P!W21,OSEP_TBI_D!W21,OSEP_ADHD_P!W101,OSEP_ADHD_D!W101)</f>
        <v>165</v>
      </c>
      <c r="M2" s="139" t="e">
        <f>SUM(#REF!,#REF!,#REF!,#REF!,#REF!,#REF!,#REF!,#REF!,#REF!,#REF!,#REF!,#REF!,#REF!,#REF!,#REF!,#REF!,#REF!,#REF!,#REF!)</f>
        <v>#REF!</v>
      </c>
      <c r="P2" s="119" t="e">
        <f>SUM(#REF!,#REF!,#REF!)</f>
        <v>#REF!</v>
      </c>
    </row>
    <row r="3" spans="1:16">
      <c r="A3" s="81" t="s">
        <v>281</v>
      </c>
      <c r="B3" s="17" t="s">
        <v>208</v>
      </c>
      <c r="C3" s="18">
        <v>44</v>
      </c>
      <c r="D3" s="18">
        <v>17</v>
      </c>
      <c r="E3" s="82">
        <v>0.38636363636363635</v>
      </c>
      <c r="F3" t="s">
        <v>301</v>
      </c>
      <c r="H3" s="80">
        <f>setup!F16</f>
        <v>22</v>
      </c>
      <c r="I3" s="84">
        <f>IFERROR(H3/C3,0)</f>
        <v>0.5</v>
      </c>
      <c r="K3" s="77"/>
    </row>
    <row r="4" spans="1:16">
      <c r="A4" s="81" t="s">
        <v>282</v>
      </c>
      <c r="B4" s="17" t="s">
        <v>240</v>
      </c>
      <c r="C4" s="18">
        <v>11</v>
      </c>
      <c r="D4" s="18">
        <v>3</v>
      </c>
      <c r="E4" s="87">
        <v>0.27272727272727271</v>
      </c>
      <c r="F4" t="s">
        <v>301</v>
      </c>
      <c r="H4" s="80">
        <f>setup!F17</f>
        <v>6</v>
      </c>
      <c r="I4" s="84">
        <f t="shared" ref="I4:I23" si="0">IFERROR(H4/C4,0)</f>
        <v>0.54545454545454541</v>
      </c>
    </row>
    <row r="5" spans="1:16">
      <c r="A5" s="81" t="s">
        <v>283</v>
      </c>
      <c r="B5" s="17" t="s">
        <v>206</v>
      </c>
      <c r="C5" s="18">
        <v>22</v>
      </c>
      <c r="D5" s="18">
        <v>1</v>
      </c>
      <c r="E5" s="87">
        <v>4.5454545454545456E-2</v>
      </c>
      <c r="F5" t="s">
        <v>301</v>
      </c>
      <c r="H5" s="80">
        <f>setup!F18</f>
        <v>1</v>
      </c>
      <c r="I5" s="84">
        <f t="shared" si="0"/>
        <v>4.5454545454545456E-2</v>
      </c>
    </row>
    <row r="6" spans="1:16">
      <c r="A6" s="81" t="s">
        <v>284</v>
      </c>
      <c r="B6" s="17" t="s">
        <v>238</v>
      </c>
      <c r="C6" s="18">
        <v>6</v>
      </c>
      <c r="D6" s="18"/>
      <c r="E6" s="87"/>
      <c r="F6" t="s">
        <v>301</v>
      </c>
      <c r="H6" s="80">
        <f>setup!F19</f>
        <v>0</v>
      </c>
      <c r="I6" s="84">
        <f t="shared" si="0"/>
        <v>0</v>
      </c>
    </row>
    <row r="7" spans="1:16">
      <c r="A7" s="81" t="s">
        <v>285</v>
      </c>
      <c r="B7" s="17" t="s">
        <v>204</v>
      </c>
      <c r="C7" s="18">
        <v>15</v>
      </c>
      <c r="D7" s="18"/>
      <c r="E7" s="87"/>
      <c r="F7" t="s">
        <v>301</v>
      </c>
      <c r="G7" s="83"/>
      <c r="H7" s="80">
        <f>setup!F20</f>
        <v>0</v>
      </c>
      <c r="I7" s="84">
        <f t="shared" si="0"/>
        <v>0</v>
      </c>
    </row>
    <row r="8" spans="1:16">
      <c r="A8" s="81" t="s">
        <v>286</v>
      </c>
      <c r="B8" s="17" t="s">
        <v>236</v>
      </c>
      <c r="C8" s="18">
        <v>4</v>
      </c>
      <c r="D8" s="18"/>
      <c r="E8" s="87"/>
      <c r="F8" t="s">
        <v>301</v>
      </c>
      <c r="H8" s="80">
        <f>setup!F21</f>
        <v>0</v>
      </c>
      <c r="I8" s="84">
        <f t="shared" si="0"/>
        <v>0</v>
      </c>
      <c r="K8" s="83"/>
    </row>
    <row r="9" spans="1:16">
      <c r="A9" s="81" t="s">
        <v>287</v>
      </c>
      <c r="B9" s="17" t="s">
        <v>202</v>
      </c>
      <c r="C9" s="18">
        <v>7</v>
      </c>
      <c r="D9" s="18">
        <v>1</v>
      </c>
      <c r="E9" s="87">
        <v>0.14285714285714285</v>
      </c>
      <c r="F9" t="s">
        <v>301</v>
      </c>
      <c r="G9" s="109"/>
      <c r="H9" s="80">
        <f>setup!F22</f>
        <v>1</v>
      </c>
      <c r="I9" s="84">
        <f t="shared" si="0"/>
        <v>0.14285714285714285</v>
      </c>
      <c r="K9" s="83"/>
    </row>
    <row r="10" spans="1:16">
      <c r="A10" s="81" t="s">
        <v>288</v>
      </c>
      <c r="B10" s="17" t="s">
        <v>234</v>
      </c>
      <c r="C10" s="18">
        <v>2</v>
      </c>
      <c r="D10" s="18"/>
      <c r="E10" s="87"/>
      <c r="F10" t="s">
        <v>301</v>
      </c>
      <c r="H10" s="80">
        <f>setup!F23</f>
        <v>0</v>
      </c>
      <c r="I10" s="84">
        <f t="shared" si="0"/>
        <v>0</v>
      </c>
      <c r="K10" s="83"/>
    </row>
    <row r="11" spans="1:16">
      <c r="A11" s="81" t="s">
        <v>289</v>
      </c>
      <c r="B11" s="115" t="s">
        <v>200</v>
      </c>
      <c r="C11" s="18">
        <v>2</v>
      </c>
      <c r="D11" s="18">
        <v>2</v>
      </c>
      <c r="E11" s="116">
        <v>1</v>
      </c>
      <c r="F11" t="s">
        <v>301</v>
      </c>
      <c r="H11" s="80">
        <f>setup!F24</f>
        <v>2</v>
      </c>
      <c r="I11" s="84">
        <f t="shared" si="0"/>
        <v>1</v>
      </c>
      <c r="K11" s="83"/>
    </row>
    <row r="12" spans="1:16">
      <c r="A12" s="81" t="s">
        <v>290</v>
      </c>
      <c r="B12" s="17" t="s">
        <v>232</v>
      </c>
      <c r="C12" s="18">
        <v>1</v>
      </c>
      <c r="D12" s="18"/>
      <c r="E12" s="87"/>
      <c r="F12" t="s">
        <v>301</v>
      </c>
      <c r="H12" s="80">
        <f>setup!F25</f>
        <v>0</v>
      </c>
      <c r="I12" s="84">
        <f t="shared" si="0"/>
        <v>0</v>
      </c>
      <c r="K12" s="83"/>
    </row>
    <row r="13" spans="1:16">
      <c r="A13" s="129" t="s">
        <v>291</v>
      </c>
      <c r="B13" s="130" t="s">
        <v>198</v>
      </c>
      <c r="C13" s="131">
        <v>51</v>
      </c>
      <c r="D13" s="131"/>
      <c r="E13" s="132"/>
      <c r="F13" s="117" t="s">
        <v>301</v>
      </c>
      <c r="H13" s="80">
        <f>setup!F26</f>
        <v>0</v>
      </c>
      <c r="I13" s="84">
        <f t="shared" si="0"/>
        <v>0</v>
      </c>
      <c r="K13" s="83"/>
    </row>
    <row r="14" spans="1:16">
      <c r="A14" s="81" t="s">
        <v>292</v>
      </c>
      <c r="B14" s="17" t="s">
        <v>212</v>
      </c>
      <c r="C14" s="18">
        <v>13</v>
      </c>
      <c r="D14" s="18"/>
      <c r="E14" s="87"/>
      <c r="F14" t="s">
        <v>301</v>
      </c>
      <c r="H14" s="80">
        <f>setup!F27</f>
        <v>0</v>
      </c>
      <c r="I14" s="84">
        <f t="shared" si="0"/>
        <v>0</v>
      </c>
      <c r="K14" s="83"/>
    </row>
    <row r="15" spans="1:16">
      <c r="A15" s="81" t="s">
        <v>293</v>
      </c>
      <c r="B15" s="17" t="s">
        <v>230</v>
      </c>
      <c r="C15" s="18">
        <v>108</v>
      </c>
      <c r="D15" s="18">
        <v>16</v>
      </c>
      <c r="E15" s="87">
        <v>0.14814814814814814</v>
      </c>
      <c r="F15" t="s">
        <v>301</v>
      </c>
      <c r="H15" s="80">
        <f>setup!F28</f>
        <v>19</v>
      </c>
      <c r="I15" s="84">
        <f t="shared" si="0"/>
        <v>0.17592592592592593</v>
      </c>
      <c r="K15" s="83"/>
    </row>
    <row r="16" spans="1:16">
      <c r="A16" s="81" t="s">
        <v>294</v>
      </c>
      <c r="B16" s="17" t="s">
        <v>228</v>
      </c>
      <c r="C16" s="18">
        <v>27</v>
      </c>
      <c r="D16" s="18">
        <v>1</v>
      </c>
      <c r="E16" s="87">
        <v>3.7037037037037035E-2</v>
      </c>
      <c r="F16" t="s">
        <v>301</v>
      </c>
      <c r="H16" s="80">
        <f>setup!F29</f>
        <v>1</v>
      </c>
      <c r="I16" s="84">
        <f t="shared" si="0"/>
        <v>3.7037037037037035E-2</v>
      </c>
    </row>
    <row r="17" spans="1:9">
      <c r="A17" s="81" t="s">
        <v>295</v>
      </c>
      <c r="B17" s="17" t="s">
        <v>246</v>
      </c>
      <c r="C17" s="18">
        <v>64</v>
      </c>
      <c r="D17" s="18">
        <v>4</v>
      </c>
      <c r="E17" s="87">
        <v>6.25E-2</v>
      </c>
      <c r="F17" t="s">
        <v>301</v>
      </c>
      <c r="H17" s="80">
        <f>setup!F30</f>
        <v>4</v>
      </c>
      <c r="I17" s="84">
        <f t="shared" si="0"/>
        <v>6.25E-2</v>
      </c>
    </row>
    <row r="18" spans="1:9">
      <c r="A18" s="81" t="s">
        <v>296</v>
      </c>
      <c r="B18" s="17" t="s">
        <v>226</v>
      </c>
      <c r="C18" s="18">
        <v>16</v>
      </c>
      <c r="D18" s="18"/>
      <c r="E18" s="87"/>
      <c r="F18" t="s">
        <v>301</v>
      </c>
      <c r="H18" s="80">
        <f>setup!F31</f>
        <v>0</v>
      </c>
      <c r="I18" s="84">
        <f t="shared" si="0"/>
        <v>0</v>
      </c>
    </row>
    <row r="19" spans="1:9">
      <c r="A19" s="81" t="s">
        <v>297</v>
      </c>
      <c r="B19" s="17" t="s">
        <v>244</v>
      </c>
      <c r="C19" s="18">
        <v>2</v>
      </c>
      <c r="D19" s="18"/>
      <c r="E19" s="87"/>
      <c r="F19" t="s">
        <v>301</v>
      </c>
      <c r="H19" s="80">
        <f>setup!F32</f>
        <v>0</v>
      </c>
      <c r="I19" s="84">
        <f t="shared" si="0"/>
        <v>0</v>
      </c>
    </row>
    <row r="20" spans="1:9">
      <c r="A20" s="81" t="s">
        <v>298</v>
      </c>
      <c r="B20" s="17" t="s">
        <v>224</v>
      </c>
      <c r="C20" s="18">
        <v>1</v>
      </c>
      <c r="D20" s="18"/>
      <c r="E20" s="87"/>
      <c r="F20" t="s">
        <v>301</v>
      </c>
      <c r="H20" s="80">
        <f>setup!F33</f>
        <v>0</v>
      </c>
      <c r="I20" s="84">
        <f t="shared" si="0"/>
        <v>0</v>
      </c>
    </row>
    <row r="21" spans="1:9">
      <c r="A21" s="81" t="s">
        <v>299</v>
      </c>
      <c r="B21" s="17" t="s">
        <v>242</v>
      </c>
      <c r="C21" s="18">
        <v>216</v>
      </c>
      <c r="D21" s="18">
        <v>105</v>
      </c>
      <c r="E21" s="87">
        <v>0.4861111111111111</v>
      </c>
      <c r="F21" t="s">
        <v>301</v>
      </c>
      <c r="H21" s="80">
        <f>setup!F34</f>
        <v>117</v>
      </c>
      <c r="I21" s="84">
        <f t="shared" si="0"/>
        <v>0.54166666666666663</v>
      </c>
    </row>
    <row r="22" spans="1:9">
      <c r="A22" s="81" t="s">
        <v>300</v>
      </c>
      <c r="B22" s="17" t="s">
        <v>222</v>
      </c>
      <c r="C22" s="18">
        <v>54</v>
      </c>
      <c r="D22" s="18">
        <v>15</v>
      </c>
      <c r="E22" s="87">
        <v>0.27777777777777779</v>
      </c>
      <c r="F22" t="s">
        <v>301</v>
      </c>
      <c r="H22" s="80">
        <f>setup!F35</f>
        <v>19</v>
      </c>
      <c r="I22" s="84">
        <f t="shared" si="0"/>
        <v>0.35185185185185186</v>
      </c>
    </row>
    <row r="23" spans="1:9">
      <c r="A23" s="133" t="s">
        <v>76</v>
      </c>
      <c r="B23" s="134" t="s">
        <v>55</v>
      </c>
      <c r="C23" s="135">
        <v>666</v>
      </c>
      <c r="D23" s="135">
        <v>165</v>
      </c>
      <c r="E23" s="136">
        <v>0.24774774774774774</v>
      </c>
      <c r="F23" t="s">
        <v>301</v>
      </c>
      <c r="H23" s="80">
        <f>SUM(H3:H22)</f>
        <v>192</v>
      </c>
      <c r="I23" s="84">
        <f t="shared" si="0"/>
        <v>0.28828828828828829</v>
      </c>
    </row>
  </sheetData>
  <sheetProtection sort="0" autoFilter="0"/>
  <mergeCells count="6">
    <mergeCell ref="L1:M1"/>
    <mergeCell ref="L2:M2"/>
    <mergeCell ref="A1:B1"/>
    <mergeCell ref="H1:I1"/>
    <mergeCell ref="C1:D1"/>
    <mergeCell ref="E1:F1"/>
  </mergeCells>
  <phoneticPr fontId="5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FBFB51-5554-4B7B-8232-177DEF60ADCF}">
  <sheetPr>
    <tabColor rgb="FF00BBFF"/>
  </sheetPr>
  <dimension ref="A1:Y108"/>
  <sheetViews>
    <sheetView zoomScale="85" zoomScaleNormal="85" workbookViewId="0">
      <selection activeCell="E12" sqref="E12"/>
    </sheetView>
  </sheetViews>
  <sheetFormatPr defaultColWidth="2.625" defaultRowHeight="15.75"/>
  <cols>
    <col min="1" max="1" width="1.375" style="2" customWidth="1"/>
    <col min="2" max="2" width="10.875" style="2" customWidth="1"/>
    <col min="3" max="3" width="15.625" style="2" customWidth="1"/>
    <col min="4" max="4" width="22.625" style="4" customWidth="1"/>
    <col min="5" max="8" width="7.625" style="4" customWidth="1"/>
    <col min="9" max="9" width="6.625" style="4" hidden="1" customWidth="1"/>
    <col min="10" max="21" width="7.625" style="4" customWidth="1"/>
    <col min="22" max="22" width="0.625" style="2" customWidth="1"/>
    <col min="23" max="24" width="5.875" style="2" customWidth="1"/>
    <col min="25" max="25" width="12.5" style="2" customWidth="1"/>
    <col min="26" max="26" width="2.625" style="2" customWidth="1"/>
    <col min="27" max="64" width="7.625" style="2" customWidth="1"/>
    <col min="65" max="16323" width="2.625" style="2"/>
    <col min="16324" max="16324" width="1.375" style="2" customWidth="1"/>
    <col min="16325" max="16325" width="2.625" style="2" customWidth="1"/>
    <col min="16326" max="16326" width="3.5" style="2" customWidth="1"/>
    <col min="16327" max="16327" width="1" style="2" customWidth="1"/>
    <col min="16328" max="16328" width="0.875" style="2" customWidth="1"/>
    <col min="16329" max="16329" width="2.375" style="2" customWidth="1"/>
    <col min="16330" max="16384" width="20.375" style="2" customWidth="1"/>
  </cols>
  <sheetData>
    <row r="1" spans="1:25" customFormat="1" ht="25.5" customHeight="1">
      <c r="A1" s="151" t="s">
        <v>77</v>
      </c>
      <c r="B1" s="152"/>
      <c r="C1" s="153"/>
      <c r="D1" s="154" t="s">
        <v>78</v>
      </c>
      <c r="E1" s="155"/>
      <c r="F1" s="155"/>
      <c r="G1" s="155"/>
      <c r="H1" s="156"/>
      <c r="I1" s="98"/>
      <c r="J1" s="88"/>
      <c r="K1" s="100"/>
      <c r="L1" s="100"/>
      <c r="M1" s="100"/>
      <c r="N1" s="100" t="s">
        <v>79</v>
      </c>
      <c r="O1" s="100"/>
      <c r="P1" s="100"/>
      <c r="Q1" s="100"/>
      <c r="R1" s="100"/>
      <c r="S1" s="100"/>
      <c r="T1" s="100"/>
      <c r="U1" s="100"/>
      <c r="V1" s="100"/>
      <c r="W1" s="100"/>
      <c r="X1" s="106"/>
      <c r="Y1" s="108"/>
    </row>
    <row r="2" spans="1:25" customFormat="1" ht="31.5" customHeight="1">
      <c r="A2" s="157" t="s">
        <v>80</v>
      </c>
      <c r="B2" s="157"/>
      <c r="C2" s="158"/>
      <c r="D2" s="159" t="str">
        <f>_xlfn.CONCAT("Study Name: ","
OSEP – Autism - Paper")</f>
        <v>Study Name: 
OSEP – Autism - Paper</v>
      </c>
      <c r="E2" s="160"/>
      <c r="F2" s="160"/>
      <c r="G2" s="160"/>
      <c r="H2" s="161"/>
      <c r="I2" s="4"/>
      <c r="J2" s="4"/>
      <c r="K2" s="162" t="s">
        <v>81</v>
      </c>
      <c r="L2" s="163"/>
      <c r="M2" s="163"/>
      <c r="N2" s="163"/>
      <c r="O2" s="163"/>
      <c r="P2" s="163"/>
      <c r="Q2" s="163"/>
      <c r="R2" s="163"/>
      <c r="S2" s="163"/>
      <c r="T2" s="163"/>
      <c r="U2" s="163"/>
      <c r="V2" s="163"/>
      <c r="W2" s="163"/>
      <c r="X2" s="164"/>
      <c r="Y2" s="103"/>
    </row>
    <row r="3" spans="1:25" customFormat="1" ht="30.75" customHeight="1" thickBot="1">
      <c r="A3" s="2"/>
      <c r="B3" s="2"/>
      <c r="C3" s="2"/>
      <c r="D3" s="169" t="str">
        <f>_xlfn.CONCAT("Study Acronym: ","
OSEP_AUT_P")</f>
        <v>Study Acronym: 
OSEP_AUT_P</v>
      </c>
      <c r="E3" s="170"/>
      <c r="F3" s="171" t="s">
        <v>261</v>
      </c>
      <c r="G3" s="172"/>
      <c r="H3" s="173"/>
      <c r="I3" s="4"/>
      <c r="J3" s="4"/>
      <c r="K3" s="165"/>
      <c r="L3" s="163"/>
      <c r="M3" s="163"/>
      <c r="N3" s="163"/>
      <c r="O3" s="163"/>
      <c r="P3" s="163"/>
      <c r="Q3" s="163"/>
      <c r="R3" s="163"/>
      <c r="S3" s="163"/>
      <c r="T3" s="163"/>
      <c r="U3" s="163"/>
      <c r="V3" s="163"/>
      <c r="W3" s="163"/>
      <c r="X3" s="164"/>
      <c r="Y3" s="103"/>
    </row>
    <row r="4" spans="1:25" customFormat="1" ht="16.5" customHeight="1">
      <c r="A4" s="2"/>
      <c r="B4" s="24"/>
      <c r="C4" s="2"/>
      <c r="D4" s="2"/>
      <c r="E4" s="25"/>
      <c r="F4" s="25"/>
      <c r="G4" s="25"/>
      <c r="H4" s="25"/>
      <c r="I4" s="25"/>
      <c r="J4" s="25"/>
      <c r="K4" s="165"/>
      <c r="L4" s="163"/>
      <c r="M4" s="163"/>
      <c r="N4" s="163"/>
      <c r="O4" s="163"/>
      <c r="P4" s="163"/>
      <c r="Q4" s="163"/>
      <c r="R4" s="163"/>
      <c r="S4" s="163"/>
      <c r="T4" s="163"/>
      <c r="U4" s="163"/>
      <c r="V4" s="163"/>
      <c r="W4" s="163"/>
      <c r="X4" s="164"/>
      <c r="Y4" s="104"/>
    </row>
    <row r="5" spans="1:25" customFormat="1" ht="21.95" customHeight="1" thickBot="1">
      <c r="A5" s="2"/>
      <c r="B5" s="2"/>
      <c r="C5" s="102"/>
      <c r="D5" s="154" t="s">
        <v>82</v>
      </c>
      <c r="E5" s="155"/>
      <c r="F5" s="155"/>
      <c r="G5" s="155"/>
      <c r="H5" s="101"/>
      <c r="I5" s="98"/>
      <c r="J5" s="98"/>
      <c r="K5" s="165"/>
      <c r="L5" s="163"/>
      <c r="M5" s="163"/>
      <c r="N5" s="163"/>
      <c r="O5" s="163"/>
      <c r="P5" s="163"/>
      <c r="Q5" s="163"/>
      <c r="R5" s="163"/>
      <c r="S5" s="163"/>
      <c r="T5" s="163"/>
      <c r="U5" s="163"/>
      <c r="V5" s="163"/>
      <c r="W5" s="163"/>
      <c r="X5" s="164"/>
      <c r="Y5" s="105"/>
    </row>
    <row r="6" spans="1:25" customFormat="1" ht="60.95" customHeight="1" thickBot="1">
      <c r="A6" s="2"/>
      <c r="B6" s="2"/>
      <c r="C6" s="99"/>
      <c r="D6" s="174" t="s">
        <v>101</v>
      </c>
      <c r="E6" s="175"/>
      <c r="F6" s="175"/>
      <c r="G6" s="175"/>
      <c r="H6" s="176"/>
      <c r="I6" s="124"/>
      <c r="J6" s="125"/>
      <c r="K6" s="166"/>
      <c r="L6" s="167"/>
      <c r="M6" s="167"/>
      <c r="N6" s="167"/>
      <c r="O6" s="167"/>
      <c r="P6" s="167"/>
      <c r="Q6" s="167"/>
      <c r="R6" s="167"/>
      <c r="S6" s="167"/>
      <c r="T6" s="167"/>
      <c r="U6" s="167"/>
      <c r="V6" s="167"/>
      <c r="W6" s="167"/>
      <c r="X6" s="168"/>
      <c r="Y6" s="107"/>
    </row>
    <row r="7" spans="1:25" customFormat="1" ht="16.5" customHeight="1" thickBot="1">
      <c r="A7" s="2"/>
      <c r="B7" s="3"/>
      <c r="C7" s="26"/>
      <c r="D7" s="27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8"/>
      <c r="W7" s="3"/>
      <c r="X7" s="3"/>
      <c r="Y7" s="2"/>
    </row>
    <row r="8" spans="1:25" customFormat="1">
      <c r="A8" s="2"/>
      <c r="B8" s="177" t="str">
        <f>_xlfn.CONCAT("Last Refreshed at: ",aurora_data!V4)</f>
        <v>Last Refreshed at: 09/17/2026 @ 7:20 AM</v>
      </c>
      <c r="C8" s="178"/>
      <c r="D8" s="178"/>
      <c r="E8" s="179" t="s">
        <v>83</v>
      </c>
      <c r="F8" s="180"/>
      <c r="G8" s="180"/>
      <c r="H8" s="180"/>
      <c r="I8" s="180"/>
      <c r="J8" s="180"/>
      <c r="K8" s="180"/>
      <c r="L8" s="180"/>
      <c r="M8" s="180"/>
      <c r="N8" s="180"/>
      <c r="O8" s="180"/>
      <c r="P8" s="180"/>
      <c r="Q8" s="180"/>
      <c r="R8" s="180"/>
      <c r="S8" s="180"/>
      <c r="T8" s="180"/>
      <c r="U8" s="181"/>
      <c r="V8" s="44"/>
      <c r="W8" s="182" t="s">
        <v>84</v>
      </c>
      <c r="X8" s="183"/>
      <c r="Y8" s="2"/>
    </row>
    <row r="9" spans="1:25" customFormat="1" ht="16.5" customHeight="1" thickBot="1">
      <c r="A9" s="2"/>
      <c r="B9" s="188"/>
      <c r="C9" s="189"/>
      <c r="D9" s="29" t="s">
        <v>85</v>
      </c>
      <c r="E9" s="190" t="s">
        <v>86</v>
      </c>
      <c r="F9" s="191"/>
      <c r="G9" s="191"/>
      <c r="H9" s="191"/>
      <c r="I9" s="191"/>
      <c r="J9" s="192" t="s">
        <v>86</v>
      </c>
      <c r="K9" s="193"/>
      <c r="L9" s="193"/>
      <c r="M9" s="193"/>
      <c r="N9" s="193"/>
      <c r="O9" s="194" t="s">
        <v>86</v>
      </c>
      <c r="P9" s="195"/>
      <c r="Q9" s="195"/>
      <c r="R9" s="195"/>
      <c r="S9" s="196" t="s">
        <v>86</v>
      </c>
      <c r="T9" s="197"/>
      <c r="U9" s="197"/>
      <c r="V9" s="28"/>
      <c r="W9" s="184"/>
      <c r="X9" s="185"/>
      <c r="Y9" s="2"/>
    </row>
    <row r="10" spans="1:25" customFormat="1" ht="17.25" thickTop="1" thickBot="1">
      <c r="A10" s="2"/>
      <c r="B10" s="198" t="s">
        <v>87</v>
      </c>
      <c r="C10" s="30"/>
      <c r="D10" s="31"/>
      <c r="E10" s="199" t="s">
        <v>88</v>
      </c>
      <c r="F10" s="200"/>
      <c r="G10" s="200"/>
      <c r="H10" s="200"/>
      <c r="I10" s="201"/>
      <c r="J10" s="200" t="s">
        <v>89</v>
      </c>
      <c r="K10" s="200"/>
      <c r="L10" s="200"/>
      <c r="M10" s="200"/>
      <c r="N10" s="201"/>
      <c r="O10" s="202" t="s">
        <v>90</v>
      </c>
      <c r="P10" s="202"/>
      <c r="Q10" s="202"/>
      <c r="R10" s="202"/>
      <c r="S10" s="203" t="s">
        <v>91</v>
      </c>
      <c r="T10" s="204"/>
      <c r="U10" s="205"/>
      <c r="V10" s="32"/>
      <c r="W10" s="184"/>
      <c r="X10" s="185"/>
      <c r="Y10" s="2"/>
    </row>
    <row r="11" spans="1:25" customFormat="1" ht="17.25" thickTop="1" thickBot="1">
      <c r="A11" s="2"/>
      <c r="B11" s="198"/>
      <c r="C11" s="30" t="s">
        <v>35</v>
      </c>
      <c r="D11" s="33" t="s">
        <v>37</v>
      </c>
      <c r="E11" s="96">
        <v>1</v>
      </c>
      <c r="F11" s="94">
        <v>2</v>
      </c>
      <c r="G11" s="95" t="s">
        <v>40</v>
      </c>
      <c r="H11" s="95">
        <v>4</v>
      </c>
      <c r="I11" s="95">
        <v>5</v>
      </c>
      <c r="J11" s="89" t="s">
        <v>43</v>
      </c>
      <c r="K11" s="89" t="s">
        <v>44</v>
      </c>
      <c r="L11" s="89" t="s">
        <v>45</v>
      </c>
      <c r="M11" s="93" t="s">
        <v>92</v>
      </c>
      <c r="N11" s="93" t="s">
        <v>47</v>
      </c>
      <c r="O11" s="89" t="s">
        <v>48</v>
      </c>
      <c r="P11" s="89" t="s">
        <v>49</v>
      </c>
      <c r="Q11" s="89" t="s">
        <v>50</v>
      </c>
      <c r="R11" s="89" t="s">
        <v>51</v>
      </c>
      <c r="S11" s="90" t="s">
        <v>52</v>
      </c>
      <c r="T11" s="91" t="s">
        <v>53</v>
      </c>
      <c r="U11" s="92" t="s">
        <v>93</v>
      </c>
      <c r="V11" s="28"/>
      <c r="W11" s="186"/>
      <c r="X11" s="187"/>
      <c r="Y11" s="2"/>
    </row>
    <row r="12" spans="1:25" customFormat="1">
      <c r="A12" s="2"/>
      <c r="B12" s="210" t="s">
        <v>94</v>
      </c>
      <c r="C12" s="212" t="str">
        <f>aurora_data!A4</f>
        <v>06.00.00-06.11.30</v>
      </c>
      <c r="D12" s="34" t="s">
        <v>71</v>
      </c>
      <c r="E12" s="39">
        <f>IFERROR(aurora_data!D4,0)</f>
        <v>0</v>
      </c>
      <c r="F12" s="40">
        <f>IFERROR(aurora_data!E4,0)</f>
        <v>0</v>
      </c>
      <c r="G12" s="40">
        <f>IFERROR(aurora_data!F4,0)</f>
        <v>0</v>
      </c>
      <c r="H12" s="40">
        <f>IFERROR(aurora_data!G4,0)</f>
        <v>0</v>
      </c>
      <c r="I12" s="41">
        <f>IFERROR(aurora_data!H4,0)</f>
        <v>0</v>
      </c>
      <c r="J12" s="39">
        <f>IFERROR(aurora_data!I4,0)</f>
        <v>0</v>
      </c>
      <c r="K12" s="40">
        <f>IFERROR(aurora_data!J4,0)</f>
        <v>0</v>
      </c>
      <c r="L12" s="40">
        <f>IFERROR(aurora_data!K4,0)</f>
        <v>0</v>
      </c>
      <c r="M12" s="40">
        <f>IFERROR(aurora_data!L4,0)</f>
        <v>0</v>
      </c>
      <c r="N12" s="41">
        <f>IFERROR(aurora_data!M4,0)</f>
        <v>0</v>
      </c>
      <c r="O12" s="39">
        <f>IFERROR(aurora_data!N4,0)</f>
        <v>0</v>
      </c>
      <c r="P12" s="40">
        <f>IFERROR(aurora_data!O4,0)</f>
        <v>0</v>
      </c>
      <c r="Q12" s="40">
        <f>IFERROR(aurora_data!P4,0)</f>
        <v>0</v>
      </c>
      <c r="R12" s="41">
        <f>IFERROR(aurora_data!Q4,0)</f>
        <v>0</v>
      </c>
      <c r="S12" s="40">
        <f>IFERROR(aurora_data!R4,0)</f>
        <v>0</v>
      </c>
      <c r="T12" s="40">
        <f>IFERROR(aurora_data!S4,0)</f>
        <v>0</v>
      </c>
      <c r="U12" s="76">
        <f>IFERROR(aurora_data!T4,0)</f>
        <v>0</v>
      </c>
      <c r="V12" s="61" t="s">
        <v>95</v>
      </c>
      <c r="W12" s="39">
        <f>IFERROR(aurora_data!U4,0)</f>
        <v>4</v>
      </c>
      <c r="X12" s="70">
        <f>IFERROR(W12/$W$12,0)</f>
        <v>1</v>
      </c>
      <c r="Y12" s="2"/>
    </row>
    <row r="13" spans="1:25" customFormat="1">
      <c r="A13" s="2"/>
      <c r="B13" s="211"/>
      <c r="C13" s="213"/>
      <c r="D13" s="35" t="s">
        <v>96</v>
      </c>
      <c r="E13" s="110">
        <f>IFERROR(aurora_data!D5,0)</f>
        <v>0</v>
      </c>
      <c r="F13" s="62">
        <f>IFERROR(aurora_data!E5,0)</f>
        <v>0</v>
      </c>
      <c r="G13" s="62">
        <f>IFERROR(aurora_data!F5,0)</f>
        <v>0</v>
      </c>
      <c r="H13" s="62">
        <f>IFERROR(aurora_data!G5,0)</f>
        <v>3</v>
      </c>
      <c r="I13" s="63">
        <f>IFERROR(aurora_data!H5,0)</f>
        <v>1</v>
      </c>
      <c r="J13" s="36">
        <f>IFERROR(aurora_data!I5,0)</f>
        <v>1</v>
      </c>
      <c r="K13" s="62">
        <f>IFERROR(aurora_data!J5,0)</f>
        <v>0</v>
      </c>
      <c r="L13" s="62">
        <f>IFERROR(aurora_data!K5,0)</f>
        <v>3</v>
      </c>
      <c r="M13" s="62">
        <f>IFERROR(aurora_data!L5,0)</f>
        <v>0</v>
      </c>
      <c r="N13" s="63">
        <f>IFERROR(aurora_data!M5,0)</f>
        <v>0</v>
      </c>
      <c r="O13" s="36">
        <f>IFERROR(aurora_data!N5,0)</f>
        <v>0</v>
      </c>
      <c r="P13" s="62">
        <f>IFERROR(aurora_data!O5,0)</f>
        <v>1</v>
      </c>
      <c r="Q13" s="62">
        <f>IFERROR(aurora_data!P5,0)</f>
        <v>1</v>
      </c>
      <c r="R13" s="63">
        <f>IFERROR(aurora_data!Q5,0)</f>
        <v>2</v>
      </c>
      <c r="S13" s="62">
        <f>IFERROR(aurora_data!R5,0)</f>
        <v>1</v>
      </c>
      <c r="T13" s="62">
        <f>IFERROR(aurora_data!S5,0)</f>
        <v>3</v>
      </c>
      <c r="U13" s="63">
        <f>IFERROR(aurora_data!T5,0)</f>
        <v>0</v>
      </c>
      <c r="V13" s="64" t="s">
        <v>95</v>
      </c>
      <c r="W13" s="36">
        <f>IFERROR(aurora_data!U5,0)</f>
        <v>4</v>
      </c>
      <c r="X13" s="71">
        <f t="shared" ref="X13:X19" si="0">IFERROR(W13/$W$12,0)</f>
        <v>1</v>
      </c>
      <c r="Y13" s="2"/>
    </row>
    <row r="14" spans="1:25" customFormat="1">
      <c r="A14" s="2"/>
      <c r="B14" s="211"/>
      <c r="C14" s="213"/>
      <c r="D14" s="35" t="s">
        <v>60</v>
      </c>
      <c r="E14" s="110">
        <f>IFERROR(aurora_data!D6,0)</f>
        <v>0</v>
      </c>
      <c r="F14" s="62">
        <f>IFERROR(aurora_data!E6,0)</f>
        <v>0</v>
      </c>
      <c r="G14" s="62">
        <f>IFERROR(aurora_data!F6,0)</f>
        <v>0</v>
      </c>
      <c r="H14" s="62">
        <f>IFERROR(aurora_data!G6,0)</f>
        <v>0</v>
      </c>
      <c r="I14" s="63">
        <f>IFERROR(aurora_data!H6,0)</f>
        <v>0</v>
      </c>
      <c r="J14" s="36">
        <f>IFERROR(aurora_data!I6,0)</f>
        <v>0</v>
      </c>
      <c r="K14" s="62">
        <f>IFERROR(aurora_data!J6,0)</f>
        <v>0</v>
      </c>
      <c r="L14" s="62">
        <f>IFERROR(aurora_data!K6,0)</f>
        <v>0</v>
      </c>
      <c r="M14" s="62">
        <f>IFERROR(aurora_data!L6,0)</f>
        <v>0</v>
      </c>
      <c r="N14" s="63">
        <f>IFERROR(aurora_data!M6,0)</f>
        <v>0</v>
      </c>
      <c r="O14" s="36">
        <f>IFERROR(aurora_data!N6,0)</f>
        <v>0</v>
      </c>
      <c r="P14" s="62">
        <f>IFERROR(aurora_data!O6,0)</f>
        <v>0</v>
      </c>
      <c r="Q14" s="62">
        <f>IFERROR(aurora_data!P6,0)</f>
        <v>0</v>
      </c>
      <c r="R14" s="63">
        <f>IFERROR(aurora_data!Q6,0)</f>
        <v>0</v>
      </c>
      <c r="S14" s="62">
        <f>IFERROR(aurora_data!R6,0)</f>
        <v>0</v>
      </c>
      <c r="T14" s="62">
        <f>IFERROR(aurora_data!S6,0)</f>
        <v>0</v>
      </c>
      <c r="U14" s="63">
        <f>IFERROR(aurora_data!T6,0)</f>
        <v>0</v>
      </c>
      <c r="V14" s="64" t="s">
        <v>95</v>
      </c>
      <c r="W14" s="36">
        <f>IFERROR(aurora_data!U6,0)</f>
        <v>0</v>
      </c>
      <c r="X14" s="71">
        <f t="shared" si="0"/>
        <v>0</v>
      </c>
      <c r="Y14" s="2"/>
    </row>
    <row r="15" spans="1:25" customFormat="1">
      <c r="A15" s="2"/>
      <c r="B15" s="211"/>
      <c r="C15" s="213"/>
      <c r="D15" s="35" t="s">
        <v>97</v>
      </c>
      <c r="E15" s="36">
        <f>IFERROR(aurora_data!D7,0)</f>
        <v>0</v>
      </c>
      <c r="F15" s="62">
        <f>IFERROR(aurora_data!E7,0)</f>
        <v>0</v>
      </c>
      <c r="G15" s="62">
        <f>IFERROR(aurora_data!F7,0)</f>
        <v>0</v>
      </c>
      <c r="H15" s="62">
        <f>IFERROR(aurora_data!G7,0)</f>
        <v>0</v>
      </c>
      <c r="I15" s="63">
        <f>IFERROR(aurora_data!H7,0)</f>
        <v>0</v>
      </c>
      <c r="J15" s="36">
        <f>IFERROR(aurora_data!I7,0)</f>
        <v>0</v>
      </c>
      <c r="K15" s="62">
        <f>IFERROR(aurora_data!J7,0)</f>
        <v>0</v>
      </c>
      <c r="L15" s="62">
        <f>IFERROR(aurora_data!K7,0)</f>
        <v>0</v>
      </c>
      <c r="M15" s="62">
        <f>IFERROR(aurora_data!L7,0)</f>
        <v>0</v>
      </c>
      <c r="N15" s="63">
        <f>IFERROR(aurora_data!M7,0)</f>
        <v>0</v>
      </c>
      <c r="O15" s="36">
        <f>IFERROR(aurora_data!N7,0)</f>
        <v>0</v>
      </c>
      <c r="P15" s="62">
        <f>IFERROR(aurora_data!O7,0)</f>
        <v>0</v>
      </c>
      <c r="Q15" s="62">
        <f>IFERROR(aurora_data!P7,0)</f>
        <v>0</v>
      </c>
      <c r="R15" s="63">
        <f>IFERROR(aurora_data!Q7,0)</f>
        <v>0</v>
      </c>
      <c r="S15" s="62">
        <f>IFERROR(aurora_data!R7,0)</f>
        <v>0</v>
      </c>
      <c r="T15" s="62">
        <f>IFERROR(aurora_data!S7,0)</f>
        <v>0</v>
      </c>
      <c r="U15" s="63">
        <f>IFERROR(aurora_data!T7,0)</f>
        <v>0</v>
      </c>
      <c r="V15" s="64" t="s">
        <v>95</v>
      </c>
      <c r="W15" s="36">
        <f>IFERROR(aurora_data!U7,0)</f>
        <v>0</v>
      </c>
      <c r="X15" s="71">
        <f t="shared" si="0"/>
        <v>0</v>
      </c>
      <c r="Y15" s="2"/>
    </row>
    <row r="16" spans="1:25" customFormat="1">
      <c r="A16" s="2"/>
      <c r="B16" s="211"/>
      <c r="C16" s="213"/>
      <c r="D16" s="35" t="s">
        <v>98</v>
      </c>
      <c r="E16" s="36">
        <f>IFERROR(aurora_data!D8,0)</f>
        <v>0</v>
      </c>
      <c r="F16" s="62">
        <f>IFERROR(aurora_data!E8,0)</f>
        <v>0</v>
      </c>
      <c r="G16" s="62">
        <f>IFERROR(aurora_data!F8,0)</f>
        <v>0</v>
      </c>
      <c r="H16" s="62">
        <f>IFERROR(aurora_data!G8,0)</f>
        <v>0</v>
      </c>
      <c r="I16" s="63">
        <f>IFERROR(aurora_data!H8,0)</f>
        <v>0</v>
      </c>
      <c r="J16" s="36">
        <f>IFERROR(aurora_data!I8,0)</f>
        <v>0</v>
      </c>
      <c r="K16" s="62">
        <f>IFERROR(aurora_data!J8,0)</f>
        <v>0</v>
      </c>
      <c r="L16" s="62">
        <f>IFERROR(aurora_data!K8,0)</f>
        <v>0</v>
      </c>
      <c r="M16" s="62">
        <f>IFERROR(aurora_data!L8,0)</f>
        <v>0</v>
      </c>
      <c r="N16" s="63">
        <f>IFERROR(aurora_data!M8,0)</f>
        <v>0</v>
      </c>
      <c r="O16" s="36">
        <f>IFERROR(aurora_data!N8,0)</f>
        <v>0</v>
      </c>
      <c r="P16" s="62">
        <f>IFERROR(aurora_data!O8,0)</f>
        <v>0</v>
      </c>
      <c r="Q16" s="62">
        <f>IFERROR(aurora_data!P8,0)</f>
        <v>0</v>
      </c>
      <c r="R16" s="63">
        <f>IFERROR(aurora_data!Q8,0)</f>
        <v>0</v>
      </c>
      <c r="S16" s="62">
        <f>IFERROR(aurora_data!R8,0)</f>
        <v>0</v>
      </c>
      <c r="T16" s="62">
        <f>IFERROR(aurora_data!S8,0)</f>
        <v>0</v>
      </c>
      <c r="U16" s="63">
        <f>IFERROR(aurora_data!T8,0)</f>
        <v>0</v>
      </c>
      <c r="V16" s="64" t="s">
        <v>95</v>
      </c>
      <c r="W16" s="36">
        <f>IFERROR(aurora_data!U8,0)</f>
        <v>0</v>
      </c>
      <c r="X16" s="71">
        <f t="shared" si="0"/>
        <v>0</v>
      </c>
      <c r="Y16" s="2"/>
    </row>
    <row r="17" spans="1:25" customFormat="1" ht="16.5" thickBot="1">
      <c r="A17" s="2"/>
      <c r="B17" s="211"/>
      <c r="C17" s="213"/>
      <c r="D17" s="35" t="s">
        <v>99</v>
      </c>
      <c r="E17" s="36">
        <f>IFERROR(aurora_data!D9,0)</f>
        <v>0</v>
      </c>
      <c r="F17" s="62">
        <f>IFERROR(aurora_data!E9,0)</f>
        <v>0</v>
      </c>
      <c r="G17" s="62">
        <f>IFERROR(aurora_data!F9,0)</f>
        <v>0</v>
      </c>
      <c r="H17" s="62">
        <f>IFERROR(aurora_data!G9,0)</f>
        <v>0</v>
      </c>
      <c r="I17" s="63">
        <f>IFERROR(aurora_data!H9,0)</f>
        <v>0</v>
      </c>
      <c r="J17" s="36">
        <f>IFERROR(aurora_data!I9,0)</f>
        <v>0</v>
      </c>
      <c r="K17" s="62">
        <f>IFERROR(aurora_data!J9,0)</f>
        <v>0</v>
      </c>
      <c r="L17" s="62">
        <f>IFERROR(aurora_data!K9,0)</f>
        <v>0</v>
      </c>
      <c r="M17" s="62">
        <f>IFERROR(aurora_data!L9,0)</f>
        <v>0</v>
      </c>
      <c r="N17" s="63">
        <f>IFERROR(aurora_data!M9,0)</f>
        <v>0</v>
      </c>
      <c r="O17" s="36">
        <f>IFERROR(aurora_data!N9,0)</f>
        <v>0</v>
      </c>
      <c r="P17" s="62">
        <f>IFERROR(aurora_data!O9,0)</f>
        <v>0</v>
      </c>
      <c r="Q17" s="62">
        <f>IFERROR(aurora_data!P9,0)</f>
        <v>0</v>
      </c>
      <c r="R17" s="63">
        <f>IFERROR(aurora_data!Q9,0)</f>
        <v>0</v>
      </c>
      <c r="S17" s="62">
        <f>IFERROR(aurora_data!R9,0)</f>
        <v>0</v>
      </c>
      <c r="T17" s="62">
        <f>IFERROR(aurora_data!S9,0)</f>
        <v>0</v>
      </c>
      <c r="U17" s="63">
        <f>IFERROR(aurora_data!T9,0)</f>
        <v>0</v>
      </c>
      <c r="V17" s="64" t="s">
        <v>95</v>
      </c>
      <c r="W17" s="36">
        <f>IFERROR(aurora_data!U9,0)</f>
        <v>0</v>
      </c>
      <c r="X17" s="71">
        <f t="shared" si="0"/>
        <v>0</v>
      </c>
      <c r="Y17" s="2"/>
    </row>
    <row r="18" spans="1:25" customFormat="1" ht="16.5" thickBot="1">
      <c r="A18" s="2"/>
      <c r="B18" s="211"/>
      <c r="C18" s="213"/>
      <c r="D18" s="37" t="s">
        <v>64</v>
      </c>
      <c r="E18" s="59">
        <f>IFERROR(aurora_data!D10,0)</f>
        <v>0</v>
      </c>
      <c r="F18" s="65">
        <f>IFERROR(aurora_data!E10,0)</f>
        <v>0</v>
      </c>
      <c r="G18" s="65">
        <f>IFERROR(aurora_data!F10,0)</f>
        <v>0</v>
      </c>
      <c r="H18" s="65">
        <f>IFERROR(aurora_data!G10,0)</f>
        <v>3</v>
      </c>
      <c r="I18" s="66">
        <f>IFERROR(aurora_data!H10,0)</f>
        <v>1</v>
      </c>
      <c r="J18" s="59">
        <f>IFERROR(aurora_data!I10,0)</f>
        <v>1</v>
      </c>
      <c r="K18" s="65">
        <f>IFERROR(aurora_data!J10,0)</f>
        <v>0</v>
      </c>
      <c r="L18" s="65">
        <f>IFERROR(aurora_data!K10,0)</f>
        <v>3</v>
      </c>
      <c r="M18" s="65">
        <f>IFERROR(aurora_data!L10,0)</f>
        <v>0</v>
      </c>
      <c r="N18" s="66">
        <f>IFERROR(aurora_data!M10,0)</f>
        <v>0</v>
      </c>
      <c r="O18" s="59">
        <f>IFERROR(aurora_data!N10,0)</f>
        <v>0</v>
      </c>
      <c r="P18" s="65">
        <f>IFERROR(aurora_data!O10,0)</f>
        <v>1</v>
      </c>
      <c r="Q18" s="65">
        <f>IFERROR(aurora_data!P10,0)</f>
        <v>1</v>
      </c>
      <c r="R18" s="66">
        <f>IFERROR(aurora_data!Q10,0)</f>
        <v>2</v>
      </c>
      <c r="S18" s="65">
        <f>IFERROR(aurora_data!R10,0)</f>
        <v>1</v>
      </c>
      <c r="T18" s="65">
        <f>IFERROR(aurora_data!S10,0)</f>
        <v>3</v>
      </c>
      <c r="U18" s="66">
        <f>IFERROR(aurora_data!T10,0)</f>
        <v>0</v>
      </c>
      <c r="V18" s="67" t="s">
        <v>95</v>
      </c>
      <c r="W18" s="59">
        <f>IFERROR(aurora_data!U10,0)</f>
        <v>4</v>
      </c>
      <c r="X18" s="72">
        <f t="shared" si="0"/>
        <v>1</v>
      </c>
      <c r="Y18" s="2"/>
    </row>
    <row r="19" spans="1:25" customFormat="1" ht="16.5" thickBot="1">
      <c r="A19" s="2"/>
      <c r="B19" s="211"/>
      <c r="C19" s="213"/>
      <c r="D19" s="38" t="s">
        <v>100</v>
      </c>
      <c r="E19" s="60">
        <f>IFERROR(aurora_data!D11,0)</f>
        <v>0</v>
      </c>
      <c r="F19" s="68">
        <f>IFERROR(aurora_data!E11,0)</f>
        <v>0</v>
      </c>
      <c r="G19" s="68">
        <f>IFERROR(aurora_data!F11,0)</f>
        <v>0</v>
      </c>
      <c r="H19" s="68">
        <f>IFERROR(aurora_data!G11,0)</f>
        <v>1</v>
      </c>
      <c r="I19" s="69">
        <f>IFERROR(aurora_data!H11,0)</f>
        <v>0</v>
      </c>
      <c r="J19" s="60">
        <f>IFERROR(aurora_data!I11,0)</f>
        <v>0</v>
      </c>
      <c r="K19" s="68">
        <f>IFERROR(aurora_data!J11,0)</f>
        <v>0</v>
      </c>
      <c r="L19" s="68">
        <f>IFERROR(aurora_data!K11,0)</f>
        <v>0</v>
      </c>
      <c r="M19" s="68">
        <f>IFERROR(aurora_data!L11,0)</f>
        <v>0</v>
      </c>
      <c r="N19" s="69">
        <f>IFERROR(aurora_data!M11,0)</f>
        <v>1</v>
      </c>
      <c r="O19" s="60">
        <f>IFERROR(aurora_data!N11,0)</f>
        <v>0</v>
      </c>
      <c r="P19" s="68">
        <f>IFERROR(aurora_data!O11,0)</f>
        <v>0</v>
      </c>
      <c r="Q19" s="68">
        <f>IFERROR(aurora_data!P11,0)</f>
        <v>1</v>
      </c>
      <c r="R19" s="69">
        <f>IFERROR(aurora_data!Q11,0)</f>
        <v>0</v>
      </c>
      <c r="S19" s="68">
        <f>IFERROR(aurora_data!R11,0)</f>
        <v>1</v>
      </c>
      <c r="T19" s="68">
        <f>IFERROR(aurora_data!S11,0)</f>
        <v>0</v>
      </c>
      <c r="U19" s="74">
        <f>IFERROR(aurora_data!T11,0)</f>
        <v>0</v>
      </c>
      <c r="V19" s="75" t="s">
        <v>95</v>
      </c>
      <c r="W19" s="60">
        <f>IFERROR(aurora_data!U11,0)</f>
        <v>1</v>
      </c>
      <c r="X19" s="73">
        <f t="shared" si="0"/>
        <v>0.25</v>
      </c>
      <c r="Y19" s="2"/>
    </row>
    <row r="20" spans="1:25" customFormat="1">
      <c r="A20" s="2"/>
      <c r="B20" s="210" t="s">
        <v>94</v>
      </c>
      <c r="C20" s="212" t="str">
        <f>aurora_data!A12</f>
        <v>07.00.00-07.11.30</v>
      </c>
      <c r="D20" s="34" t="s">
        <v>71</v>
      </c>
      <c r="E20" s="39">
        <f>IFERROR(aurora_data!D12,0)</f>
        <v>0</v>
      </c>
      <c r="F20" s="40">
        <f>IFERROR(aurora_data!E12,0)</f>
        <v>0</v>
      </c>
      <c r="G20" s="40">
        <f>IFERROR(aurora_data!F12,0)</f>
        <v>0</v>
      </c>
      <c r="H20" s="40">
        <f>IFERROR(aurora_data!G12,0)</f>
        <v>0</v>
      </c>
      <c r="I20" s="41">
        <f>IFERROR(aurora_data!H12,0)</f>
        <v>0</v>
      </c>
      <c r="J20" s="39">
        <f>IFERROR(aurora_data!I12,0)</f>
        <v>0</v>
      </c>
      <c r="K20" s="40">
        <f>IFERROR(aurora_data!J12,0)</f>
        <v>0</v>
      </c>
      <c r="L20" s="40">
        <f>IFERROR(aurora_data!K12,0)</f>
        <v>0</v>
      </c>
      <c r="M20" s="40">
        <f>IFERROR(aurora_data!L12,0)</f>
        <v>0</v>
      </c>
      <c r="N20" s="41">
        <f>IFERROR(aurora_data!M12,0)</f>
        <v>0</v>
      </c>
      <c r="O20" s="39">
        <f>IFERROR(aurora_data!N12,0)</f>
        <v>0</v>
      </c>
      <c r="P20" s="40">
        <f>IFERROR(aurora_data!O12,0)</f>
        <v>0</v>
      </c>
      <c r="Q20" s="40">
        <f>IFERROR(aurora_data!P12,0)</f>
        <v>0</v>
      </c>
      <c r="R20" s="41">
        <f>IFERROR(aurora_data!Q12,0)</f>
        <v>0</v>
      </c>
      <c r="S20" s="40">
        <f>IFERROR(aurora_data!R12,0)</f>
        <v>0</v>
      </c>
      <c r="T20" s="40">
        <f>IFERROR(aurora_data!S12,0)</f>
        <v>0</v>
      </c>
      <c r="U20" s="76">
        <f>IFERROR(aurora_data!T12,0)</f>
        <v>0</v>
      </c>
      <c r="V20" s="61" t="s">
        <v>95</v>
      </c>
      <c r="W20" s="39">
        <f>IFERROR(aurora_data!U12,0)</f>
        <v>4</v>
      </c>
      <c r="X20" s="70">
        <f>IFERROR(W20/$W$12,0)</f>
        <v>1</v>
      </c>
      <c r="Y20" s="2"/>
    </row>
    <row r="21" spans="1:25" customFormat="1">
      <c r="A21" s="2"/>
      <c r="B21" s="211"/>
      <c r="C21" s="213"/>
      <c r="D21" s="35" t="s">
        <v>96</v>
      </c>
      <c r="E21" s="110">
        <f>IFERROR(aurora_data!D13,0)</f>
        <v>0</v>
      </c>
      <c r="F21" s="62">
        <f>IFERROR(aurora_data!E13,0)</f>
        <v>1</v>
      </c>
      <c r="G21" s="62">
        <f>IFERROR(aurora_data!F13,0)</f>
        <v>1</v>
      </c>
      <c r="H21" s="62">
        <f>IFERROR(aurora_data!G13,0)</f>
        <v>1</v>
      </c>
      <c r="I21" s="63">
        <f>IFERROR(aurora_data!H13,0)</f>
        <v>0</v>
      </c>
      <c r="J21" s="36">
        <f>IFERROR(aurora_data!I13,0)</f>
        <v>0</v>
      </c>
      <c r="K21" s="62">
        <f>IFERROR(aurora_data!J13,0)</f>
        <v>0</v>
      </c>
      <c r="L21" s="62">
        <f>IFERROR(aurora_data!K13,0)</f>
        <v>2</v>
      </c>
      <c r="M21" s="62">
        <f>IFERROR(aurora_data!L13,0)</f>
        <v>0</v>
      </c>
      <c r="N21" s="63">
        <f>IFERROR(aurora_data!M13,0)</f>
        <v>1</v>
      </c>
      <c r="O21" s="36">
        <f>IFERROR(aurora_data!N13,0)</f>
        <v>0</v>
      </c>
      <c r="P21" s="62">
        <f>IFERROR(aurora_data!O13,0)</f>
        <v>0</v>
      </c>
      <c r="Q21" s="62">
        <f>IFERROR(aurora_data!P13,0)</f>
        <v>2</v>
      </c>
      <c r="R21" s="63">
        <f>IFERROR(aurora_data!Q13,0)</f>
        <v>1</v>
      </c>
      <c r="S21" s="62">
        <f>IFERROR(aurora_data!R13,0)</f>
        <v>1</v>
      </c>
      <c r="T21" s="62">
        <f>IFERROR(aurora_data!S13,0)</f>
        <v>2</v>
      </c>
      <c r="U21" s="63">
        <f>IFERROR(aurora_data!T13,0)</f>
        <v>0</v>
      </c>
      <c r="V21" s="64" t="s">
        <v>95</v>
      </c>
      <c r="W21" s="36">
        <f>IFERROR(aurora_data!U13,0)</f>
        <v>3</v>
      </c>
      <c r="X21" s="71">
        <f t="shared" ref="X21:X27" si="1">IFERROR(W21/$W$12,0)</f>
        <v>0.75</v>
      </c>
      <c r="Y21" s="2"/>
    </row>
    <row r="22" spans="1:25" customFormat="1">
      <c r="A22" s="2"/>
      <c r="B22" s="211"/>
      <c r="C22" s="213"/>
      <c r="D22" s="35" t="s">
        <v>60</v>
      </c>
      <c r="E22" s="110">
        <f>IFERROR(aurora_data!D14,0)</f>
        <v>0</v>
      </c>
      <c r="F22" s="62">
        <f>IFERROR(aurora_data!E14,0)</f>
        <v>0</v>
      </c>
      <c r="G22" s="62">
        <f>IFERROR(aurora_data!F14,0)</f>
        <v>0</v>
      </c>
      <c r="H22" s="62">
        <f>IFERROR(aurora_data!G14,0)</f>
        <v>0</v>
      </c>
      <c r="I22" s="63">
        <f>IFERROR(aurora_data!H14,0)</f>
        <v>0</v>
      </c>
      <c r="J22" s="36">
        <f>IFERROR(aurora_data!I14,0)</f>
        <v>0</v>
      </c>
      <c r="K22" s="62">
        <f>IFERROR(aurora_data!J14,0)</f>
        <v>0</v>
      </c>
      <c r="L22" s="62">
        <f>IFERROR(aurora_data!K14,0)</f>
        <v>0</v>
      </c>
      <c r="M22" s="62">
        <f>IFERROR(aurora_data!L14,0)</f>
        <v>0</v>
      </c>
      <c r="N22" s="63">
        <f>IFERROR(aurora_data!M14,0)</f>
        <v>0</v>
      </c>
      <c r="O22" s="36">
        <f>IFERROR(aurora_data!N14,0)</f>
        <v>0</v>
      </c>
      <c r="P22" s="62">
        <f>IFERROR(aurora_data!O14,0)</f>
        <v>0</v>
      </c>
      <c r="Q22" s="62">
        <f>IFERROR(aurora_data!P14,0)</f>
        <v>0</v>
      </c>
      <c r="R22" s="63">
        <f>IFERROR(aurora_data!Q14,0)</f>
        <v>0</v>
      </c>
      <c r="S22" s="62">
        <f>IFERROR(aurora_data!R14,0)</f>
        <v>0</v>
      </c>
      <c r="T22" s="62">
        <f>IFERROR(aurora_data!S14,0)</f>
        <v>0</v>
      </c>
      <c r="U22" s="63">
        <f>IFERROR(aurora_data!T14,0)</f>
        <v>0</v>
      </c>
      <c r="V22" s="64" t="s">
        <v>95</v>
      </c>
      <c r="W22" s="36">
        <f>IFERROR(aurora_data!U14,0)</f>
        <v>0</v>
      </c>
      <c r="X22" s="71">
        <f t="shared" si="1"/>
        <v>0</v>
      </c>
      <c r="Y22" s="2"/>
    </row>
    <row r="23" spans="1:25" customFormat="1">
      <c r="A23" s="2"/>
      <c r="B23" s="211"/>
      <c r="C23" s="213"/>
      <c r="D23" s="35" t="s">
        <v>97</v>
      </c>
      <c r="E23" s="36">
        <f>IFERROR(aurora_data!D15,0)</f>
        <v>0</v>
      </c>
      <c r="F23" s="62">
        <f>IFERROR(aurora_data!E15,0)</f>
        <v>0</v>
      </c>
      <c r="G23" s="62">
        <f>IFERROR(aurora_data!F15,0)</f>
        <v>0</v>
      </c>
      <c r="H23" s="62">
        <f>IFERROR(aurora_data!G15,0)</f>
        <v>0</v>
      </c>
      <c r="I23" s="63">
        <f>IFERROR(aurora_data!H15,0)</f>
        <v>0</v>
      </c>
      <c r="J23" s="36">
        <f>IFERROR(aurora_data!I15,0)</f>
        <v>0</v>
      </c>
      <c r="K23" s="62">
        <f>IFERROR(aurora_data!J15,0)</f>
        <v>0</v>
      </c>
      <c r="L23" s="62">
        <f>IFERROR(aurora_data!K15,0)</f>
        <v>0</v>
      </c>
      <c r="M23" s="62">
        <f>IFERROR(aurora_data!L15,0)</f>
        <v>0</v>
      </c>
      <c r="N23" s="63">
        <f>IFERROR(aurora_data!M15,0)</f>
        <v>0</v>
      </c>
      <c r="O23" s="36">
        <f>IFERROR(aurora_data!N15,0)</f>
        <v>0</v>
      </c>
      <c r="P23" s="62">
        <f>IFERROR(aurora_data!O15,0)</f>
        <v>0</v>
      </c>
      <c r="Q23" s="62">
        <f>IFERROR(aurora_data!P15,0)</f>
        <v>0</v>
      </c>
      <c r="R23" s="63">
        <f>IFERROR(aurora_data!Q15,0)</f>
        <v>0</v>
      </c>
      <c r="S23" s="62">
        <f>IFERROR(aurora_data!R15,0)</f>
        <v>0</v>
      </c>
      <c r="T23" s="62">
        <f>IFERROR(aurora_data!S15,0)</f>
        <v>0</v>
      </c>
      <c r="U23" s="63">
        <f>IFERROR(aurora_data!T15,0)</f>
        <v>0</v>
      </c>
      <c r="V23" s="64" t="s">
        <v>95</v>
      </c>
      <c r="W23" s="36">
        <f>IFERROR(aurora_data!U15,0)</f>
        <v>0</v>
      </c>
      <c r="X23" s="71">
        <f t="shared" si="1"/>
        <v>0</v>
      </c>
      <c r="Y23" s="2"/>
    </row>
    <row r="24" spans="1:25" customFormat="1">
      <c r="A24" s="2"/>
      <c r="B24" s="211"/>
      <c r="C24" s="213"/>
      <c r="D24" s="35" t="s">
        <v>98</v>
      </c>
      <c r="E24" s="36">
        <f>IFERROR(aurora_data!D16,0)</f>
        <v>0</v>
      </c>
      <c r="F24" s="62">
        <f>IFERROR(aurora_data!E16,0)</f>
        <v>0</v>
      </c>
      <c r="G24" s="62">
        <f>IFERROR(aurora_data!F16,0)</f>
        <v>1</v>
      </c>
      <c r="H24" s="62">
        <f>IFERROR(aurora_data!G16,0)</f>
        <v>0</v>
      </c>
      <c r="I24" s="63">
        <f>IFERROR(aurora_data!H16,0)</f>
        <v>0</v>
      </c>
      <c r="J24" s="36">
        <f>IFERROR(aurora_data!I16,0)</f>
        <v>0</v>
      </c>
      <c r="K24" s="62">
        <f>IFERROR(aurora_data!J16,0)</f>
        <v>0</v>
      </c>
      <c r="L24" s="62">
        <f>IFERROR(aurora_data!K16,0)</f>
        <v>1</v>
      </c>
      <c r="M24" s="62">
        <f>IFERROR(aurora_data!L16,0)</f>
        <v>0</v>
      </c>
      <c r="N24" s="63">
        <f>IFERROR(aurora_data!M16,0)</f>
        <v>0</v>
      </c>
      <c r="O24" s="36">
        <f>IFERROR(aurora_data!N16,0)</f>
        <v>0</v>
      </c>
      <c r="P24" s="62">
        <f>IFERROR(aurora_data!O16,0)</f>
        <v>0</v>
      </c>
      <c r="Q24" s="62">
        <f>IFERROR(aurora_data!P16,0)</f>
        <v>1</v>
      </c>
      <c r="R24" s="63">
        <f>IFERROR(aurora_data!Q16,0)</f>
        <v>0</v>
      </c>
      <c r="S24" s="62">
        <f>IFERROR(aurora_data!R16,0)</f>
        <v>0</v>
      </c>
      <c r="T24" s="62">
        <f>IFERROR(aurora_data!S16,0)</f>
        <v>1</v>
      </c>
      <c r="U24" s="63">
        <f>IFERROR(aurora_data!T16,0)</f>
        <v>0</v>
      </c>
      <c r="V24" s="64" t="s">
        <v>95</v>
      </c>
      <c r="W24" s="36">
        <f>IFERROR(aurora_data!U16,0)</f>
        <v>1</v>
      </c>
      <c r="X24" s="71">
        <f t="shared" si="1"/>
        <v>0.25</v>
      </c>
      <c r="Y24" s="2"/>
    </row>
    <row r="25" spans="1:25" customFormat="1" ht="16.5" thickBot="1">
      <c r="A25" s="2"/>
      <c r="B25" s="211"/>
      <c r="C25" s="213"/>
      <c r="D25" s="35" t="s">
        <v>99</v>
      </c>
      <c r="E25" s="36">
        <f>IFERROR(aurora_data!D17,0)</f>
        <v>0</v>
      </c>
      <c r="F25" s="62">
        <f>IFERROR(aurora_data!E17,0)</f>
        <v>0</v>
      </c>
      <c r="G25" s="62">
        <f>IFERROR(aurora_data!F17,0)</f>
        <v>0</v>
      </c>
      <c r="H25" s="62">
        <f>IFERROR(aurora_data!G17,0)</f>
        <v>0</v>
      </c>
      <c r="I25" s="63">
        <f>IFERROR(aurora_data!H17,0)</f>
        <v>0</v>
      </c>
      <c r="J25" s="36">
        <f>IFERROR(aurora_data!I17,0)</f>
        <v>0</v>
      </c>
      <c r="K25" s="62">
        <f>IFERROR(aurora_data!J17,0)</f>
        <v>0</v>
      </c>
      <c r="L25" s="62">
        <f>IFERROR(aurora_data!K17,0)</f>
        <v>0</v>
      </c>
      <c r="M25" s="62">
        <f>IFERROR(aurora_data!L17,0)</f>
        <v>0</v>
      </c>
      <c r="N25" s="63">
        <f>IFERROR(aurora_data!M17,0)</f>
        <v>0</v>
      </c>
      <c r="O25" s="36">
        <f>IFERROR(aurora_data!N17,0)</f>
        <v>0</v>
      </c>
      <c r="P25" s="62">
        <f>IFERROR(aurora_data!O17,0)</f>
        <v>0</v>
      </c>
      <c r="Q25" s="62">
        <f>IFERROR(aurora_data!P17,0)</f>
        <v>0</v>
      </c>
      <c r="R25" s="63">
        <f>IFERROR(aurora_data!Q17,0)</f>
        <v>0</v>
      </c>
      <c r="S25" s="62">
        <f>IFERROR(aurora_data!R17,0)</f>
        <v>0</v>
      </c>
      <c r="T25" s="62">
        <f>IFERROR(aurora_data!S17,0)</f>
        <v>0</v>
      </c>
      <c r="U25" s="63">
        <f>IFERROR(aurora_data!T17,0)</f>
        <v>0</v>
      </c>
      <c r="V25" s="64" t="s">
        <v>95</v>
      </c>
      <c r="W25" s="36">
        <f>IFERROR(aurora_data!U17,0)</f>
        <v>0</v>
      </c>
      <c r="X25" s="71">
        <f t="shared" si="1"/>
        <v>0</v>
      </c>
      <c r="Y25" s="2"/>
    </row>
    <row r="26" spans="1:25" customFormat="1" ht="16.5" thickBot="1">
      <c r="A26" s="2"/>
      <c r="B26" s="211"/>
      <c r="C26" s="213"/>
      <c r="D26" s="37" t="s">
        <v>64</v>
      </c>
      <c r="E26" s="59">
        <f>IFERROR(aurora_data!D18,0)</f>
        <v>0</v>
      </c>
      <c r="F26" s="65">
        <f>IFERROR(aurora_data!E18,0)</f>
        <v>1</v>
      </c>
      <c r="G26" s="65">
        <f>IFERROR(aurora_data!F18,0)</f>
        <v>2</v>
      </c>
      <c r="H26" s="65">
        <f>IFERROR(aurora_data!G18,0)</f>
        <v>1</v>
      </c>
      <c r="I26" s="66">
        <f>IFERROR(aurora_data!H18,0)</f>
        <v>0</v>
      </c>
      <c r="J26" s="59">
        <f>IFERROR(aurora_data!I18,0)</f>
        <v>0</v>
      </c>
      <c r="K26" s="65">
        <f>IFERROR(aurora_data!J18,0)</f>
        <v>0</v>
      </c>
      <c r="L26" s="65">
        <f>IFERROR(aurora_data!K18,0)</f>
        <v>3</v>
      </c>
      <c r="M26" s="65">
        <f>IFERROR(aurora_data!L18,0)</f>
        <v>0</v>
      </c>
      <c r="N26" s="66">
        <f>IFERROR(aurora_data!M18,0)</f>
        <v>1</v>
      </c>
      <c r="O26" s="59">
        <f>IFERROR(aurora_data!N18,0)</f>
        <v>0</v>
      </c>
      <c r="P26" s="65">
        <f>IFERROR(aurora_data!O18,0)</f>
        <v>0</v>
      </c>
      <c r="Q26" s="65">
        <f>IFERROR(aurora_data!P18,0)</f>
        <v>3</v>
      </c>
      <c r="R26" s="66">
        <f>IFERROR(aurora_data!Q18,0)</f>
        <v>1</v>
      </c>
      <c r="S26" s="65">
        <f>IFERROR(aurora_data!R18,0)</f>
        <v>1</v>
      </c>
      <c r="T26" s="65">
        <f>IFERROR(aurora_data!S18,0)</f>
        <v>3</v>
      </c>
      <c r="U26" s="66">
        <f>IFERROR(aurora_data!T18,0)</f>
        <v>0</v>
      </c>
      <c r="V26" s="67" t="s">
        <v>95</v>
      </c>
      <c r="W26" s="59">
        <f>IFERROR(aurora_data!U18,0)</f>
        <v>4</v>
      </c>
      <c r="X26" s="72">
        <f t="shared" si="1"/>
        <v>1</v>
      </c>
      <c r="Y26" s="2"/>
    </row>
    <row r="27" spans="1:25" customFormat="1" ht="16.5" thickBot="1">
      <c r="A27" s="2"/>
      <c r="B27" s="211"/>
      <c r="C27" s="213"/>
      <c r="D27" s="38" t="s">
        <v>100</v>
      </c>
      <c r="E27" s="60">
        <f>IFERROR(aurora_data!D19,0)</f>
        <v>0</v>
      </c>
      <c r="F27" s="68">
        <f>IFERROR(aurora_data!E19,0)</f>
        <v>0</v>
      </c>
      <c r="G27" s="68">
        <f>IFERROR(aurora_data!F19,0)</f>
        <v>0</v>
      </c>
      <c r="H27" s="68">
        <f>IFERROR(aurora_data!G19,0)</f>
        <v>0</v>
      </c>
      <c r="I27" s="69">
        <f>IFERROR(aurora_data!H19,0)</f>
        <v>0</v>
      </c>
      <c r="J27" s="60">
        <f>IFERROR(aurora_data!I19,0)</f>
        <v>0</v>
      </c>
      <c r="K27" s="68">
        <f>IFERROR(aurora_data!J19,0)</f>
        <v>0</v>
      </c>
      <c r="L27" s="68">
        <f>IFERROR(aurora_data!K19,0)</f>
        <v>0</v>
      </c>
      <c r="M27" s="68">
        <f>IFERROR(aurora_data!L19,0)</f>
        <v>0</v>
      </c>
      <c r="N27" s="69">
        <f>IFERROR(aurora_data!M19,0)</f>
        <v>0</v>
      </c>
      <c r="O27" s="60">
        <f>IFERROR(aurora_data!N19,0)</f>
        <v>0</v>
      </c>
      <c r="P27" s="68">
        <f>IFERROR(aurora_data!O19,0)</f>
        <v>0</v>
      </c>
      <c r="Q27" s="68">
        <f>IFERROR(aurora_data!P19,0)</f>
        <v>0</v>
      </c>
      <c r="R27" s="69">
        <f>IFERROR(aurora_data!Q19,0)</f>
        <v>0</v>
      </c>
      <c r="S27" s="68">
        <f>IFERROR(aurora_data!R19,0)</f>
        <v>0</v>
      </c>
      <c r="T27" s="68">
        <f>IFERROR(aurora_data!S19,0)</f>
        <v>0</v>
      </c>
      <c r="U27" s="74">
        <f>IFERROR(aurora_data!T19,0)</f>
        <v>0</v>
      </c>
      <c r="V27" s="75" t="s">
        <v>95</v>
      </c>
      <c r="W27" s="60">
        <f>IFERROR(aurora_data!U19,0)</f>
        <v>0</v>
      </c>
      <c r="X27" s="73">
        <f t="shared" si="1"/>
        <v>0</v>
      </c>
      <c r="Y27" s="2"/>
    </row>
    <row r="28" spans="1:25" customFormat="1">
      <c r="A28" s="2"/>
      <c r="B28" s="210" t="s">
        <v>94</v>
      </c>
      <c r="C28" s="212" t="str">
        <f>aurora_data!A20</f>
        <v>08.00.00-08.11.30</v>
      </c>
      <c r="D28" s="34" t="s">
        <v>71</v>
      </c>
      <c r="E28" s="39">
        <f>IFERROR(aurora_data!D20,0)</f>
        <v>0</v>
      </c>
      <c r="F28" s="40">
        <f>IFERROR(aurora_data!E20,0)</f>
        <v>0</v>
      </c>
      <c r="G28" s="40">
        <f>IFERROR(aurora_data!F20,0)</f>
        <v>0</v>
      </c>
      <c r="H28" s="40">
        <f>IFERROR(aurora_data!G20,0)</f>
        <v>0</v>
      </c>
      <c r="I28" s="41">
        <f>IFERROR(aurora_data!H20,0)</f>
        <v>0</v>
      </c>
      <c r="J28" s="39">
        <f>IFERROR(aurora_data!I20,0)</f>
        <v>0</v>
      </c>
      <c r="K28" s="40">
        <f>IFERROR(aurora_data!J20,0)</f>
        <v>0</v>
      </c>
      <c r="L28" s="40">
        <f>IFERROR(aurora_data!K20,0)</f>
        <v>0</v>
      </c>
      <c r="M28" s="40">
        <f>IFERROR(aurora_data!L20,0)</f>
        <v>0</v>
      </c>
      <c r="N28" s="41">
        <f>IFERROR(aurora_data!M20,0)</f>
        <v>0</v>
      </c>
      <c r="O28" s="39">
        <f>IFERROR(aurora_data!N20,0)</f>
        <v>0</v>
      </c>
      <c r="P28" s="40">
        <f>IFERROR(aurora_data!O20,0)</f>
        <v>0</v>
      </c>
      <c r="Q28" s="40">
        <f>IFERROR(aurora_data!P20,0)</f>
        <v>0</v>
      </c>
      <c r="R28" s="41">
        <f>IFERROR(aurora_data!Q20,0)</f>
        <v>0</v>
      </c>
      <c r="S28" s="40">
        <f>IFERROR(aurora_data!R20,0)</f>
        <v>0</v>
      </c>
      <c r="T28" s="40">
        <f>IFERROR(aurora_data!S20,0)</f>
        <v>0</v>
      </c>
      <c r="U28" s="76">
        <f>IFERROR(aurora_data!T20,0)</f>
        <v>0</v>
      </c>
      <c r="V28" s="61" t="s">
        <v>95</v>
      </c>
      <c r="W28" s="39">
        <f>IFERROR(aurora_data!U20,0)</f>
        <v>4</v>
      </c>
      <c r="X28" s="70">
        <f>IFERROR(W28/$W$12,0)</f>
        <v>1</v>
      </c>
      <c r="Y28" s="2"/>
    </row>
    <row r="29" spans="1:25" customFormat="1">
      <c r="A29" s="2"/>
      <c r="B29" s="211"/>
      <c r="C29" s="213"/>
      <c r="D29" s="35" t="s">
        <v>96</v>
      </c>
      <c r="E29" s="110">
        <f>IFERROR(aurora_data!D21,0)</f>
        <v>0</v>
      </c>
      <c r="F29" s="62">
        <f>IFERROR(aurora_data!E21,0)</f>
        <v>0</v>
      </c>
      <c r="G29" s="62">
        <f>IFERROR(aurora_data!F21,0)</f>
        <v>1</v>
      </c>
      <c r="H29" s="62">
        <f>IFERROR(aurora_data!G21,0)</f>
        <v>0</v>
      </c>
      <c r="I29" s="63">
        <f>IFERROR(aurora_data!H21,0)</f>
        <v>0</v>
      </c>
      <c r="J29" s="36">
        <f>IFERROR(aurora_data!I21,0)</f>
        <v>0</v>
      </c>
      <c r="K29" s="62">
        <f>IFERROR(aurora_data!J21,0)</f>
        <v>0</v>
      </c>
      <c r="L29" s="62">
        <f>IFERROR(aurora_data!K21,0)</f>
        <v>0</v>
      </c>
      <c r="M29" s="62">
        <f>IFERROR(aurora_data!L21,0)</f>
        <v>0</v>
      </c>
      <c r="N29" s="63">
        <f>IFERROR(aurora_data!M21,0)</f>
        <v>1</v>
      </c>
      <c r="O29" s="36">
        <f>IFERROR(aurora_data!N21,0)</f>
        <v>1</v>
      </c>
      <c r="P29" s="62">
        <f>IFERROR(aurora_data!O21,0)</f>
        <v>0</v>
      </c>
      <c r="Q29" s="62">
        <f>IFERROR(aurora_data!P21,0)</f>
        <v>0</v>
      </c>
      <c r="R29" s="63">
        <f>IFERROR(aurora_data!Q21,0)</f>
        <v>0</v>
      </c>
      <c r="S29" s="62">
        <f>IFERROR(aurora_data!R21,0)</f>
        <v>0</v>
      </c>
      <c r="T29" s="62">
        <f>IFERROR(aurora_data!S21,0)</f>
        <v>1</v>
      </c>
      <c r="U29" s="63">
        <f>IFERROR(aurora_data!T21,0)</f>
        <v>0</v>
      </c>
      <c r="V29" s="64" t="s">
        <v>95</v>
      </c>
      <c r="W29" s="36">
        <f>IFERROR(aurora_data!U21,0)</f>
        <v>1</v>
      </c>
      <c r="X29" s="71">
        <f t="shared" ref="X29:X35" si="2">IFERROR(W29/$W$12,0)</f>
        <v>0.25</v>
      </c>
      <c r="Y29" s="2"/>
    </row>
    <row r="30" spans="1:25" customFormat="1">
      <c r="A30" s="2"/>
      <c r="B30" s="211"/>
      <c r="C30" s="213"/>
      <c r="D30" s="35" t="s">
        <v>60</v>
      </c>
      <c r="E30" s="110">
        <f>IFERROR(aurora_data!D22,0)</f>
        <v>0</v>
      </c>
      <c r="F30" s="62">
        <f>IFERROR(aurora_data!E22,0)</f>
        <v>0</v>
      </c>
      <c r="G30" s="62">
        <f>IFERROR(aurora_data!F22,0)</f>
        <v>0</v>
      </c>
      <c r="H30" s="62">
        <f>IFERROR(aurora_data!G22,0)</f>
        <v>0</v>
      </c>
      <c r="I30" s="63">
        <f>IFERROR(aurora_data!H22,0)</f>
        <v>0</v>
      </c>
      <c r="J30" s="36">
        <f>IFERROR(aurora_data!I22,0)</f>
        <v>0</v>
      </c>
      <c r="K30" s="62">
        <f>IFERROR(aurora_data!J22,0)</f>
        <v>0</v>
      </c>
      <c r="L30" s="62">
        <f>IFERROR(aurora_data!K22,0)</f>
        <v>0</v>
      </c>
      <c r="M30" s="62">
        <f>IFERROR(aurora_data!L22,0)</f>
        <v>0</v>
      </c>
      <c r="N30" s="63">
        <f>IFERROR(aurora_data!M22,0)</f>
        <v>0</v>
      </c>
      <c r="O30" s="36">
        <f>IFERROR(aurora_data!N22,0)</f>
        <v>0</v>
      </c>
      <c r="P30" s="62">
        <f>IFERROR(aurora_data!O22,0)</f>
        <v>0</v>
      </c>
      <c r="Q30" s="62">
        <f>IFERROR(aurora_data!P22,0)</f>
        <v>0</v>
      </c>
      <c r="R30" s="63">
        <f>IFERROR(aurora_data!Q22,0)</f>
        <v>0</v>
      </c>
      <c r="S30" s="62">
        <f>IFERROR(aurora_data!R22,0)</f>
        <v>0</v>
      </c>
      <c r="T30" s="62">
        <f>IFERROR(aurora_data!S22,0)</f>
        <v>0</v>
      </c>
      <c r="U30" s="63">
        <f>IFERROR(aurora_data!T22,0)</f>
        <v>0</v>
      </c>
      <c r="V30" s="64" t="s">
        <v>95</v>
      </c>
      <c r="W30" s="36">
        <f>IFERROR(aurora_data!U22,0)</f>
        <v>0</v>
      </c>
      <c r="X30" s="71">
        <f t="shared" si="2"/>
        <v>0</v>
      </c>
      <c r="Y30" s="2"/>
    </row>
    <row r="31" spans="1:25" customFormat="1">
      <c r="A31" s="2"/>
      <c r="B31" s="211"/>
      <c r="C31" s="213"/>
      <c r="D31" s="35" t="s">
        <v>97</v>
      </c>
      <c r="E31" s="36">
        <f>IFERROR(aurora_data!D23,0)</f>
        <v>0</v>
      </c>
      <c r="F31" s="62">
        <f>IFERROR(aurora_data!E23,0)</f>
        <v>0</v>
      </c>
      <c r="G31" s="62">
        <f>IFERROR(aurora_data!F23,0)</f>
        <v>0</v>
      </c>
      <c r="H31" s="62">
        <f>IFERROR(aurora_data!G23,0)</f>
        <v>0</v>
      </c>
      <c r="I31" s="63">
        <f>IFERROR(aurora_data!H23,0)</f>
        <v>0</v>
      </c>
      <c r="J31" s="36">
        <f>IFERROR(aurora_data!I23,0)</f>
        <v>0</v>
      </c>
      <c r="K31" s="62">
        <f>IFERROR(aurora_data!J23,0)</f>
        <v>0</v>
      </c>
      <c r="L31" s="62">
        <f>IFERROR(aurora_data!K23,0)</f>
        <v>0</v>
      </c>
      <c r="M31" s="62">
        <f>IFERROR(aurora_data!L23,0)</f>
        <v>0</v>
      </c>
      <c r="N31" s="63">
        <f>IFERROR(aurora_data!M23,0)</f>
        <v>0</v>
      </c>
      <c r="O31" s="36">
        <f>IFERROR(aurora_data!N23,0)</f>
        <v>0</v>
      </c>
      <c r="P31" s="62">
        <f>IFERROR(aurora_data!O23,0)</f>
        <v>0</v>
      </c>
      <c r="Q31" s="62">
        <f>IFERROR(aurora_data!P23,0)</f>
        <v>0</v>
      </c>
      <c r="R31" s="63">
        <f>IFERROR(aurora_data!Q23,0)</f>
        <v>0</v>
      </c>
      <c r="S31" s="62">
        <f>IFERROR(aurora_data!R23,0)</f>
        <v>0</v>
      </c>
      <c r="T31" s="62">
        <f>IFERROR(aurora_data!S23,0)</f>
        <v>0</v>
      </c>
      <c r="U31" s="63">
        <f>IFERROR(aurora_data!T23,0)</f>
        <v>0</v>
      </c>
      <c r="V31" s="64" t="s">
        <v>95</v>
      </c>
      <c r="W31" s="36">
        <f>IFERROR(aurora_data!U23,0)</f>
        <v>0</v>
      </c>
      <c r="X31" s="71">
        <f t="shared" si="2"/>
        <v>0</v>
      </c>
      <c r="Y31" s="2"/>
    </row>
    <row r="32" spans="1:25" customFormat="1">
      <c r="A32" s="2"/>
      <c r="B32" s="211"/>
      <c r="C32" s="213"/>
      <c r="D32" s="35" t="s">
        <v>98</v>
      </c>
      <c r="E32" s="36">
        <f>IFERROR(aurora_data!D24,0)</f>
        <v>0</v>
      </c>
      <c r="F32" s="62">
        <f>IFERROR(aurora_data!E24,0)</f>
        <v>1</v>
      </c>
      <c r="G32" s="62">
        <f>IFERROR(aurora_data!F24,0)</f>
        <v>0</v>
      </c>
      <c r="H32" s="62">
        <f>IFERROR(aurora_data!G24,0)</f>
        <v>0</v>
      </c>
      <c r="I32" s="63">
        <f>IFERROR(aurora_data!H24,0)</f>
        <v>0</v>
      </c>
      <c r="J32" s="36">
        <f>IFERROR(aurora_data!I24,0)</f>
        <v>1</v>
      </c>
      <c r="K32" s="62">
        <f>IFERROR(aurora_data!J24,0)</f>
        <v>0</v>
      </c>
      <c r="L32" s="62">
        <f>IFERROR(aurora_data!K24,0)</f>
        <v>0</v>
      </c>
      <c r="M32" s="62">
        <f>IFERROR(aurora_data!L24,0)</f>
        <v>0</v>
      </c>
      <c r="N32" s="63">
        <f>IFERROR(aurora_data!M24,0)</f>
        <v>0</v>
      </c>
      <c r="O32" s="36">
        <f>IFERROR(aurora_data!N24,0)</f>
        <v>1</v>
      </c>
      <c r="P32" s="62">
        <f>IFERROR(aurora_data!O24,0)</f>
        <v>0</v>
      </c>
      <c r="Q32" s="62">
        <f>IFERROR(aurora_data!P24,0)</f>
        <v>0</v>
      </c>
      <c r="R32" s="63">
        <f>IFERROR(aurora_data!Q24,0)</f>
        <v>0</v>
      </c>
      <c r="S32" s="62">
        <f>IFERROR(aurora_data!R24,0)</f>
        <v>0</v>
      </c>
      <c r="T32" s="62">
        <f>IFERROR(aurora_data!S24,0)</f>
        <v>1</v>
      </c>
      <c r="U32" s="63">
        <f>IFERROR(aurora_data!T24,0)</f>
        <v>0</v>
      </c>
      <c r="V32" s="64" t="s">
        <v>95</v>
      </c>
      <c r="W32" s="36">
        <f>IFERROR(aurora_data!U24,0)</f>
        <v>1</v>
      </c>
      <c r="X32" s="71">
        <f t="shared" si="2"/>
        <v>0.25</v>
      </c>
      <c r="Y32" s="2"/>
    </row>
    <row r="33" spans="1:25" customFormat="1" ht="16.5" thickBot="1">
      <c r="A33" s="2"/>
      <c r="B33" s="211"/>
      <c r="C33" s="213"/>
      <c r="D33" s="35" t="s">
        <v>99</v>
      </c>
      <c r="E33" s="36">
        <f>IFERROR(aurora_data!D25,0)</f>
        <v>0</v>
      </c>
      <c r="F33" s="62">
        <f>IFERROR(aurora_data!E25,0)</f>
        <v>0</v>
      </c>
      <c r="G33" s="62">
        <f>IFERROR(aurora_data!F25,0)</f>
        <v>0</v>
      </c>
      <c r="H33" s="62">
        <f>IFERROR(aurora_data!G25,0)</f>
        <v>0</v>
      </c>
      <c r="I33" s="63">
        <f>IFERROR(aurora_data!H25,0)</f>
        <v>0</v>
      </c>
      <c r="J33" s="36">
        <f>IFERROR(aurora_data!I25,0)</f>
        <v>0</v>
      </c>
      <c r="K33" s="62">
        <f>IFERROR(aurora_data!J25,0)</f>
        <v>0</v>
      </c>
      <c r="L33" s="62">
        <f>IFERROR(aurora_data!K25,0)</f>
        <v>0</v>
      </c>
      <c r="M33" s="62">
        <f>IFERROR(aurora_data!L25,0)</f>
        <v>0</v>
      </c>
      <c r="N33" s="63">
        <f>IFERROR(aurora_data!M25,0)</f>
        <v>0</v>
      </c>
      <c r="O33" s="36">
        <f>IFERROR(aurora_data!N25,0)</f>
        <v>0</v>
      </c>
      <c r="P33" s="62">
        <f>IFERROR(aurora_data!O25,0)</f>
        <v>0</v>
      </c>
      <c r="Q33" s="62">
        <f>IFERROR(aurora_data!P25,0)</f>
        <v>0</v>
      </c>
      <c r="R33" s="63">
        <f>IFERROR(aurora_data!Q25,0)</f>
        <v>0</v>
      </c>
      <c r="S33" s="62">
        <f>IFERROR(aurora_data!R25,0)</f>
        <v>0</v>
      </c>
      <c r="T33" s="62">
        <f>IFERROR(aurora_data!S25,0)</f>
        <v>0</v>
      </c>
      <c r="U33" s="63">
        <f>IFERROR(aurora_data!T25,0)</f>
        <v>0</v>
      </c>
      <c r="V33" s="64" t="s">
        <v>95</v>
      </c>
      <c r="W33" s="36">
        <f>IFERROR(aurora_data!U25,0)</f>
        <v>0</v>
      </c>
      <c r="X33" s="71">
        <f t="shared" si="2"/>
        <v>0</v>
      </c>
      <c r="Y33" s="2"/>
    </row>
    <row r="34" spans="1:25" customFormat="1" ht="16.5" thickBot="1">
      <c r="A34" s="2"/>
      <c r="B34" s="211"/>
      <c r="C34" s="213"/>
      <c r="D34" s="37" t="s">
        <v>64</v>
      </c>
      <c r="E34" s="59">
        <f>IFERROR(aurora_data!D26,0)</f>
        <v>0</v>
      </c>
      <c r="F34" s="65">
        <f>IFERROR(aurora_data!E26,0)</f>
        <v>1</v>
      </c>
      <c r="G34" s="65">
        <f>IFERROR(aurora_data!F26,0)</f>
        <v>1</v>
      </c>
      <c r="H34" s="65">
        <f>IFERROR(aurora_data!G26,0)</f>
        <v>0</v>
      </c>
      <c r="I34" s="66">
        <f>IFERROR(aurora_data!H26,0)</f>
        <v>0</v>
      </c>
      <c r="J34" s="59">
        <f>IFERROR(aurora_data!I26,0)</f>
        <v>1</v>
      </c>
      <c r="K34" s="65">
        <f>IFERROR(aurora_data!J26,0)</f>
        <v>0</v>
      </c>
      <c r="L34" s="65">
        <f>IFERROR(aurora_data!K26,0)</f>
        <v>0</v>
      </c>
      <c r="M34" s="65">
        <f>IFERROR(aurora_data!L26,0)</f>
        <v>0</v>
      </c>
      <c r="N34" s="66">
        <f>IFERROR(aurora_data!M26,0)</f>
        <v>1</v>
      </c>
      <c r="O34" s="59">
        <f>IFERROR(aurora_data!N26,0)</f>
        <v>2</v>
      </c>
      <c r="P34" s="65">
        <f>IFERROR(aurora_data!O26,0)</f>
        <v>0</v>
      </c>
      <c r="Q34" s="65">
        <f>IFERROR(aurora_data!P26,0)</f>
        <v>0</v>
      </c>
      <c r="R34" s="66">
        <f>IFERROR(aurora_data!Q26,0)</f>
        <v>0</v>
      </c>
      <c r="S34" s="65">
        <f>IFERROR(aurora_data!R26,0)</f>
        <v>0</v>
      </c>
      <c r="T34" s="65">
        <f>IFERROR(aurora_data!S26,0)</f>
        <v>2</v>
      </c>
      <c r="U34" s="66">
        <f>IFERROR(aurora_data!T26,0)</f>
        <v>0</v>
      </c>
      <c r="V34" s="67" t="s">
        <v>95</v>
      </c>
      <c r="W34" s="59">
        <f>IFERROR(aurora_data!U26,0)</f>
        <v>2</v>
      </c>
      <c r="X34" s="72">
        <f t="shared" si="2"/>
        <v>0.5</v>
      </c>
      <c r="Y34" s="2"/>
    </row>
    <row r="35" spans="1:25" customFormat="1" ht="16.5" thickBot="1">
      <c r="A35" s="2"/>
      <c r="B35" s="211"/>
      <c r="C35" s="213"/>
      <c r="D35" s="38" t="s">
        <v>100</v>
      </c>
      <c r="E35" s="60">
        <f>IFERROR(aurora_data!D27,0)</f>
        <v>0</v>
      </c>
      <c r="F35" s="68">
        <f>IFERROR(aurora_data!E27,0)</f>
        <v>0</v>
      </c>
      <c r="G35" s="68">
        <f>IFERROR(aurora_data!F27,0)</f>
        <v>0</v>
      </c>
      <c r="H35" s="68">
        <f>IFERROR(aurora_data!G27,0)</f>
        <v>0</v>
      </c>
      <c r="I35" s="69">
        <f>IFERROR(aurora_data!H27,0)</f>
        <v>0</v>
      </c>
      <c r="J35" s="60">
        <f>IFERROR(aurora_data!I27,0)</f>
        <v>0</v>
      </c>
      <c r="K35" s="68">
        <f>IFERROR(aurora_data!J27,0)</f>
        <v>0</v>
      </c>
      <c r="L35" s="68">
        <f>IFERROR(aurora_data!K27,0)</f>
        <v>0</v>
      </c>
      <c r="M35" s="68">
        <f>IFERROR(aurora_data!L27,0)</f>
        <v>0</v>
      </c>
      <c r="N35" s="69">
        <f>IFERROR(aurora_data!M27,0)</f>
        <v>0</v>
      </c>
      <c r="O35" s="60">
        <f>IFERROR(aurora_data!N27,0)</f>
        <v>0</v>
      </c>
      <c r="P35" s="68">
        <f>IFERROR(aurora_data!O27,0)</f>
        <v>0</v>
      </c>
      <c r="Q35" s="68">
        <f>IFERROR(aurora_data!P27,0)</f>
        <v>0</v>
      </c>
      <c r="R35" s="69">
        <f>IFERROR(aurora_data!Q27,0)</f>
        <v>0</v>
      </c>
      <c r="S35" s="68">
        <f>IFERROR(aurora_data!R27,0)</f>
        <v>0</v>
      </c>
      <c r="T35" s="68">
        <f>IFERROR(aurora_data!S27,0)</f>
        <v>0</v>
      </c>
      <c r="U35" s="74">
        <f>IFERROR(aurora_data!T27,0)</f>
        <v>0</v>
      </c>
      <c r="V35" s="75" t="s">
        <v>95</v>
      </c>
      <c r="W35" s="60">
        <f>IFERROR(aurora_data!U27,0)</f>
        <v>0</v>
      </c>
      <c r="X35" s="73">
        <f t="shared" si="2"/>
        <v>0</v>
      </c>
      <c r="Y35" s="2"/>
    </row>
    <row r="36" spans="1:25" customFormat="1">
      <c r="A36" s="2"/>
      <c r="B36" s="210" t="s">
        <v>94</v>
      </c>
      <c r="C36" s="212" t="str">
        <f>aurora_data!A28</f>
        <v>09.00.00-09.11.30</v>
      </c>
      <c r="D36" s="34" t="s">
        <v>71</v>
      </c>
      <c r="E36" s="39">
        <f>IFERROR(aurora_data!D28,0)</f>
        <v>0</v>
      </c>
      <c r="F36" s="40">
        <f>IFERROR(aurora_data!E28,0)</f>
        <v>0</v>
      </c>
      <c r="G36" s="40">
        <f>IFERROR(aurora_data!F28,0)</f>
        <v>0</v>
      </c>
      <c r="H36" s="40">
        <f>IFERROR(aurora_data!G28,0)</f>
        <v>0</v>
      </c>
      <c r="I36" s="41">
        <f>IFERROR(aurora_data!H28,0)</f>
        <v>0</v>
      </c>
      <c r="J36" s="39">
        <f>IFERROR(aurora_data!I28,0)</f>
        <v>0</v>
      </c>
      <c r="K36" s="40">
        <f>IFERROR(aurora_data!J28,0)</f>
        <v>0</v>
      </c>
      <c r="L36" s="40">
        <f>IFERROR(aurora_data!K28,0)</f>
        <v>0</v>
      </c>
      <c r="M36" s="40">
        <f>IFERROR(aurora_data!L28,0)</f>
        <v>0</v>
      </c>
      <c r="N36" s="41">
        <f>IFERROR(aurora_data!M28,0)</f>
        <v>0</v>
      </c>
      <c r="O36" s="39">
        <f>IFERROR(aurora_data!N28,0)</f>
        <v>0</v>
      </c>
      <c r="P36" s="40">
        <f>IFERROR(aurora_data!O28,0)</f>
        <v>0</v>
      </c>
      <c r="Q36" s="40">
        <f>IFERROR(aurora_data!P28,0)</f>
        <v>0</v>
      </c>
      <c r="R36" s="41">
        <f>IFERROR(aurora_data!Q28,0)</f>
        <v>0</v>
      </c>
      <c r="S36" s="40">
        <f>IFERROR(aurora_data!R28,0)</f>
        <v>0</v>
      </c>
      <c r="T36" s="40">
        <f>IFERROR(aurora_data!S28,0)</f>
        <v>0</v>
      </c>
      <c r="U36" s="76">
        <f>IFERROR(aurora_data!T28,0)</f>
        <v>0</v>
      </c>
      <c r="V36" s="61" t="s">
        <v>95</v>
      </c>
      <c r="W36" s="39">
        <f>IFERROR(aurora_data!U28,0)</f>
        <v>4</v>
      </c>
      <c r="X36" s="70">
        <f>IFERROR(W36/$W$12,0)</f>
        <v>1</v>
      </c>
      <c r="Y36" s="2"/>
    </row>
    <row r="37" spans="1:25" customFormat="1">
      <c r="A37" s="2"/>
      <c r="B37" s="211"/>
      <c r="C37" s="213"/>
      <c r="D37" s="35" t="s">
        <v>96</v>
      </c>
      <c r="E37" s="110">
        <f>IFERROR(aurora_data!D29,0)</f>
        <v>0</v>
      </c>
      <c r="F37" s="62">
        <f>IFERROR(aurora_data!E29,0)</f>
        <v>1</v>
      </c>
      <c r="G37" s="62">
        <f>IFERROR(aurora_data!F29,0)</f>
        <v>0</v>
      </c>
      <c r="H37" s="62">
        <f>IFERROR(aurora_data!G29,0)</f>
        <v>0</v>
      </c>
      <c r="I37" s="63">
        <f>IFERROR(aurora_data!H29,0)</f>
        <v>0</v>
      </c>
      <c r="J37" s="36">
        <f>IFERROR(aurora_data!I29,0)</f>
        <v>0</v>
      </c>
      <c r="K37" s="62">
        <f>IFERROR(aurora_data!J29,0)</f>
        <v>1</v>
      </c>
      <c r="L37" s="62">
        <f>IFERROR(aurora_data!K29,0)</f>
        <v>0</v>
      </c>
      <c r="M37" s="62">
        <f>IFERROR(aurora_data!L29,0)</f>
        <v>0</v>
      </c>
      <c r="N37" s="63">
        <f>IFERROR(aurora_data!M29,0)</f>
        <v>0</v>
      </c>
      <c r="O37" s="36">
        <f>IFERROR(aurora_data!N29,0)</f>
        <v>0</v>
      </c>
      <c r="P37" s="62">
        <f>IFERROR(aurora_data!O29,0)</f>
        <v>0</v>
      </c>
      <c r="Q37" s="62">
        <f>IFERROR(aurora_data!P29,0)</f>
        <v>1</v>
      </c>
      <c r="R37" s="63">
        <f>IFERROR(aurora_data!Q29,0)</f>
        <v>0</v>
      </c>
      <c r="S37" s="62">
        <f>IFERROR(aurora_data!R29,0)</f>
        <v>0</v>
      </c>
      <c r="T37" s="62">
        <f>IFERROR(aurora_data!S29,0)</f>
        <v>1</v>
      </c>
      <c r="U37" s="63">
        <f>IFERROR(aurora_data!T29,0)</f>
        <v>0</v>
      </c>
      <c r="V37" s="64" t="s">
        <v>95</v>
      </c>
      <c r="W37" s="36">
        <f>IFERROR(aurora_data!U29,0)</f>
        <v>1</v>
      </c>
      <c r="X37" s="71">
        <f t="shared" ref="X37:X43" si="3">IFERROR(W37/$W$12,0)</f>
        <v>0.25</v>
      </c>
      <c r="Y37" s="2"/>
    </row>
    <row r="38" spans="1:25" customFormat="1">
      <c r="A38" s="2"/>
      <c r="B38" s="211"/>
      <c r="C38" s="213"/>
      <c r="D38" s="35" t="s">
        <v>60</v>
      </c>
      <c r="E38" s="110">
        <f>IFERROR(aurora_data!D30,0)</f>
        <v>0</v>
      </c>
      <c r="F38" s="62">
        <f>IFERROR(aurora_data!E30,0)</f>
        <v>0</v>
      </c>
      <c r="G38" s="62">
        <f>IFERROR(aurora_data!F30,0)</f>
        <v>0</v>
      </c>
      <c r="H38" s="62">
        <f>IFERROR(aurora_data!G30,0)</f>
        <v>0</v>
      </c>
      <c r="I38" s="63">
        <f>IFERROR(aurora_data!H30,0)</f>
        <v>0</v>
      </c>
      <c r="J38" s="36">
        <f>IFERROR(aurora_data!I30,0)</f>
        <v>0</v>
      </c>
      <c r="K38" s="62">
        <f>IFERROR(aurora_data!J30,0)</f>
        <v>0</v>
      </c>
      <c r="L38" s="62">
        <f>IFERROR(aurora_data!K30,0)</f>
        <v>0</v>
      </c>
      <c r="M38" s="62">
        <f>IFERROR(aurora_data!L30,0)</f>
        <v>0</v>
      </c>
      <c r="N38" s="63">
        <f>IFERROR(aurora_data!M30,0)</f>
        <v>0</v>
      </c>
      <c r="O38" s="36">
        <f>IFERROR(aurora_data!N30,0)</f>
        <v>0</v>
      </c>
      <c r="P38" s="62">
        <f>IFERROR(aurora_data!O30,0)</f>
        <v>0</v>
      </c>
      <c r="Q38" s="62">
        <f>IFERROR(aurora_data!P30,0)</f>
        <v>0</v>
      </c>
      <c r="R38" s="63">
        <f>IFERROR(aurora_data!Q30,0)</f>
        <v>0</v>
      </c>
      <c r="S38" s="62">
        <f>IFERROR(aurora_data!R30,0)</f>
        <v>0</v>
      </c>
      <c r="T38" s="62">
        <f>IFERROR(aurora_data!S30,0)</f>
        <v>0</v>
      </c>
      <c r="U38" s="63">
        <f>IFERROR(aurora_data!T30,0)</f>
        <v>0</v>
      </c>
      <c r="V38" s="64" t="s">
        <v>95</v>
      </c>
      <c r="W38" s="36">
        <f>IFERROR(aurora_data!U30,0)</f>
        <v>0</v>
      </c>
      <c r="X38" s="71">
        <f t="shared" si="3"/>
        <v>0</v>
      </c>
      <c r="Y38" s="2"/>
    </row>
    <row r="39" spans="1:25" customFormat="1">
      <c r="A39" s="2"/>
      <c r="B39" s="211"/>
      <c r="C39" s="213"/>
      <c r="D39" s="35" t="s">
        <v>97</v>
      </c>
      <c r="E39" s="36">
        <f>IFERROR(aurora_data!D31,0)</f>
        <v>0</v>
      </c>
      <c r="F39" s="62">
        <f>IFERROR(aurora_data!E31,0)</f>
        <v>0</v>
      </c>
      <c r="G39" s="62">
        <f>IFERROR(aurora_data!F31,0)</f>
        <v>0</v>
      </c>
      <c r="H39" s="62">
        <f>IFERROR(aurora_data!G31,0)</f>
        <v>0</v>
      </c>
      <c r="I39" s="63">
        <f>IFERROR(aurora_data!H31,0)</f>
        <v>0</v>
      </c>
      <c r="J39" s="36">
        <f>IFERROR(aurora_data!I31,0)</f>
        <v>0</v>
      </c>
      <c r="K39" s="62">
        <f>IFERROR(aurora_data!J31,0)</f>
        <v>0</v>
      </c>
      <c r="L39" s="62">
        <f>IFERROR(aurora_data!K31,0)</f>
        <v>0</v>
      </c>
      <c r="M39" s="62">
        <f>IFERROR(aurora_data!L31,0)</f>
        <v>0</v>
      </c>
      <c r="N39" s="63">
        <f>IFERROR(aurora_data!M31,0)</f>
        <v>0</v>
      </c>
      <c r="O39" s="36">
        <f>IFERROR(aurora_data!N31,0)</f>
        <v>0</v>
      </c>
      <c r="P39" s="62">
        <f>IFERROR(aurora_data!O31,0)</f>
        <v>0</v>
      </c>
      <c r="Q39" s="62">
        <f>IFERROR(aurora_data!P31,0)</f>
        <v>0</v>
      </c>
      <c r="R39" s="63">
        <f>IFERROR(aurora_data!Q31,0)</f>
        <v>0</v>
      </c>
      <c r="S39" s="62">
        <f>IFERROR(aurora_data!R31,0)</f>
        <v>0</v>
      </c>
      <c r="T39" s="62">
        <f>IFERROR(aurora_data!S31,0)</f>
        <v>0</v>
      </c>
      <c r="U39" s="63">
        <f>IFERROR(aurora_data!T31,0)</f>
        <v>0</v>
      </c>
      <c r="V39" s="64" t="s">
        <v>95</v>
      </c>
      <c r="W39" s="36">
        <f>IFERROR(aurora_data!U31,0)</f>
        <v>0</v>
      </c>
      <c r="X39" s="71">
        <f t="shared" si="3"/>
        <v>0</v>
      </c>
      <c r="Y39" s="2"/>
    </row>
    <row r="40" spans="1:25" customFormat="1">
      <c r="A40" s="2"/>
      <c r="B40" s="211"/>
      <c r="C40" s="213"/>
      <c r="D40" s="35" t="s">
        <v>98</v>
      </c>
      <c r="E40" s="36">
        <f>IFERROR(aurora_data!D32,0)</f>
        <v>0</v>
      </c>
      <c r="F40" s="62">
        <f>IFERROR(aurora_data!E32,0)</f>
        <v>0</v>
      </c>
      <c r="G40" s="62">
        <f>IFERROR(aurora_data!F32,0)</f>
        <v>0</v>
      </c>
      <c r="H40" s="62">
        <f>IFERROR(aurora_data!G32,0)</f>
        <v>0</v>
      </c>
      <c r="I40" s="63">
        <f>IFERROR(aurora_data!H32,0)</f>
        <v>0</v>
      </c>
      <c r="J40" s="36">
        <f>IFERROR(aurora_data!I32,0)</f>
        <v>0</v>
      </c>
      <c r="K40" s="62">
        <f>IFERROR(aurora_data!J32,0)</f>
        <v>0</v>
      </c>
      <c r="L40" s="62">
        <f>IFERROR(aurora_data!K32,0)</f>
        <v>0</v>
      </c>
      <c r="M40" s="62">
        <f>IFERROR(aurora_data!L32,0)</f>
        <v>0</v>
      </c>
      <c r="N40" s="63">
        <f>IFERROR(aurora_data!M32,0)</f>
        <v>0</v>
      </c>
      <c r="O40" s="36">
        <f>IFERROR(aurora_data!N32,0)</f>
        <v>0</v>
      </c>
      <c r="P40" s="62">
        <f>IFERROR(aurora_data!O32,0)</f>
        <v>0</v>
      </c>
      <c r="Q40" s="62">
        <f>IFERROR(aurora_data!P32,0)</f>
        <v>0</v>
      </c>
      <c r="R40" s="63">
        <f>IFERROR(aurora_data!Q32,0)</f>
        <v>0</v>
      </c>
      <c r="S40" s="62">
        <f>IFERROR(aurora_data!R32,0)</f>
        <v>0</v>
      </c>
      <c r="T40" s="62">
        <f>IFERROR(aurora_data!S32,0)</f>
        <v>0</v>
      </c>
      <c r="U40" s="63">
        <f>IFERROR(aurora_data!T32,0)</f>
        <v>0</v>
      </c>
      <c r="V40" s="64" t="s">
        <v>95</v>
      </c>
      <c r="W40" s="36">
        <f>IFERROR(aurora_data!U32,0)</f>
        <v>0</v>
      </c>
      <c r="X40" s="71">
        <f t="shared" si="3"/>
        <v>0</v>
      </c>
      <c r="Y40" s="2"/>
    </row>
    <row r="41" spans="1:25" customFormat="1" ht="16.5" thickBot="1">
      <c r="A41" s="2"/>
      <c r="B41" s="211"/>
      <c r="C41" s="213"/>
      <c r="D41" s="35" t="s">
        <v>99</v>
      </c>
      <c r="E41" s="36">
        <f>IFERROR(aurora_data!D33,0)</f>
        <v>0</v>
      </c>
      <c r="F41" s="62">
        <f>IFERROR(aurora_data!E33,0)</f>
        <v>0</v>
      </c>
      <c r="G41" s="62">
        <f>IFERROR(aurora_data!F33,0)</f>
        <v>0</v>
      </c>
      <c r="H41" s="62">
        <f>IFERROR(aurora_data!G33,0)</f>
        <v>0</v>
      </c>
      <c r="I41" s="63">
        <f>IFERROR(aurora_data!H33,0)</f>
        <v>0</v>
      </c>
      <c r="J41" s="36">
        <f>IFERROR(aurora_data!I33,0)</f>
        <v>0</v>
      </c>
      <c r="K41" s="62">
        <f>IFERROR(aurora_data!J33,0)</f>
        <v>0</v>
      </c>
      <c r="L41" s="62">
        <f>IFERROR(aurora_data!K33,0)</f>
        <v>0</v>
      </c>
      <c r="M41" s="62">
        <f>IFERROR(aurora_data!L33,0)</f>
        <v>0</v>
      </c>
      <c r="N41" s="63">
        <f>IFERROR(aurora_data!M33,0)</f>
        <v>0</v>
      </c>
      <c r="O41" s="36">
        <f>IFERROR(aurora_data!N33,0)</f>
        <v>0</v>
      </c>
      <c r="P41" s="62">
        <f>IFERROR(aurora_data!O33,0)</f>
        <v>0</v>
      </c>
      <c r="Q41" s="62">
        <f>IFERROR(aurora_data!P33,0)</f>
        <v>0</v>
      </c>
      <c r="R41" s="63">
        <f>IFERROR(aurora_data!Q33,0)</f>
        <v>0</v>
      </c>
      <c r="S41" s="62">
        <f>IFERROR(aurora_data!R33,0)</f>
        <v>0</v>
      </c>
      <c r="T41" s="62">
        <f>IFERROR(aurora_data!S33,0)</f>
        <v>0</v>
      </c>
      <c r="U41" s="63">
        <f>IFERROR(aurora_data!T33,0)</f>
        <v>0</v>
      </c>
      <c r="V41" s="64" t="s">
        <v>95</v>
      </c>
      <c r="W41" s="36">
        <f>IFERROR(aurora_data!U33,0)</f>
        <v>0</v>
      </c>
      <c r="X41" s="71">
        <f t="shared" si="3"/>
        <v>0</v>
      </c>
      <c r="Y41" s="2"/>
    </row>
    <row r="42" spans="1:25" customFormat="1" ht="16.5" thickBot="1">
      <c r="A42" s="2"/>
      <c r="B42" s="211"/>
      <c r="C42" s="213"/>
      <c r="D42" s="37" t="s">
        <v>64</v>
      </c>
      <c r="E42" s="59">
        <f>IFERROR(aurora_data!D34,0)</f>
        <v>0</v>
      </c>
      <c r="F42" s="65">
        <f>IFERROR(aurora_data!E34,0)</f>
        <v>1</v>
      </c>
      <c r="G42" s="65">
        <f>IFERROR(aurora_data!F34,0)</f>
        <v>0</v>
      </c>
      <c r="H42" s="65">
        <f>IFERROR(aurora_data!G34,0)</f>
        <v>0</v>
      </c>
      <c r="I42" s="66">
        <f>IFERROR(aurora_data!H34,0)</f>
        <v>0</v>
      </c>
      <c r="J42" s="59">
        <f>IFERROR(aurora_data!I34,0)</f>
        <v>0</v>
      </c>
      <c r="K42" s="65">
        <f>IFERROR(aurora_data!J34,0)</f>
        <v>1</v>
      </c>
      <c r="L42" s="65">
        <f>IFERROR(aurora_data!K34,0)</f>
        <v>0</v>
      </c>
      <c r="M42" s="65">
        <f>IFERROR(aurora_data!L34,0)</f>
        <v>0</v>
      </c>
      <c r="N42" s="66">
        <f>IFERROR(aurora_data!M34,0)</f>
        <v>0</v>
      </c>
      <c r="O42" s="59">
        <f>IFERROR(aurora_data!N34,0)</f>
        <v>0</v>
      </c>
      <c r="P42" s="65">
        <f>IFERROR(aurora_data!O34,0)</f>
        <v>0</v>
      </c>
      <c r="Q42" s="65">
        <f>IFERROR(aurora_data!P34,0)</f>
        <v>1</v>
      </c>
      <c r="R42" s="66">
        <f>IFERROR(aurora_data!Q34,0)</f>
        <v>0</v>
      </c>
      <c r="S42" s="65">
        <f>IFERROR(aurora_data!R34,0)</f>
        <v>0</v>
      </c>
      <c r="T42" s="65">
        <f>IFERROR(aurora_data!S34,0)</f>
        <v>1</v>
      </c>
      <c r="U42" s="66">
        <f>IFERROR(aurora_data!T34,0)</f>
        <v>0</v>
      </c>
      <c r="V42" s="67" t="s">
        <v>95</v>
      </c>
      <c r="W42" s="59">
        <f>IFERROR(aurora_data!U34,0)</f>
        <v>1</v>
      </c>
      <c r="X42" s="72">
        <f t="shared" si="3"/>
        <v>0.25</v>
      </c>
      <c r="Y42" s="2"/>
    </row>
    <row r="43" spans="1:25" customFormat="1" ht="16.5" thickBot="1">
      <c r="A43" s="2"/>
      <c r="B43" s="211"/>
      <c r="C43" s="213"/>
      <c r="D43" s="38" t="s">
        <v>100</v>
      </c>
      <c r="E43" s="60">
        <f>IFERROR(aurora_data!D35,0)</f>
        <v>0</v>
      </c>
      <c r="F43" s="68">
        <f>IFERROR(aurora_data!E35,0)</f>
        <v>0</v>
      </c>
      <c r="G43" s="68">
        <f>IFERROR(aurora_data!F35,0)</f>
        <v>0</v>
      </c>
      <c r="H43" s="68">
        <f>IFERROR(aurora_data!G35,0)</f>
        <v>0</v>
      </c>
      <c r="I43" s="69">
        <f>IFERROR(aurora_data!H35,0)</f>
        <v>0</v>
      </c>
      <c r="J43" s="60">
        <f>IFERROR(aurora_data!I35,0)</f>
        <v>0</v>
      </c>
      <c r="K43" s="68">
        <f>IFERROR(aurora_data!J35,0)</f>
        <v>0</v>
      </c>
      <c r="L43" s="68">
        <f>IFERROR(aurora_data!K35,0)</f>
        <v>0</v>
      </c>
      <c r="M43" s="68">
        <f>IFERROR(aurora_data!L35,0)</f>
        <v>0</v>
      </c>
      <c r="N43" s="69">
        <f>IFERROR(aurora_data!M35,0)</f>
        <v>0</v>
      </c>
      <c r="O43" s="60">
        <f>IFERROR(aurora_data!N35,0)</f>
        <v>0</v>
      </c>
      <c r="P43" s="68">
        <f>IFERROR(aurora_data!O35,0)</f>
        <v>0</v>
      </c>
      <c r="Q43" s="68">
        <f>IFERROR(aurora_data!P35,0)</f>
        <v>0</v>
      </c>
      <c r="R43" s="69">
        <f>IFERROR(aurora_data!Q35,0)</f>
        <v>0</v>
      </c>
      <c r="S43" s="68">
        <f>IFERROR(aurora_data!R35,0)</f>
        <v>0</v>
      </c>
      <c r="T43" s="68">
        <f>IFERROR(aurora_data!S35,0)</f>
        <v>0</v>
      </c>
      <c r="U43" s="74">
        <f>IFERROR(aurora_data!T35,0)</f>
        <v>0</v>
      </c>
      <c r="V43" s="75" t="s">
        <v>95</v>
      </c>
      <c r="W43" s="60">
        <f>IFERROR(aurora_data!U35,0)</f>
        <v>0</v>
      </c>
      <c r="X43" s="73">
        <f t="shared" si="3"/>
        <v>0</v>
      </c>
      <c r="Y43" s="2"/>
    </row>
    <row r="44" spans="1:25" customFormat="1">
      <c r="A44" s="2"/>
      <c r="B44" s="210" t="s">
        <v>94</v>
      </c>
      <c r="C44" s="212" t="str">
        <f>aurora_data!A36</f>
        <v>10.00.00-10.11.30</v>
      </c>
      <c r="D44" s="34" t="s">
        <v>71</v>
      </c>
      <c r="E44" s="39">
        <f>IFERROR(aurora_data!D36,0)</f>
        <v>0</v>
      </c>
      <c r="F44" s="40">
        <f>IFERROR(aurora_data!E36,0)</f>
        <v>0</v>
      </c>
      <c r="G44" s="40">
        <f>IFERROR(aurora_data!F36,0)</f>
        <v>0</v>
      </c>
      <c r="H44" s="40">
        <f>IFERROR(aurora_data!G36,0)</f>
        <v>0</v>
      </c>
      <c r="I44" s="41">
        <f>IFERROR(aurora_data!H36,0)</f>
        <v>0</v>
      </c>
      <c r="J44" s="39">
        <f>IFERROR(aurora_data!I36,0)</f>
        <v>0</v>
      </c>
      <c r="K44" s="40">
        <f>IFERROR(aurora_data!J36,0)</f>
        <v>0</v>
      </c>
      <c r="L44" s="40">
        <f>IFERROR(aurora_data!K36,0)</f>
        <v>0</v>
      </c>
      <c r="M44" s="40">
        <f>IFERROR(aurora_data!L36,0)</f>
        <v>0</v>
      </c>
      <c r="N44" s="41">
        <f>IFERROR(aurora_data!M36,0)</f>
        <v>0</v>
      </c>
      <c r="O44" s="39">
        <f>IFERROR(aurora_data!N36,0)</f>
        <v>0</v>
      </c>
      <c r="P44" s="40">
        <f>IFERROR(aurora_data!O36,0)</f>
        <v>0</v>
      </c>
      <c r="Q44" s="40">
        <f>IFERROR(aurora_data!P36,0)</f>
        <v>0</v>
      </c>
      <c r="R44" s="41">
        <f>IFERROR(aurora_data!Q36,0)</f>
        <v>0</v>
      </c>
      <c r="S44" s="40">
        <f>IFERROR(aurora_data!R36,0)</f>
        <v>0</v>
      </c>
      <c r="T44" s="40">
        <f>IFERROR(aurora_data!S36,0)</f>
        <v>0</v>
      </c>
      <c r="U44" s="76">
        <f>IFERROR(aurora_data!T36,0)</f>
        <v>0</v>
      </c>
      <c r="V44" s="61" t="s">
        <v>95</v>
      </c>
      <c r="W44" s="39">
        <f>IFERROR(aurora_data!U36,0)</f>
        <v>4</v>
      </c>
      <c r="X44" s="70">
        <f>IFERROR(W44/$W$12,0)</f>
        <v>1</v>
      </c>
      <c r="Y44" s="2"/>
    </row>
    <row r="45" spans="1:25" customFormat="1">
      <c r="A45" s="2"/>
      <c r="B45" s="211"/>
      <c r="C45" s="213"/>
      <c r="D45" s="35" t="s">
        <v>96</v>
      </c>
      <c r="E45" s="110">
        <f>IFERROR(aurora_data!D37,0)</f>
        <v>1</v>
      </c>
      <c r="F45" s="62">
        <f>IFERROR(aurora_data!E37,0)</f>
        <v>0</v>
      </c>
      <c r="G45" s="62">
        <f>IFERROR(aurora_data!F37,0)</f>
        <v>0</v>
      </c>
      <c r="H45" s="62">
        <f>IFERROR(aurora_data!G37,0)</f>
        <v>0</v>
      </c>
      <c r="I45" s="63">
        <f>IFERROR(aurora_data!H37,0)</f>
        <v>0</v>
      </c>
      <c r="J45" s="36">
        <f>IFERROR(aurora_data!I37,0)</f>
        <v>0</v>
      </c>
      <c r="K45" s="62">
        <f>IFERROR(aurora_data!J37,0)</f>
        <v>0</v>
      </c>
      <c r="L45" s="62">
        <f>IFERROR(aurora_data!K37,0)</f>
        <v>0</v>
      </c>
      <c r="M45" s="62">
        <f>IFERROR(aurora_data!L37,0)</f>
        <v>0</v>
      </c>
      <c r="N45" s="63">
        <f>IFERROR(aurora_data!M37,0)</f>
        <v>1</v>
      </c>
      <c r="O45" s="36">
        <f>IFERROR(aurora_data!N37,0)</f>
        <v>0</v>
      </c>
      <c r="P45" s="62">
        <f>IFERROR(aurora_data!O37,0)</f>
        <v>0</v>
      </c>
      <c r="Q45" s="62">
        <f>IFERROR(aurora_data!P37,0)</f>
        <v>1</v>
      </c>
      <c r="R45" s="63">
        <f>IFERROR(aurora_data!Q37,0)</f>
        <v>0</v>
      </c>
      <c r="S45" s="62">
        <f>IFERROR(aurora_data!R37,0)</f>
        <v>0</v>
      </c>
      <c r="T45" s="62">
        <f>IFERROR(aurora_data!S37,0)</f>
        <v>1</v>
      </c>
      <c r="U45" s="63">
        <f>IFERROR(aurora_data!T37,0)</f>
        <v>0</v>
      </c>
      <c r="V45" s="64" t="s">
        <v>95</v>
      </c>
      <c r="W45" s="36">
        <f>IFERROR(aurora_data!U37,0)</f>
        <v>1</v>
      </c>
      <c r="X45" s="71">
        <f t="shared" ref="X45:X51" si="4">IFERROR(W45/$W$12,0)</f>
        <v>0.25</v>
      </c>
      <c r="Y45" s="2"/>
    </row>
    <row r="46" spans="1:25" customFormat="1">
      <c r="A46" s="2"/>
      <c r="B46" s="211"/>
      <c r="C46" s="213"/>
      <c r="D46" s="35" t="s">
        <v>60</v>
      </c>
      <c r="E46" s="110">
        <f>IFERROR(aurora_data!D38,0)</f>
        <v>0</v>
      </c>
      <c r="F46" s="62">
        <f>IFERROR(aurora_data!E38,0)</f>
        <v>0</v>
      </c>
      <c r="G46" s="62">
        <f>IFERROR(aurora_data!F38,0)</f>
        <v>0</v>
      </c>
      <c r="H46" s="62">
        <f>IFERROR(aurora_data!G38,0)</f>
        <v>0</v>
      </c>
      <c r="I46" s="63">
        <f>IFERROR(aurora_data!H38,0)</f>
        <v>0</v>
      </c>
      <c r="J46" s="36">
        <f>IFERROR(aurora_data!I38,0)</f>
        <v>0</v>
      </c>
      <c r="K46" s="62">
        <f>IFERROR(aurora_data!J38,0)</f>
        <v>0</v>
      </c>
      <c r="L46" s="62">
        <f>IFERROR(aurora_data!K38,0)</f>
        <v>0</v>
      </c>
      <c r="M46" s="62">
        <f>IFERROR(aurora_data!L38,0)</f>
        <v>0</v>
      </c>
      <c r="N46" s="63">
        <f>IFERROR(aurora_data!M38,0)</f>
        <v>0</v>
      </c>
      <c r="O46" s="36">
        <f>IFERROR(aurora_data!N38,0)</f>
        <v>0</v>
      </c>
      <c r="P46" s="62">
        <f>IFERROR(aurora_data!O38,0)</f>
        <v>0</v>
      </c>
      <c r="Q46" s="62">
        <f>IFERROR(aurora_data!P38,0)</f>
        <v>0</v>
      </c>
      <c r="R46" s="63">
        <f>IFERROR(aurora_data!Q38,0)</f>
        <v>0</v>
      </c>
      <c r="S46" s="62">
        <f>IFERROR(aurora_data!R38,0)</f>
        <v>0</v>
      </c>
      <c r="T46" s="62">
        <f>IFERROR(aurora_data!S38,0)</f>
        <v>0</v>
      </c>
      <c r="U46" s="63">
        <f>IFERROR(aurora_data!T38,0)</f>
        <v>0</v>
      </c>
      <c r="V46" s="64" t="s">
        <v>95</v>
      </c>
      <c r="W46" s="36">
        <f>IFERROR(aurora_data!U38,0)</f>
        <v>0</v>
      </c>
      <c r="X46" s="71">
        <f t="shared" si="4"/>
        <v>0</v>
      </c>
      <c r="Y46" s="2"/>
    </row>
    <row r="47" spans="1:25" customFormat="1">
      <c r="A47" s="2"/>
      <c r="B47" s="211"/>
      <c r="C47" s="213"/>
      <c r="D47" s="35" t="s">
        <v>97</v>
      </c>
      <c r="E47" s="36">
        <f>IFERROR(aurora_data!D39,0)</f>
        <v>0</v>
      </c>
      <c r="F47" s="62">
        <f>IFERROR(aurora_data!E39,0)</f>
        <v>0</v>
      </c>
      <c r="G47" s="62">
        <f>IFERROR(aurora_data!F39,0)</f>
        <v>0</v>
      </c>
      <c r="H47" s="62">
        <f>IFERROR(aurora_data!G39,0)</f>
        <v>0</v>
      </c>
      <c r="I47" s="63">
        <f>IFERROR(aurora_data!H39,0)</f>
        <v>0</v>
      </c>
      <c r="J47" s="36">
        <f>IFERROR(aurora_data!I39,0)</f>
        <v>0</v>
      </c>
      <c r="K47" s="62">
        <f>IFERROR(aurora_data!J39,0)</f>
        <v>0</v>
      </c>
      <c r="L47" s="62">
        <f>IFERROR(aurora_data!K39,0)</f>
        <v>0</v>
      </c>
      <c r="M47" s="62">
        <f>IFERROR(aurora_data!L39,0)</f>
        <v>0</v>
      </c>
      <c r="N47" s="63">
        <f>IFERROR(aurora_data!M39,0)</f>
        <v>0</v>
      </c>
      <c r="O47" s="36">
        <f>IFERROR(aurora_data!N39,0)</f>
        <v>0</v>
      </c>
      <c r="P47" s="62">
        <f>IFERROR(aurora_data!O39,0)</f>
        <v>0</v>
      </c>
      <c r="Q47" s="62">
        <f>IFERROR(aurora_data!P39,0)</f>
        <v>0</v>
      </c>
      <c r="R47" s="63">
        <f>IFERROR(aurora_data!Q39,0)</f>
        <v>0</v>
      </c>
      <c r="S47" s="62">
        <f>IFERROR(aurora_data!R39,0)</f>
        <v>0</v>
      </c>
      <c r="T47" s="62">
        <f>IFERROR(aurora_data!S39,0)</f>
        <v>0</v>
      </c>
      <c r="U47" s="63">
        <f>IFERROR(aurora_data!T39,0)</f>
        <v>0</v>
      </c>
      <c r="V47" s="64" t="s">
        <v>95</v>
      </c>
      <c r="W47" s="36">
        <f>IFERROR(aurora_data!U39,0)</f>
        <v>0</v>
      </c>
      <c r="X47" s="71">
        <f t="shared" si="4"/>
        <v>0</v>
      </c>
      <c r="Y47" s="2"/>
    </row>
    <row r="48" spans="1:25" customFormat="1">
      <c r="A48" s="2"/>
      <c r="B48" s="211"/>
      <c r="C48" s="213"/>
      <c r="D48" s="35" t="s">
        <v>98</v>
      </c>
      <c r="E48" s="36">
        <f>IFERROR(aurora_data!D40,0)</f>
        <v>1</v>
      </c>
      <c r="F48" s="62">
        <f>IFERROR(aurora_data!E40,0)</f>
        <v>0</v>
      </c>
      <c r="G48" s="62">
        <f>IFERROR(aurora_data!F40,0)</f>
        <v>0</v>
      </c>
      <c r="H48" s="62">
        <f>IFERROR(aurora_data!G40,0)</f>
        <v>0</v>
      </c>
      <c r="I48" s="63">
        <f>IFERROR(aurora_data!H40,0)</f>
        <v>0</v>
      </c>
      <c r="J48" s="36">
        <f>IFERROR(aurora_data!I40,0)</f>
        <v>0</v>
      </c>
      <c r="K48" s="62">
        <f>IFERROR(aurora_data!J40,0)</f>
        <v>0</v>
      </c>
      <c r="L48" s="62">
        <f>IFERROR(aurora_data!K40,0)</f>
        <v>1</v>
      </c>
      <c r="M48" s="62">
        <f>IFERROR(aurora_data!L40,0)</f>
        <v>0</v>
      </c>
      <c r="N48" s="63">
        <f>IFERROR(aurora_data!M40,0)</f>
        <v>0</v>
      </c>
      <c r="O48" s="36">
        <f>IFERROR(aurora_data!N40,0)</f>
        <v>0</v>
      </c>
      <c r="P48" s="62">
        <f>IFERROR(aurora_data!O40,0)</f>
        <v>1</v>
      </c>
      <c r="Q48" s="62">
        <f>IFERROR(aurora_data!P40,0)</f>
        <v>0</v>
      </c>
      <c r="R48" s="63">
        <f>IFERROR(aurora_data!Q40,0)</f>
        <v>0</v>
      </c>
      <c r="S48" s="62">
        <f>IFERROR(aurora_data!R40,0)</f>
        <v>0</v>
      </c>
      <c r="T48" s="62">
        <f>IFERROR(aurora_data!S40,0)</f>
        <v>1</v>
      </c>
      <c r="U48" s="63">
        <f>IFERROR(aurora_data!T40,0)</f>
        <v>0</v>
      </c>
      <c r="V48" s="64" t="s">
        <v>95</v>
      </c>
      <c r="W48" s="36">
        <f>IFERROR(aurora_data!U40,0)</f>
        <v>1</v>
      </c>
      <c r="X48" s="71">
        <f t="shared" si="4"/>
        <v>0.25</v>
      </c>
      <c r="Y48" s="2"/>
    </row>
    <row r="49" spans="1:25" customFormat="1" ht="16.5" thickBot="1">
      <c r="A49" s="2"/>
      <c r="B49" s="211"/>
      <c r="C49" s="213"/>
      <c r="D49" s="35" t="s">
        <v>99</v>
      </c>
      <c r="E49" s="36">
        <f>IFERROR(aurora_data!D41,0)</f>
        <v>0</v>
      </c>
      <c r="F49" s="62">
        <f>IFERROR(aurora_data!E41,0)</f>
        <v>0</v>
      </c>
      <c r="G49" s="62">
        <f>IFERROR(aurora_data!F41,0)</f>
        <v>0</v>
      </c>
      <c r="H49" s="62">
        <f>IFERROR(aurora_data!G41,0)</f>
        <v>0</v>
      </c>
      <c r="I49" s="63">
        <f>IFERROR(aurora_data!H41,0)</f>
        <v>0</v>
      </c>
      <c r="J49" s="36">
        <f>IFERROR(aurora_data!I41,0)</f>
        <v>0</v>
      </c>
      <c r="K49" s="62">
        <f>IFERROR(aurora_data!J41,0)</f>
        <v>0</v>
      </c>
      <c r="L49" s="62">
        <f>IFERROR(aurora_data!K41,0)</f>
        <v>0</v>
      </c>
      <c r="M49" s="62">
        <f>IFERROR(aurora_data!L41,0)</f>
        <v>0</v>
      </c>
      <c r="N49" s="63">
        <f>IFERROR(aurora_data!M41,0)</f>
        <v>0</v>
      </c>
      <c r="O49" s="36">
        <f>IFERROR(aurora_data!N41,0)</f>
        <v>0</v>
      </c>
      <c r="P49" s="62">
        <f>IFERROR(aurora_data!O41,0)</f>
        <v>0</v>
      </c>
      <c r="Q49" s="62">
        <f>IFERROR(aurora_data!P41,0)</f>
        <v>0</v>
      </c>
      <c r="R49" s="63">
        <f>IFERROR(aurora_data!Q41,0)</f>
        <v>0</v>
      </c>
      <c r="S49" s="62">
        <f>IFERROR(aurora_data!R41,0)</f>
        <v>0</v>
      </c>
      <c r="T49" s="62">
        <f>IFERROR(aurora_data!S41,0)</f>
        <v>0</v>
      </c>
      <c r="U49" s="63">
        <f>IFERROR(aurora_data!T41,0)</f>
        <v>0</v>
      </c>
      <c r="V49" s="64" t="s">
        <v>95</v>
      </c>
      <c r="W49" s="36">
        <f>IFERROR(aurora_data!U41,0)</f>
        <v>0</v>
      </c>
      <c r="X49" s="71">
        <f t="shared" si="4"/>
        <v>0</v>
      </c>
      <c r="Y49" s="2"/>
    </row>
    <row r="50" spans="1:25" customFormat="1" ht="16.5" thickBot="1">
      <c r="A50" s="2"/>
      <c r="B50" s="211"/>
      <c r="C50" s="213"/>
      <c r="D50" s="37" t="s">
        <v>64</v>
      </c>
      <c r="E50" s="59">
        <f>IFERROR(aurora_data!D42,0)</f>
        <v>2</v>
      </c>
      <c r="F50" s="65">
        <f>IFERROR(aurora_data!E42,0)</f>
        <v>0</v>
      </c>
      <c r="G50" s="65">
        <f>IFERROR(aurora_data!F42,0)</f>
        <v>0</v>
      </c>
      <c r="H50" s="65">
        <f>IFERROR(aurora_data!G42,0)</f>
        <v>0</v>
      </c>
      <c r="I50" s="66">
        <f>IFERROR(aurora_data!H42,0)</f>
        <v>0</v>
      </c>
      <c r="J50" s="59">
        <f>IFERROR(aurora_data!I42,0)</f>
        <v>0</v>
      </c>
      <c r="K50" s="65">
        <f>IFERROR(aurora_data!J42,0)</f>
        <v>0</v>
      </c>
      <c r="L50" s="65">
        <f>IFERROR(aurora_data!K42,0)</f>
        <v>1</v>
      </c>
      <c r="M50" s="65">
        <f>IFERROR(aurora_data!L42,0)</f>
        <v>0</v>
      </c>
      <c r="N50" s="66">
        <f>IFERROR(aurora_data!M42,0)</f>
        <v>1</v>
      </c>
      <c r="O50" s="59">
        <f>IFERROR(aurora_data!N42,0)</f>
        <v>0</v>
      </c>
      <c r="P50" s="65">
        <f>IFERROR(aurora_data!O42,0)</f>
        <v>1</v>
      </c>
      <c r="Q50" s="65">
        <f>IFERROR(aurora_data!P42,0)</f>
        <v>1</v>
      </c>
      <c r="R50" s="66">
        <f>IFERROR(aurora_data!Q42,0)</f>
        <v>0</v>
      </c>
      <c r="S50" s="65">
        <f>IFERROR(aurora_data!R42,0)</f>
        <v>0</v>
      </c>
      <c r="T50" s="65">
        <f>IFERROR(aurora_data!S42,0)</f>
        <v>2</v>
      </c>
      <c r="U50" s="66">
        <f>IFERROR(aurora_data!T42,0)</f>
        <v>0</v>
      </c>
      <c r="V50" s="67" t="s">
        <v>95</v>
      </c>
      <c r="W50" s="59">
        <f>IFERROR(aurora_data!U42,0)</f>
        <v>2</v>
      </c>
      <c r="X50" s="72">
        <f t="shared" si="4"/>
        <v>0.5</v>
      </c>
      <c r="Y50" s="2"/>
    </row>
    <row r="51" spans="1:25" customFormat="1" ht="16.5" thickBot="1">
      <c r="A51" s="2"/>
      <c r="B51" s="211"/>
      <c r="C51" s="213"/>
      <c r="D51" s="38" t="s">
        <v>100</v>
      </c>
      <c r="E51" s="60">
        <f>IFERROR(aurora_data!D43,0)</f>
        <v>0</v>
      </c>
      <c r="F51" s="68">
        <f>IFERROR(aurora_data!E43,0)</f>
        <v>0</v>
      </c>
      <c r="G51" s="68">
        <f>IFERROR(aurora_data!F43,0)</f>
        <v>0</v>
      </c>
      <c r="H51" s="68">
        <f>IFERROR(aurora_data!G43,0)</f>
        <v>0</v>
      </c>
      <c r="I51" s="69">
        <f>IFERROR(aurora_data!H43,0)</f>
        <v>0</v>
      </c>
      <c r="J51" s="60">
        <f>IFERROR(aurora_data!I43,0)</f>
        <v>0</v>
      </c>
      <c r="K51" s="68">
        <f>IFERROR(aurora_data!J43,0)</f>
        <v>0</v>
      </c>
      <c r="L51" s="68">
        <f>IFERROR(aurora_data!K43,0)</f>
        <v>0</v>
      </c>
      <c r="M51" s="68">
        <f>IFERROR(aurora_data!L43,0)</f>
        <v>0</v>
      </c>
      <c r="N51" s="69">
        <f>IFERROR(aurora_data!M43,0)</f>
        <v>0</v>
      </c>
      <c r="O51" s="60">
        <f>IFERROR(aurora_data!N43,0)</f>
        <v>0</v>
      </c>
      <c r="P51" s="68">
        <f>IFERROR(aurora_data!O43,0)</f>
        <v>0</v>
      </c>
      <c r="Q51" s="68">
        <f>IFERROR(aurora_data!P43,0)</f>
        <v>0</v>
      </c>
      <c r="R51" s="69">
        <f>IFERROR(aurora_data!Q43,0)</f>
        <v>0</v>
      </c>
      <c r="S51" s="68">
        <f>IFERROR(aurora_data!R43,0)</f>
        <v>0</v>
      </c>
      <c r="T51" s="68">
        <f>IFERROR(aurora_data!S43,0)</f>
        <v>0</v>
      </c>
      <c r="U51" s="74">
        <f>IFERROR(aurora_data!T43,0)</f>
        <v>0</v>
      </c>
      <c r="V51" s="75" t="s">
        <v>95</v>
      </c>
      <c r="W51" s="60">
        <f>IFERROR(aurora_data!U43,0)</f>
        <v>0</v>
      </c>
      <c r="X51" s="73">
        <f t="shared" si="4"/>
        <v>0</v>
      </c>
      <c r="Y51" s="2"/>
    </row>
    <row r="52" spans="1:25" customFormat="1">
      <c r="A52" s="2"/>
      <c r="B52" s="210" t="s">
        <v>94</v>
      </c>
      <c r="C52" s="212" t="str">
        <f>aurora_data!A44</f>
        <v>11.00.00-11.11.30</v>
      </c>
      <c r="D52" s="34" t="s">
        <v>71</v>
      </c>
      <c r="E52" s="39">
        <f>IFERROR(aurora_data!D44,0)</f>
        <v>0</v>
      </c>
      <c r="F52" s="40">
        <f>IFERROR(aurora_data!E44,0)</f>
        <v>0</v>
      </c>
      <c r="G52" s="40">
        <f>IFERROR(aurora_data!F44,0)</f>
        <v>0</v>
      </c>
      <c r="H52" s="40">
        <f>IFERROR(aurora_data!G44,0)</f>
        <v>0</v>
      </c>
      <c r="I52" s="41">
        <f>IFERROR(aurora_data!H44,0)</f>
        <v>0</v>
      </c>
      <c r="J52" s="39">
        <f>IFERROR(aurora_data!I44,0)</f>
        <v>0</v>
      </c>
      <c r="K52" s="40">
        <f>IFERROR(aurora_data!J44,0)</f>
        <v>0</v>
      </c>
      <c r="L52" s="40">
        <f>IFERROR(aurora_data!K44,0)</f>
        <v>0</v>
      </c>
      <c r="M52" s="40">
        <f>IFERROR(aurora_data!L44,0)</f>
        <v>0</v>
      </c>
      <c r="N52" s="41">
        <f>IFERROR(aurora_data!M44,0)</f>
        <v>0</v>
      </c>
      <c r="O52" s="39">
        <f>IFERROR(aurora_data!N44,0)</f>
        <v>0</v>
      </c>
      <c r="P52" s="40">
        <f>IFERROR(aurora_data!O44,0)</f>
        <v>0</v>
      </c>
      <c r="Q52" s="40">
        <f>IFERROR(aurora_data!P44,0)</f>
        <v>0</v>
      </c>
      <c r="R52" s="41">
        <f>IFERROR(aurora_data!Q44,0)</f>
        <v>0</v>
      </c>
      <c r="S52" s="40">
        <f>IFERROR(aurora_data!R44,0)</f>
        <v>0</v>
      </c>
      <c r="T52" s="40">
        <f>IFERROR(aurora_data!S44,0)</f>
        <v>0</v>
      </c>
      <c r="U52" s="76">
        <f>IFERROR(aurora_data!T44,0)</f>
        <v>0</v>
      </c>
      <c r="V52" s="61" t="s">
        <v>95</v>
      </c>
      <c r="W52" s="39">
        <f>IFERROR(aurora_data!U44,0)</f>
        <v>4</v>
      </c>
      <c r="X52" s="70">
        <f>IFERROR(W52/$W$12,0)</f>
        <v>1</v>
      </c>
      <c r="Y52" s="2"/>
    </row>
    <row r="53" spans="1:25" customFormat="1">
      <c r="A53" s="2"/>
      <c r="B53" s="211"/>
      <c r="C53" s="213"/>
      <c r="D53" s="35" t="s">
        <v>96</v>
      </c>
      <c r="E53" s="110">
        <f>IFERROR(aurora_data!D45,0)</f>
        <v>0</v>
      </c>
      <c r="F53" s="62">
        <f>IFERROR(aurora_data!E45,0)</f>
        <v>0</v>
      </c>
      <c r="G53" s="62">
        <f>IFERROR(aurora_data!F45,0)</f>
        <v>1</v>
      </c>
      <c r="H53" s="62">
        <f>IFERROR(aurora_data!G45,0)</f>
        <v>1</v>
      </c>
      <c r="I53" s="63">
        <f>IFERROR(aurora_data!H45,0)</f>
        <v>0</v>
      </c>
      <c r="J53" s="36">
        <f>IFERROR(aurora_data!I45,0)</f>
        <v>0</v>
      </c>
      <c r="K53" s="62">
        <f>IFERROR(aurora_data!J45,0)</f>
        <v>1</v>
      </c>
      <c r="L53" s="62">
        <f>IFERROR(aurora_data!K45,0)</f>
        <v>1</v>
      </c>
      <c r="M53" s="62">
        <f>IFERROR(aurora_data!L45,0)</f>
        <v>0</v>
      </c>
      <c r="N53" s="63">
        <f>IFERROR(aurora_data!M45,0)</f>
        <v>0</v>
      </c>
      <c r="O53" s="36">
        <f>IFERROR(aurora_data!N45,0)</f>
        <v>1</v>
      </c>
      <c r="P53" s="62">
        <f>IFERROR(aurora_data!O45,0)</f>
        <v>0</v>
      </c>
      <c r="Q53" s="62">
        <f>IFERROR(aurora_data!P45,0)</f>
        <v>0</v>
      </c>
      <c r="R53" s="63">
        <f>IFERROR(aurora_data!Q45,0)</f>
        <v>1</v>
      </c>
      <c r="S53" s="62">
        <f>IFERROR(aurora_data!R45,0)</f>
        <v>0</v>
      </c>
      <c r="T53" s="62">
        <f>IFERROR(aurora_data!S45,0)</f>
        <v>2</v>
      </c>
      <c r="U53" s="63">
        <f>IFERROR(aurora_data!T45,0)</f>
        <v>0</v>
      </c>
      <c r="V53" s="64" t="s">
        <v>95</v>
      </c>
      <c r="W53" s="36">
        <f>IFERROR(aurora_data!U45,0)</f>
        <v>2</v>
      </c>
      <c r="X53" s="71">
        <f t="shared" ref="X53:X59" si="5">IFERROR(W53/$W$12,0)</f>
        <v>0.5</v>
      </c>
      <c r="Y53" s="2"/>
    </row>
    <row r="54" spans="1:25" customFormat="1">
      <c r="A54" s="2"/>
      <c r="B54" s="211"/>
      <c r="C54" s="213"/>
      <c r="D54" s="35" t="s">
        <v>60</v>
      </c>
      <c r="E54" s="110">
        <f>IFERROR(aurora_data!D46,0)</f>
        <v>0</v>
      </c>
      <c r="F54" s="62">
        <f>IFERROR(aurora_data!E46,0)</f>
        <v>0</v>
      </c>
      <c r="G54" s="62">
        <f>IFERROR(aurora_data!F46,0)</f>
        <v>0</v>
      </c>
      <c r="H54" s="62">
        <f>IFERROR(aurora_data!G46,0)</f>
        <v>0</v>
      </c>
      <c r="I54" s="63">
        <f>IFERROR(aurora_data!H46,0)</f>
        <v>0</v>
      </c>
      <c r="J54" s="36">
        <f>IFERROR(aurora_data!I46,0)</f>
        <v>0</v>
      </c>
      <c r="K54" s="62">
        <f>IFERROR(aurora_data!J46,0)</f>
        <v>0</v>
      </c>
      <c r="L54" s="62">
        <f>IFERROR(aurora_data!K46,0)</f>
        <v>0</v>
      </c>
      <c r="M54" s="62">
        <f>IFERROR(aurora_data!L46,0)</f>
        <v>0</v>
      </c>
      <c r="N54" s="63">
        <f>IFERROR(aurora_data!M46,0)</f>
        <v>0</v>
      </c>
      <c r="O54" s="36">
        <f>IFERROR(aurora_data!N46,0)</f>
        <v>0</v>
      </c>
      <c r="P54" s="62">
        <f>IFERROR(aurora_data!O46,0)</f>
        <v>0</v>
      </c>
      <c r="Q54" s="62">
        <f>IFERROR(aurora_data!P46,0)</f>
        <v>0</v>
      </c>
      <c r="R54" s="63">
        <f>IFERROR(aurora_data!Q46,0)</f>
        <v>0</v>
      </c>
      <c r="S54" s="62">
        <f>IFERROR(aurora_data!R46,0)</f>
        <v>0</v>
      </c>
      <c r="T54" s="62">
        <f>IFERROR(aurora_data!S46,0)</f>
        <v>0</v>
      </c>
      <c r="U54" s="63">
        <f>IFERROR(aurora_data!T46,0)</f>
        <v>0</v>
      </c>
      <c r="V54" s="64" t="s">
        <v>95</v>
      </c>
      <c r="W54" s="36">
        <f>IFERROR(aurora_data!U46,0)</f>
        <v>0</v>
      </c>
      <c r="X54" s="71">
        <f t="shared" si="5"/>
        <v>0</v>
      </c>
      <c r="Y54" s="2"/>
    </row>
    <row r="55" spans="1:25" customFormat="1">
      <c r="A55" s="2"/>
      <c r="B55" s="211"/>
      <c r="C55" s="213"/>
      <c r="D55" s="35" t="s">
        <v>97</v>
      </c>
      <c r="E55" s="36">
        <f>IFERROR(aurora_data!D47,0)</f>
        <v>0</v>
      </c>
      <c r="F55" s="62">
        <f>IFERROR(aurora_data!E47,0)</f>
        <v>0</v>
      </c>
      <c r="G55" s="62">
        <f>IFERROR(aurora_data!F47,0)</f>
        <v>0</v>
      </c>
      <c r="H55" s="62">
        <f>IFERROR(aurora_data!G47,0)</f>
        <v>0</v>
      </c>
      <c r="I55" s="63">
        <f>IFERROR(aurora_data!H47,0)</f>
        <v>0</v>
      </c>
      <c r="J55" s="36">
        <f>IFERROR(aurora_data!I47,0)</f>
        <v>0</v>
      </c>
      <c r="K55" s="62">
        <f>IFERROR(aurora_data!J47,0)</f>
        <v>0</v>
      </c>
      <c r="L55" s="62">
        <f>IFERROR(aurora_data!K47,0)</f>
        <v>0</v>
      </c>
      <c r="M55" s="62">
        <f>IFERROR(aurora_data!L47,0)</f>
        <v>0</v>
      </c>
      <c r="N55" s="63">
        <f>IFERROR(aurora_data!M47,0)</f>
        <v>0</v>
      </c>
      <c r="O55" s="36">
        <f>IFERROR(aurora_data!N47,0)</f>
        <v>0</v>
      </c>
      <c r="P55" s="62">
        <f>IFERROR(aurora_data!O47,0)</f>
        <v>0</v>
      </c>
      <c r="Q55" s="62">
        <f>IFERROR(aurora_data!P47,0)</f>
        <v>0</v>
      </c>
      <c r="R55" s="63">
        <f>IFERROR(aurora_data!Q47,0)</f>
        <v>0</v>
      </c>
      <c r="S55" s="62">
        <f>IFERROR(aurora_data!R47,0)</f>
        <v>0</v>
      </c>
      <c r="T55" s="62">
        <f>IFERROR(aurora_data!S47,0)</f>
        <v>0</v>
      </c>
      <c r="U55" s="63">
        <f>IFERROR(aurora_data!T47,0)</f>
        <v>0</v>
      </c>
      <c r="V55" s="64" t="s">
        <v>95</v>
      </c>
      <c r="W55" s="36">
        <f>IFERROR(aurora_data!U47,0)</f>
        <v>0</v>
      </c>
      <c r="X55" s="71">
        <f t="shared" si="5"/>
        <v>0</v>
      </c>
      <c r="Y55" s="2"/>
    </row>
    <row r="56" spans="1:25" customFormat="1">
      <c r="A56" s="2"/>
      <c r="B56" s="211"/>
      <c r="C56" s="213"/>
      <c r="D56" s="35" t="s">
        <v>98</v>
      </c>
      <c r="E56" s="36">
        <f>IFERROR(aurora_data!D48,0)</f>
        <v>0</v>
      </c>
      <c r="F56" s="62">
        <f>IFERROR(aurora_data!E48,0)</f>
        <v>0</v>
      </c>
      <c r="G56" s="62">
        <f>IFERROR(aurora_data!F48,0)</f>
        <v>0</v>
      </c>
      <c r="H56" s="62">
        <f>IFERROR(aurora_data!G48,0)</f>
        <v>0</v>
      </c>
      <c r="I56" s="63">
        <f>IFERROR(aurora_data!H48,0)</f>
        <v>0</v>
      </c>
      <c r="J56" s="36">
        <f>IFERROR(aurora_data!I48,0)</f>
        <v>0</v>
      </c>
      <c r="K56" s="62">
        <f>IFERROR(aurora_data!J48,0)</f>
        <v>0</v>
      </c>
      <c r="L56" s="62">
        <f>IFERROR(aurora_data!K48,0)</f>
        <v>0</v>
      </c>
      <c r="M56" s="62">
        <f>IFERROR(aurora_data!L48,0)</f>
        <v>0</v>
      </c>
      <c r="N56" s="63">
        <f>IFERROR(aurora_data!M48,0)</f>
        <v>0</v>
      </c>
      <c r="O56" s="36">
        <f>IFERROR(aurora_data!N48,0)</f>
        <v>0</v>
      </c>
      <c r="P56" s="62">
        <f>IFERROR(aurora_data!O48,0)</f>
        <v>0</v>
      </c>
      <c r="Q56" s="62">
        <f>IFERROR(aurora_data!P48,0)</f>
        <v>0</v>
      </c>
      <c r="R56" s="63">
        <f>IFERROR(aurora_data!Q48,0)</f>
        <v>0</v>
      </c>
      <c r="S56" s="62">
        <f>IFERROR(aurora_data!R48,0)</f>
        <v>0</v>
      </c>
      <c r="T56" s="62">
        <f>IFERROR(aurora_data!S48,0)</f>
        <v>0</v>
      </c>
      <c r="U56" s="63">
        <f>IFERROR(aurora_data!T48,0)</f>
        <v>0</v>
      </c>
      <c r="V56" s="64" t="s">
        <v>95</v>
      </c>
      <c r="W56" s="36">
        <f>IFERROR(aurora_data!U48,0)</f>
        <v>0</v>
      </c>
      <c r="X56" s="71">
        <f t="shared" si="5"/>
        <v>0</v>
      </c>
      <c r="Y56" s="2"/>
    </row>
    <row r="57" spans="1:25" customFormat="1" ht="16.5" thickBot="1">
      <c r="A57" s="2"/>
      <c r="B57" s="211"/>
      <c r="C57" s="213"/>
      <c r="D57" s="35" t="s">
        <v>99</v>
      </c>
      <c r="E57" s="36">
        <f>IFERROR(aurora_data!D49,0)</f>
        <v>0</v>
      </c>
      <c r="F57" s="62">
        <f>IFERROR(aurora_data!E49,0)</f>
        <v>0</v>
      </c>
      <c r="G57" s="62">
        <f>IFERROR(aurora_data!F49,0)</f>
        <v>0</v>
      </c>
      <c r="H57" s="62">
        <f>IFERROR(aurora_data!G49,0)</f>
        <v>0</v>
      </c>
      <c r="I57" s="63">
        <f>IFERROR(aurora_data!H49,0)</f>
        <v>0</v>
      </c>
      <c r="J57" s="36">
        <f>IFERROR(aurora_data!I49,0)</f>
        <v>0</v>
      </c>
      <c r="K57" s="62">
        <f>IFERROR(aurora_data!J49,0)</f>
        <v>0</v>
      </c>
      <c r="L57" s="62">
        <f>IFERROR(aurora_data!K49,0)</f>
        <v>0</v>
      </c>
      <c r="M57" s="62">
        <f>IFERROR(aurora_data!L49,0)</f>
        <v>0</v>
      </c>
      <c r="N57" s="63">
        <f>IFERROR(aurora_data!M49,0)</f>
        <v>0</v>
      </c>
      <c r="O57" s="36">
        <f>IFERROR(aurora_data!N49,0)</f>
        <v>0</v>
      </c>
      <c r="P57" s="62">
        <f>IFERROR(aurora_data!O49,0)</f>
        <v>0</v>
      </c>
      <c r="Q57" s="62">
        <f>IFERROR(aurora_data!P49,0)</f>
        <v>0</v>
      </c>
      <c r="R57" s="63">
        <f>IFERROR(aurora_data!Q49,0)</f>
        <v>0</v>
      </c>
      <c r="S57" s="62">
        <f>IFERROR(aurora_data!R49,0)</f>
        <v>0</v>
      </c>
      <c r="T57" s="62">
        <f>IFERROR(aurora_data!S49,0)</f>
        <v>0</v>
      </c>
      <c r="U57" s="63">
        <f>IFERROR(aurora_data!T49,0)</f>
        <v>0</v>
      </c>
      <c r="V57" s="64" t="s">
        <v>95</v>
      </c>
      <c r="W57" s="36">
        <f>IFERROR(aurora_data!U49,0)</f>
        <v>0</v>
      </c>
      <c r="X57" s="71">
        <f t="shared" si="5"/>
        <v>0</v>
      </c>
      <c r="Y57" s="2"/>
    </row>
    <row r="58" spans="1:25" customFormat="1" ht="16.5" thickBot="1">
      <c r="A58" s="2"/>
      <c r="B58" s="211"/>
      <c r="C58" s="213"/>
      <c r="D58" s="37" t="s">
        <v>64</v>
      </c>
      <c r="E58" s="59">
        <f>IFERROR(aurora_data!D50,0)</f>
        <v>0</v>
      </c>
      <c r="F58" s="65">
        <f>IFERROR(aurora_data!E50,0)</f>
        <v>0</v>
      </c>
      <c r="G58" s="65">
        <f>IFERROR(aurora_data!F50,0)</f>
        <v>1</v>
      </c>
      <c r="H58" s="65">
        <f>IFERROR(aurora_data!G50,0)</f>
        <v>1</v>
      </c>
      <c r="I58" s="66">
        <f>IFERROR(aurora_data!H50,0)</f>
        <v>0</v>
      </c>
      <c r="J58" s="59">
        <f>IFERROR(aurora_data!I50,0)</f>
        <v>0</v>
      </c>
      <c r="K58" s="65">
        <f>IFERROR(aurora_data!J50,0)</f>
        <v>1</v>
      </c>
      <c r="L58" s="65">
        <f>IFERROR(aurora_data!K50,0)</f>
        <v>1</v>
      </c>
      <c r="M58" s="65">
        <f>IFERROR(aurora_data!L50,0)</f>
        <v>0</v>
      </c>
      <c r="N58" s="66">
        <f>IFERROR(aurora_data!M50,0)</f>
        <v>0</v>
      </c>
      <c r="O58" s="59">
        <f>IFERROR(aurora_data!N50,0)</f>
        <v>1</v>
      </c>
      <c r="P58" s="65">
        <f>IFERROR(aurora_data!O50,0)</f>
        <v>0</v>
      </c>
      <c r="Q58" s="65">
        <f>IFERROR(aurora_data!P50,0)</f>
        <v>0</v>
      </c>
      <c r="R58" s="66">
        <f>IFERROR(aurora_data!Q50,0)</f>
        <v>1</v>
      </c>
      <c r="S58" s="65">
        <f>IFERROR(aurora_data!R50,0)</f>
        <v>0</v>
      </c>
      <c r="T58" s="65">
        <f>IFERROR(aurora_data!S50,0)</f>
        <v>2</v>
      </c>
      <c r="U58" s="66">
        <f>IFERROR(aurora_data!T50,0)</f>
        <v>0</v>
      </c>
      <c r="V58" s="67" t="s">
        <v>95</v>
      </c>
      <c r="W58" s="59">
        <f>IFERROR(aurora_data!U50,0)</f>
        <v>2</v>
      </c>
      <c r="X58" s="72">
        <f t="shared" si="5"/>
        <v>0.5</v>
      </c>
      <c r="Y58" s="2"/>
    </row>
    <row r="59" spans="1:25" customFormat="1" ht="16.5" thickBot="1">
      <c r="A59" s="2"/>
      <c r="B59" s="211"/>
      <c r="C59" s="213"/>
      <c r="D59" s="38" t="s">
        <v>100</v>
      </c>
      <c r="E59" s="60">
        <f>IFERROR(aurora_data!D51,0)</f>
        <v>0</v>
      </c>
      <c r="F59" s="68">
        <f>IFERROR(aurora_data!E51,0)</f>
        <v>0</v>
      </c>
      <c r="G59" s="68">
        <f>IFERROR(aurora_data!F51,0)</f>
        <v>0</v>
      </c>
      <c r="H59" s="68">
        <f>IFERROR(aurora_data!G51,0)</f>
        <v>0</v>
      </c>
      <c r="I59" s="69">
        <f>IFERROR(aurora_data!H51,0)</f>
        <v>0</v>
      </c>
      <c r="J59" s="60">
        <f>IFERROR(aurora_data!I51,0)</f>
        <v>0</v>
      </c>
      <c r="K59" s="68">
        <f>IFERROR(aurora_data!J51,0)</f>
        <v>0</v>
      </c>
      <c r="L59" s="68">
        <f>IFERROR(aurora_data!K51,0)</f>
        <v>0</v>
      </c>
      <c r="M59" s="68">
        <f>IFERROR(aurora_data!L51,0)</f>
        <v>0</v>
      </c>
      <c r="N59" s="69">
        <f>IFERROR(aurora_data!M51,0)</f>
        <v>0</v>
      </c>
      <c r="O59" s="60">
        <f>IFERROR(aurora_data!N51,0)</f>
        <v>0</v>
      </c>
      <c r="P59" s="68">
        <f>IFERROR(aurora_data!O51,0)</f>
        <v>0</v>
      </c>
      <c r="Q59" s="68">
        <f>IFERROR(aurora_data!P51,0)</f>
        <v>0</v>
      </c>
      <c r="R59" s="69">
        <f>IFERROR(aurora_data!Q51,0)</f>
        <v>0</v>
      </c>
      <c r="S59" s="68">
        <f>IFERROR(aurora_data!R51,0)</f>
        <v>0</v>
      </c>
      <c r="T59" s="68">
        <f>IFERROR(aurora_data!S51,0)</f>
        <v>0</v>
      </c>
      <c r="U59" s="74">
        <f>IFERROR(aurora_data!T51,0)</f>
        <v>0</v>
      </c>
      <c r="V59" s="75" t="s">
        <v>95</v>
      </c>
      <c r="W59" s="60">
        <f>IFERROR(aurora_data!U51,0)</f>
        <v>0</v>
      </c>
      <c r="X59" s="73">
        <f t="shared" si="5"/>
        <v>0</v>
      </c>
      <c r="Y59" s="2"/>
    </row>
    <row r="60" spans="1:25" customFormat="1">
      <c r="A60" s="2"/>
      <c r="B60" s="210" t="s">
        <v>94</v>
      </c>
      <c r="C60" s="212" t="str">
        <f>aurora_data!A52</f>
        <v>12.00.00-12.11.30</v>
      </c>
      <c r="D60" s="34" t="s">
        <v>71</v>
      </c>
      <c r="E60" s="39">
        <f>IFERROR(aurora_data!D52,0)</f>
        <v>0</v>
      </c>
      <c r="F60" s="40">
        <f>IFERROR(aurora_data!E52,0)</f>
        <v>0</v>
      </c>
      <c r="G60" s="40">
        <f>IFERROR(aurora_data!F52,0)</f>
        <v>0</v>
      </c>
      <c r="H60" s="40">
        <f>IFERROR(aurora_data!G52,0)</f>
        <v>0</v>
      </c>
      <c r="I60" s="41">
        <f>IFERROR(aurora_data!H52,0)</f>
        <v>0</v>
      </c>
      <c r="J60" s="39">
        <f>IFERROR(aurora_data!I52,0)</f>
        <v>0</v>
      </c>
      <c r="K60" s="40">
        <f>IFERROR(aurora_data!J52,0)</f>
        <v>0</v>
      </c>
      <c r="L60" s="40">
        <f>IFERROR(aurora_data!K52,0)</f>
        <v>0</v>
      </c>
      <c r="M60" s="40">
        <f>IFERROR(aurora_data!L52,0)</f>
        <v>0</v>
      </c>
      <c r="N60" s="41">
        <f>IFERROR(aurora_data!M52,0)</f>
        <v>0</v>
      </c>
      <c r="O60" s="39">
        <f>IFERROR(aurora_data!N52,0)</f>
        <v>0</v>
      </c>
      <c r="P60" s="40">
        <f>IFERROR(aurora_data!O52,0)</f>
        <v>0</v>
      </c>
      <c r="Q60" s="40">
        <f>IFERROR(aurora_data!P52,0)</f>
        <v>0</v>
      </c>
      <c r="R60" s="41">
        <f>IFERROR(aurora_data!Q52,0)</f>
        <v>0</v>
      </c>
      <c r="S60" s="40">
        <f>IFERROR(aurora_data!R52,0)</f>
        <v>0</v>
      </c>
      <c r="T60" s="40">
        <f>IFERROR(aurora_data!S52,0)</f>
        <v>0</v>
      </c>
      <c r="U60" s="76">
        <f>IFERROR(aurora_data!T52,0)</f>
        <v>0</v>
      </c>
      <c r="V60" s="61" t="s">
        <v>95</v>
      </c>
      <c r="W60" s="39">
        <f>IFERROR(aurora_data!U52,0)</f>
        <v>4</v>
      </c>
      <c r="X60" s="70">
        <f>IFERROR(W60/$W$12,0)</f>
        <v>1</v>
      </c>
      <c r="Y60" s="2"/>
    </row>
    <row r="61" spans="1:25" customFormat="1">
      <c r="A61" s="2"/>
      <c r="B61" s="211"/>
      <c r="C61" s="213"/>
      <c r="D61" s="35" t="s">
        <v>96</v>
      </c>
      <c r="E61" s="110">
        <f>IFERROR(aurora_data!D53,0)</f>
        <v>0</v>
      </c>
      <c r="F61" s="62">
        <f>IFERROR(aurora_data!E53,0)</f>
        <v>0</v>
      </c>
      <c r="G61" s="62">
        <f>IFERROR(aurora_data!F53,0)</f>
        <v>0</v>
      </c>
      <c r="H61" s="62">
        <f>IFERROR(aurora_data!G53,0)</f>
        <v>0</v>
      </c>
      <c r="I61" s="63">
        <f>IFERROR(aurora_data!H53,0)</f>
        <v>0</v>
      </c>
      <c r="J61" s="36">
        <f>IFERROR(aurora_data!I53,0)</f>
        <v>0</v>
      </c>
      <c r="K61" s="62">
        <f>IFERROR(aurora_data!J53,0)</f>
        <v>0</v>
      </c>
      <c r="L61" s="62">
        <f>IFERROR(aurora_data!K53,0)</f>
        <v>0</v>
      </c>
      <c r="M61" s="62">
        <f>IFERROR(aurora_data!L53,0)</f>
        <v>0</v>
      </c>
      <c r="N61" s="63">
        <f>IFERROR(aurora_data!M53,0)</f>
        <v>0</v>
      </c>
      <c r="O61" s="36">
        <f>IFERROR(aurora_data!N53,0)</f>
        <v>0</v>
      </c>
      <c r="P61" s="62">
        <f>IFERROR(aurora_data!O53,0)</f>
        <v>0</v>
      </c>
      <c r="Q61" s="62">
        <f>IFERROR(aurora_data!P53,0)</f>
        <v>0</v>
      </c>
      <c r="R61" s="63">
        <f>IFERROR(aurora_data!Q53,0)</f>
        <v>0</v>
      </c>
      <c r="S61" s="62">
        <f>IFERROR(aurora_data!R53,0)</f>
        <v>0</v>
      </c>
      <c r="T61" s="62">
        <f>IFERROR(aurora_data!S53,0)</f>
        <v>0</v>
      </c>
      <c r="U61" s="63">
        <f>IFERROR(aurora_data!T53,0)</f>
        <v>0</v>
      </c>
      <c r="V61" s="64" t="s">
        <v>95</v>
      </c>
      <c r="W61" s="36">
        <f>IFERROR(aurora_data!U53,0)</f>
        <v>0</v>
      </c>
      <c r="X61" s="71">
        <f t="shared" ref="X61:X67" si="6">IFERROR(W61/$W$12,0)</f>
        <v>0</v>
      </c>
      <c r="Y61" s="2"/>
    </row>
    <row r="62" spans="1:25" customFormat="1">
      <c r="A62" s="2"/>
      <c r="B62" s="211"/>
      <c r="C62" s="213"/>
      <c r="D62" s="35" t="s">
        <v>60</v>
      </c>
      <c r="E62" s="110">
        <f>IFERROR(aurora_data!D54,0)</f>
        <v>0</v>
      </c>
      <c r="F62" s="62">
        <f>IFERROR(aurora_data!E54,0)</f>
        <v>0</v>
      </c>
      <c r="G62" s="62">
        <f>IFERROR(aurora_data!F54,0)</f>
        <v>0</v>
      </c>
      <c r="H62" s="62">
        <f>IFERROR(aurora_data!G54,0)</f>
        <v>0</v>
      </c>
      <c r="I62" s="63">
        <f>IFERROR(aurora_data!H54,0)</f>
        <v>0</v>
      </c>
      <c r="J62" s="36">
        <f>IFERROR(aurora_data!I54,0)</f>
        <v>0</v>
      </c>
      <c r="K62" s="62">
        <f>IFERROR(aurora_data!J54,0)</f>
        <v>0</v>
      </c>
      <c r="L62" s="62">
        <f>IFERROR(aurora_data!K54,0)</f>
        <v>0</v>
      </c>
      <c r="M62" s="62">
        <f>IFERROR(aurora_data!L54,0)</f>
        <v>0</v>
      </c>
      <c r="N62" s="63">
        <f>IFERROR(aurora_data!M54,0)</f>
        <v>0</v>
      </c>
      <c r="O62" s="36">
        <f>IFERROR(aurora_data!N54,0)</f>
        <v>0</v>
      </c>
      <c r="P62" s="62">
        <f>IFERROR(aurora_data!O54,0)</f>
        <v>0</v>
      </c>
      <c r="Q62" s="62">
        <f>IFERROR(aurora_data!P54,0)</f>
        <v>0</v>
      </c>
      <c r="R62" s="63">
        <f>IFERROR(aurora_data!Q54,0)</f>
        <v>0</v>
      </c>
      <c r="S62" s="62">
        <f>IFERROR(aurora_data!R54,0)</f>
        <v>0</v>
      </c>
      <c r="T62" s="62">
        <f>IFERROR(aurora_data!S54,0)</f>
        <v>0</v>
      </c>
      <c r="U62" s="63">
        <f>IFERROR(aurora_data!T54,0)</f>
        <v>0</v>
      </c>
      <c r="V62" s="64" t="s">
        <v>95</v>
      </c>
      <c r="W62" s="36">
        <f>IFERROR(aurora_data!U54,0)</f>
        <v>0</v>
      </c>
      <c r="X62" s="71">
        <f t="shared" si="6"/>
        <v>0</v>
      </c>
      <c r="Y62" s="2"/>
    </row>
    <row r="63" spans="1:25" customFormat="1">
      <c r="A63" s="2"/>
      <c r="B63" s="211"/>
      <c r="C63" s="213"/>
      <c r="D63" s="35" t="s">
        <v>97</v>
      </c>
      <c r="E63" s="36">
        <f>IFERROR(aurora_data!D55,0)</f>
        <v>0</v>
      </c>
      <c r="F63" s="62">
        <f>IFERROR(aurora_data!E55,0)</f>
        <v>0</v>
      </c>
      <c r="G63" s="62">
        <f>IFERROR(aurora_data!F55,0)</f>
        <v>0</v>
      </c>
      <c r="H63" s="62">
        <f>IFERROR(aurora_data!G55,0)</f>
        <v>0</v>
      </c>
      <c r="I63" s="63">
        <f>IFERROR(aurora_data!H55,0)</f>
        <v>0</v>
      </c>
      <c r="J63" s="36">
        <f>IFERROR(aurora_data!I55,0)</f>
        <v>0</v>
      </c>
      <c r="K63" s="62">
        <f>IFERROR(aurora_data!J55,0)</f>
        <v>0</v>
      </c>
      <c r="L63" s="62">
        <f>IFERROR(aurora_data!K55,0)</f>
        <v>0</v>
      </c>
      <c r="M63" s="62">
        <f>IFERROR(aurora_data!L55,0)</f>
        <v>0</v>
      </c>
      <c r="N63" s="63">
        <f>IFERROR(aurora_data!M55,0)</f>
        <v>0</v>
      </c>
      <c r="O63" s="36">
        <f>IFERROR(aurora_data!N55,0)</f>
        <v>0</v>
      </c>
      <c r="P63" s="62">
        <f>IFERROR(aurora_data!O55,0)</f>
        <v>0</v>
      </c>
      <c r="Q63" s="62">
        <f>IFERROR(aurora_data!P55,0)</f>
        <v>0</v>
      </c>
      <c r="R63" s="63">
        <f>IFERROR(aurora_data!Q55,0)</f>
        <v>0</v>
      </c>
      <c r="S63" s="62">
        <f>IFERROR(aurora_data!R55,0)</f>
        <v>0</v>
      </c>
      <c r="T63" s="62">
        <f>IFERROR(aurora_data!S55,0)</f>
        <v>0</v>
      </c>
      <c r="U63" s="63">
        <f>IFERROR(aurora_data!T55,0)</f>
        <v>0</v>
      </c>
      <c r="V63" s="64" t="s">
        <v>95</v>
      </c>
      <c r="W63" s="36">
        <f>IFERROR(aurora_data!U55,0)</f>
        <v>0</v>
      </c>
      <c r="X63" s="71">
        <f t="shared" si="6"/>
        <v>0</v>
      </c>
      <c r="Y63" s="2"/>
    </row>
    <row r="64" spans="1:25" customFormat="1">
      <c r="A64" s="2"/>
      <c r="B64" s="211"/>
      <c r="C64" s="213"/>
      <c r="D64" s="35" t="s">
        <v>98</v>
      </c>
      <c r="E64" s="36">
        <f>IFERROR(aurora_data!D56,0)</f>
        <v>0</v>
      </c>
      <c r="F64" s="62">
        <f>IFERROR(aurora_data!E56,0)</f>
        <v>0</v>
      </c>
      <c r="G64" s="62">
        <f>IFERROR(aurora_data!F56,0)</f>
        <v>0</v>
      </c>
      <c r="H64" s="62">
        <f>IFERROR(aurora_data!G56,0)</f>
        <v>0</v>
      </c>
      <c r="I64" s="63">
        <f>IFERROR(aurora_data!H56,0)</f>
        <v>0</v>
      </c>
      <c r="J64" s="36">
        <f>IFERROR(aurora_data!I56,0)</f>
        <v>0</v>
      </c>
      <c r="K64" s="62">
        <f>IFERROR(aurora_data!J56,0)</f>
        <v>0</v>
      </c>
      <c r="L64" s="62">
        <f>IFERROR(aurora_data!K56,0)</f>
        <v>0</v>
      </c>
      <c r="M64" s="62">
        <f>IFERROR(aurora_data!L56,0)</f>
        <v>0</v>
      </c>
      <c r="N64" s="63">
        <f>IFERROR(aurora_data!M56,0)</f>
        <v>0</v>
      </c>
      <c r="O64" s="36">
        <f>IFERROR(aurora_data!N56,0)</f>
        <v>0</v>
      </c>
      <c r="P64" s="62">
        <f>IFERROR(aurora_data!O56,0)</f>
        <v>0</v>
      </c>
      <c r="Q64" s="62">
        <f>IFERROR(aurora_data!P56,0)</f>
        <v>0</v>
      </c>
      <c r="R64" s="63">
        <f>IFERROR(aurora_data!Q56,0)</f>
        <v>0</v>
      </c>
      <c r="S64" s="62">
        <f>IFERROR(aurora_data!R56,0)</f>
        <v>0</v>
      </c>
      <c r="T64" s="62">
        <f>IFERROR(aurora_data!S56,0)</f>
        <v>0</v>
      </c>
      <c r="U64" s="63">
        <f>IFERROR(aurora_data!T56,0)</f>
        <v>0</v>
      </c>
      <c r="V64" s="64" t="s">
        <v>95</v>
      </c>
      <c r="W64" s="36">
        <f>IFERROR(aurora_data!U56,0)</f>
        <v>0</v>
      </c>
      <c r="X64" s="71">
        <f t="shared" si="6"/>
        <v>0</v>
      </c>
      <c r="Y64" s="2"/>
    </row>
    <row r="65" spans="1:25" customFormat="1" ht="16.5" thickBot="1">
      <c r="A65" s="2"/>
      <c r="B65" s="211"/>
      <c r="C65" s="213"/>
      <c r="D65" s="35" t="s">
        <v>99</v>
      </c>
      <c r="E65" s="36">
        <f>IFERROR(aurora_data!D57,0)</f>
        <v>0</v>
      </c>
      <c r="F65" s="62">
        <f>IFERROR(aurora_data!E57,0)</f>
        <v>0</v>
      </c>
      <c r="G65" s="62">
        <f>IFERROR(aurora_data!F57,0)</f>
        <v>0</v>
      </c>
      <c r="H65" s="62">
        <f>IFERROR(aurora_data!G57,0)</f>
        <v>0</v>
      </c>
      <c r="I65" s="63">
        <f>IFERROR(aurora_data!H57,0)</f>
        <v>0</v>
      </c>
      <c r="J65" s="36">
        <f>IFERROR(aurora_data!I57,0)</f>
        <v>0</v>
      </c>
      <c r="K65" s="62">
        <f>IFERROR(aurora_data!J57,0)</f>
        <v>0</v>
      </c>
      <c r="L65" s="62">
        <f>IFERROR(aurora_data!K57,0)</f>
        <v>0</v>
      </c>
      <c r="M65" s="62">
        <f>IFERROR(aurora_data!L57,0)</f>
        <v>0</v>
      </c>
      <c r="N65" s="63">
        <f>IFERROR(aurora_data!M57,0)</f>
        <v>0</v>
      </c>
      <c r="O65" s="36">
        <f>IFERROR(aurora_data!N57,0)</f>
        <v>0</v>
      </c>
      <c r="P65" s="62">
        <f>IFERROR(aurora_data!O57,0)</f>
        <v>0</v>
      </c>
      <c r="Q65" s="62">
        <f>IFERROR(aurora_data!P57,0)</f>
        <v>0</v>
      </c>
      <c r="R65" s="63">
        <f>IFERROR(aurora_data!Q57,0)</f>
        <v>0</v>
      </c>
      <c r="S65" s="62">
        <f>IFERROR(aurora_data!R57,0)</f>
        <v>0</v>
      </c>
      <c r="T65" s="62">
        <f>IFERROR(aurora_data!S57,0)</f>
        <v>0</v>
      </c>
      <c r="U65" s="63">
        <f>IFERROR(aurora_data!T57,0)</f>
        <v>0</v>
      </c>
      <c r="V65" s="64" t="s">
        <v>95</v>
      </c>
      <c r="W65" s="36">
        <f>IFERROR(aurora_data!U57,0)</f>
        <v>0</v>
      </c>
      <c r="X65" s="71">
        <f t="shared" si="6"/>
        <v>0</v>
      </c>
      <c r="Y65" s="2"/>
    </row>
    <row r="66" spans="1:25" customFormat="1" ht="16.5" thickBot="1">
      <c r="A66" s="2"/>
      <c r="B66" s="211"/>
      <c r="C66" s="213"/>
      <c r="D66" s="37" t="s">
        <v>64</v>
      </c>
      <c r="E66" s="59">
        <f>IFERROR(aurora_data!D58,0)</f>
        <v>0</v>
      </c>
      <c r="F66" s="65">
        <f>IFERROR(aurora_data!E58,0)</f>
        <v>0</v>
      </c>
      <c r="G66" s="65">
        <f>IFERROR(aurora_data!F58,0)</f>
        <v>0</v>
      </c>
      <c r="H66" s="65">
        <f>IFERROR(aurora_data!G58,0)</f>
        <v>0</v>
      </c>
      <c r="I66" s="66">
        <f>IFERROR(aurora_data!H58,0)</f>
        <v>0</v>
      </c>
      <c r="J66" s="59">
        <f>IFERROR(aurora_data!I58,0)</f>
        <v>0</v>
      </c>
      <c r="K66" s="65">
        <f>IFERROR(aurora_data!J58,0)</f>
        <v>0</v>
      </c>
      <c r="L66" s="65">
        <f>IFERROR(aurora_data!K58,0)</f>
        <v>0</v>
      </c>
      <c r="M66" s="65">
        <f>IFERROR(aurora_data!L58,0)</f>
        <v>0</v>
      </c>
      <c r="N66" s="66">
        <f>IFERROR(aurora_data!M58,0)</f>
        <v>0</v>
      </c>
      <c r="O66" s="59">
        <f>IFERROR(aurora_data!N58,0)</f>
        <v>0</v>
      </c>
      <c r="P66" s="65">
        <f>IFERROR(aurora_data!O58,0)</f>
        <v>0</v>
      </c>
      <c r="Q66" s="65">
        <f>IFERROR(aurora_data!P58,0)</f>
        <v>0</v>
      </c>
      <c r="R66" s="66">
        <f>IFERROR(aurora_data!Q58,0)</f>
        <v>0</v>
      </c>
      <c r="S66" s="65">
        <f>IFERROR(aurora_data!R58,0)</f>
        <v>0</v>
      </c>
      <c r="T66" s="65">
        <f>IFERROR(aurora_data!S58,0)</f>
        <v>0</v>
      </c>
      <c r="U66" s="66">
        <f>IFERROR(aurora_data!T58,0)</f>
        <v>0</v>
      </c>
      <c r="V66" s="67" t="s">
        <v>95</v>
      </c>
      <c r="W66" s="59">
        <f>IFERROR(aurora_data!U58,0)</f>
        <v>0</v>
      </c>
      <c r="X66" s="72">
        <f t="shared" si="6"/>
        <v>0</v>
      </c>
      <c r="Y66" s="2"/>
    </row>
    <row r="67" spans="1:25" customFormat="1" ht="16.5" thickBot="1">
      <c r="A67" s="2"/>
      <c r="B67" s="211"/>
      <c r="C67" s="213"/>
      <c r="D67" s="38" t="s">
        <v>100</v>
      </c>
      <c r="E67" s="60">
        <f>IFERROR(aurora_data!D59,0)</f>
        <v>0</v>
      </c>
      <c r="F67" s="68">
        <f>IFERROR(aurora_data!E59,0)</f>
        <v>0</v>
      </c>
      <c r="G67" s="68">
        <f>IFERROR(aurora_data!F59,0)</f>
        <v>0</v>
      </c>
      <c r="H67" s="68">
        <f>IFERROR(aurora_data!G59,0)</f>
        <v>0</v>
      </c>
      <c r="I67" s="69">
        <f>IFERROR(aurora_data!H59,0)</f>
        <v>0</v>
      </c>
      <c r="J67" s="60">
        <f>IFERROR(aurora_data!I59,0)</f>
        <v>0</v>
      </c>
      <c r="K67" s="68">
        <f>IFERROR(aurora_data!J59,0)</f>
        <v>0</v>
      </c>
      <c r="L67" s="68">
        <f>IFERROR(aurora_data!K59,0)</f>
        <v>0</v>
      </c>
      <c r="M67" s="68">
        <f>IFERROR(aurora_data!L59,0)</f>
        <v>0</v>
      </c>
      <c r="N67" s="69">
        <f>IFERROR(aurora_data!M59,0)</f>
        <v>0</v>
      </c>
      <c r="O67" s="60">
        <f>IFERROR(aurora_data!N59,0)</f>
        <v>0</v>
      </c>
      <c r="P67" s="68">
        <f>IFERROR(aurora_data!O59,0)</f>
        <v>0</v>
      </c>
      <c r="Q67" s="68">
        <f>IFERROR(aurora_data!P59,0)</f>
        <v>0</v>
      </c>
      <c r="R67" s="69">
        <f>IFERROR(aurora_data!Q59,0)</f>
        <v>0</v>
      </c>
      <c r="S67" s="68">
        <f>IFERROR(aurora_data!R59,0)</f>
        <v>0</v>
      </c>
      <c r="T67" s="68">
        <f>IFERROR(aurora_data!S59,0)</f>
        <v>0</v>
      </c>
      <c r="U67" s="74">
        <f>IFERROR(aurora_data!T59,0)</f>
        <v>0</v>
      </c>
      <c r="V67" s="75" t="s">
        <v>95</v>
      </c>
      <c r="W67" s="60">
        <f>IFERROR(aurora_data!U59,0)</f>
        <v>0</v>
      </c>
      <c r="X67" s="73">
        <f t="shared" si="6"/>
        <v>0</v>
      </c>
      <c r="Y67" s="2"/>
    </row>
    <row r="68" spans="1:25" customFormat="1">
      <c r="A68" s="2"/>
      <c r="B68" s="210" t="s">
        <v>94</v>
      </c>
      <c r="C68" s="212" t="str">
        <f>aurora_data!A60</f>
        <v>13.00.00-13.11.30</v>
      </c>
      <c r="D68" s="34" t="s">
        <v>71</v>
      </c>
      <c r="E68" s="39">
        <f>IFERROR(aurora_data!D60,0)</f>
        <v>0</v>
      </c>
      <c r="F68" s="40">
        <f>IFERROR(aurora_data!E60,0)</f>
        <v>0</v>
      </c>
      <c r="G68" s="40">
        <f>IFERROR(aurora_data!F60,0)</f>
        <v>0</v>
      </c>
      <c r="H68" s="40">
        <f>IFERROR(aurora_data!G60,0)</f>
        <v>0</v>
      </c>
      <c r="I68" s="41">
        <f>IFERROR(aurora_data!H60,0)</f>
        <v>0</v>
      </c>
      <c r="J68" s="39">
        <f>IFERROR(aurora_data!I60,0)</f>
        <v>0</v>
      </c>
      <c r="K68" s="40">
        <f>IFERROR(aurora_data!J60,0)</f>
        <v>0</v>
      </c>
      <c r="L68" s="40">
        <f>IFERROR(aurora_data!K60,0)</f>
        <v>0</v>
      </c>
      <c r="M68" s="40">
        <f>IFERROR(aurora_data!L60,0)</f>
        <v>0</v>
      </c>
      <c r="N68" s="41">
        <f>IFERROR(aurora_data!M60,0)</f>
        <v>0</v>
      </c>
      <c r="O68" s="39">
        <f>IFERROR(aurora_data!N60,0)</f>
        <v>0</v>
      </c>
      <c r="P68" s="40">
        <f>IFERROR(aurora_data!O60,0)</f>
        <v>0</v>
      </c>
      <c r="Q68" s="40">
        <f>IFERROR(aurora_data!P60,0)</f>
        <v>0</v>
      </c>
      <c r="R68" s="41">
        <f>IFERROR(aurora_data!Q60,0)</f>
        <v>0</v>
      </c>
      <c r="S68" s="40">
        <f>IFERROR(aurora_data!R60,0)</f>
        <v>0</v>
      </c>
      <c r="T68" s="40">
        <f>IFERROR(aurora_data!S60,0)</f>
        <v>0</v>
      </c>
      <c r="U68" s="76">
        <f>IFERROR(aurora_data!T60,0)</f>
        <v>0</v>
      </c>
      <c r="V68" s="61" t="s">
        <v>95</v>
      </c>
      <c r="W68" s="39">
        <f>IFERROR(aurora_data!U60,0)</f>
        <v>4</v>
      </c>
      <c r="X68" s="70">
        <f>IFERROR(W68/$W$12,0)</f>
        <v>1</v>
      </c>
      <c r="Y68" s="2"/>
    </row>
    <row r="69" spans="1:25" customFormat="1">
      <c r="A69" s="2"/>
      <c r="B69" s="211"/>
      <c r="C69" s="213"/>
      <c r="D69" s="35" t="s">
        <v>96</v>
      </c>
      <c r="E69" s="110">
        <f>IFERROR(aurora_data!D61,0)</f>
        <v>0</v>
      </c>
      <c r="F69" s="62">
        <f>IFERROR(aurora_data!E61,0)</f>
        <v>0</v>
      </c>
      <c r="G69" s="62">
        <f>IFERROR(aurora_data!F61,0)</f>
        <v>0</v>
      </c>
      <c r="H69" s="62">
        <f>IFERROR(aurora_data!G61,0)</f>
        <v>0</v>
      </c>
      <c r="I69" s="63">
        <f>IFERROR(aurora_data!H61,0)</f>
        <v>0</v>
      </c>
      <c r="J69" s="36">
        <f>IFERROR(aurora_data!I61,0)</f>
        <v>0</v>
      </c>
      <c r="K69" s="62">
        <f>IFERROR(aurora_data!J61,0)</f>
        <v>0</v>
      </c>
      <c r="L69" s="62">
        <f>IFERROR(aurora_data!K61,0)</f>
        <v>0</v>
      </c>
      <c r="M69" s="62">
        <f>IFERROR(aurora_data!L61,0)</f>
        <v>0</v>
      </c>
      <c r="N69" s="63">
        <f>IFERROR(aurora_data!M61,0)</f>
        <v>0</v>
      </c>
      <c r="O69" s="36">
        <f>IFERROR(aurora_data!N61,0)</f>
        <v>0</v>
      </c>
      <c r="P69" s="62">
        <f>IFERROR(aurora_data!O61,0)</f>
        <v>0</v>
      </c>
      <c r="Q69" s="62">
        <f>IFERROR(aurora_data!P61,0)</f>
        <v>0</v>
      </c>
      <c r="R69" s="63">
        <f>IFERROR(aurora_data!Q61,0)</f>
        <v>0</v>
      </c>
      <c r="S69" s="62">
        <f>IFERROR(aurora_data!R61,0)</f>
        <v>0</v>
      </c>
      <c r="T69" s="62">
        <f>IFERROR(aurora_data!S61,0)</f>
        <v>0</v>
      </c>
      <c r="U69" s="63">
        <f>IFERROR(aurora_data!T61,0)</f>
        <v>0</v>
      </c>
      <c r="V69" s="64" t="s">
        <v>95</v>
      </c>
      <c r="W69" s="36">
        <f>IFERROR(aurora_data!U61,0)</f>
        <v>0</v>
      </c>
      <c r="X69" s="71">
        <f t="shared" ref="X69:X75" si="7">IFERROR(W69/$W$12,0)</f>
        <v>0</v>
      </c>
      <c r="Y69" s="2"/>
    </row>
    <row r="70" spans="1:25" customFormat="1">
      <c r="A70" s="2"/>
      <c r="B70" s="211"/>
      <c r="C70" s="213"/>
      <c r="D70" s="35" t="s">
        <v>60</v>
      </c>
      <c r="E70" s="110">
        <f>IFERROR(aurora_data!D62,0)</f>
        <v>0</v>
      </c>
      <c r="F70" s="62">
        <f>IFERROR(aurora_data!E62,0)</f>
        <v>0</v>
      </c>
      <c r="G70" s="62">
        <f>IFERROR(aurora_data!F62,0)</f>
        <v>0</v>
      </c>
      <c r="H70" s="62">
        <f>IFERROR(aurora_data!G62,0)</f>
        <v>0</v>
      </c>
      <c r="I70" s="63">
        <f>IFERROR(aurora_data!H62,0)</f>
        <v>0</v>
      </c>
      <c r="J70" s="36">
        <f>IFERROR(aurora_data!I62,0)</f>
        <v>0</v>
      </c>
      <c r="K70" s="62">
        <f>IFERROR(aurora_data!J62,0)</f>
        <v>0</v>
      </c>
      <c r="L70" s="62">
        <f>IFERROR(aurora_data!K62,0)</f>
        <v>0</v>
      </c>
      <c r="M70" s="62">
        <f>IFERROR(aurora_data!L62,0)</f>
        <v>0</v>
      </c>
      <c r="N70" s="63">
        <f>IFERROR(aurora_data!M62,0)</f>
        <v>0</v>
      </c>
      <c r="O70" s="36">
        <f>IFERROR(aurora_data!N62,0)</f>
        <v>0</v>
      </c>
      <c r="P70" s="62">
        <f>IFERROR(aurora_data!O62,0)</f>
        <v>0</v>
      </c>
      <c r="Q70" s="62">
        <f>IFERROR(aurora_data!P62,0)</f>
        <v>0</v>
      </c>
      <c r="R70" s="63">
        <f>IFERROR(aurora_data!Q62,0)</f>
        <v>0</v>
      </c>
      <c r="S70" s="62">
        <f>IFERROR(aurora_data!R62,0)</f>
        <v>0</v>
      </c>
      <c r="T70" s="62">
        <f>IFERROR(aurora_data!S62,0)</f>
        <v>0</v>
      </c>
      <c r="U70" s="63">
        <f>IFERROR(aurora_data!T62,0)</f>
        <v>0</v>
      </c>
      <c r="V70" s="64" t="s">
        <v>95</v>
      </c>
      <c r="W70" s="36">
        <f>IFERROR(aurora_data!U62,0)</f>
        <v>0</v>
      </c>
      <c r="X70" s="71">
        <f t="shared" si="7"/>
        <v>0</v>
      </c>
      <c r="Y70" s="2"/>
    </row>
    <row r="71" spans="1:25" customFormat="1">
      <c r="A71" s="2"/>
      <c r="B71" s="211"/>
      <c r="C71" s="213"/>
      <c r="D71" s="35" t="s">
        <v>97</v>
      </c>
      <c r="E71" s="36">
        <f>IFERROR(aurora_data!D63,0)</f>
        <v>0</v>
      </c>
      <c r="F71" s="62">
        <f>IFERROR(aurora_data!E63,0)</f>
        <v>0</v>
      </c>
      <c r="G71" s="62">
        <f>IFERROR(aurora_data!F63,0)</f>
        <v>0</v>
      </c>
      <c r="H71" s="62">
        <f>IFERROR(aurora_data!G63,0)</f>
        <v>0</v>
      </c>
      <c r="I71" s="63">
        <f>IFERROR(aurora_data!H63,0)</f>
        <v>0</v>
      </c>
      <c r="J71" s="36">
        <f>IFERROR(aurora_data!I63,0)</f>
        <v>0</v>
      </c>
      <c r="K71" s="62">
        <f>IFERROR(aurora_data!J63,0)</f>
        <v>0</v>
      </c>
      <c r="L71" s="62">
        <f>IFERROR(aurora_data!K63,0)</f>
        <v>0</v>
      </c>
      <c r="M71" s="62">
        <f>IFERROR(aurora_data!L63,0)</f>
        <v>0</v>
      </c>
      <c r="N71" s="63">
        <f>IFERROR(aurora_data!M63,0)</f>
        <v>0</v>
      </c>
      <c r="O71" s="36">
        <f>IFERROR(aurora_data!N63,0)</f>
        <v>0</v>
      </c>
      <c r="P71" s="62">
        <f>IFERROR(aurora_data!O63,0)</f>
        <v>0</v>
      </c>
      <c r="Q71" s="62">
        <f>IFERROR(aurora_data!P63,0)</f>
        <v>0</v>
      </c>
      <c r="R71" s="63">
        <f>IFERROR(aurora_data!Q63,0)</f>
        <v>0</v>
      </c>
      <c r="S71" s="62">
        <f>IFERROR(aurora_data!R63,0)</f>
        <v>0</v>
      </c>
      <c r="T71" s="62">
        <f>IFERROR(aurora_data!S63,0)</f>
        <v>0</v>
      </c>
      <c r="U71" s="63">
        <f>IFERROR(aurora_data!T63,0)</f>
        <v>0</v>
      </c>
      <c r="V71" s="64" t="s">
        <v>95</v>
      </c>
      <c r="W71" s="36">
        <f>IFERROR(aurora_data!U63,0)</f>
        <v>0</v>
      </c>
      <c r="X71" s="71">
        <f t="shared" si="7"/>
        <v>0</v>
      </c>
      <c r="Y71" s="2"/>
    </row>
    <row r="72" spans="1:25" customFormat="1">
      <c r="A72" s="2"/>
      <c r="B72" s="211"/>
      <c r="C72" s="213"/>
      <c r="D72" s="35" t="s">
        <v>98</v>
      </c>
      <c r="E72" s="36">
        <f>IFERROR(aurora_data!D64,0)</f>
        <v>0</v>
      </c>
      <c r="F72" s="62">
        <f>IFERROR(aurora_data!E64,0)</f>
        <v>0</v>
      </c>
      <c r="G72" s="62">
        <f>IFERROR(aurora_data!F64,0)</f>
        <v>1</v>
      </c>
      <c r="H72" s="62">
        <f>IFERROR(aurora_data!G64,0)</f>
        <v>0</v>
      </c>
      <c r="I72" s="63">
        <f>IFERROR(aurora_data!H64,0)</f>
        <v>0</v>
      </c>
      <c r="J72" s="36">
        <f>IFERROR(aurora_data!I64,0)</f>
        <v>0</v>
      </c>
      <c r="K72" s="62">
        <f>IFERROR(aurora_data!J64,0)</f>
        <v>0</v>
      </c>
      <c r="L72" s="62">
        <f>IFERROR(aurora_data!K64,0)</f>
        <v>1</v>
      </c>
      <c r="M72" s="62">
        <f>IFERROR(aurora_data!L64,0)</f>
        <v>0</v>
      </c>
      <c r="N72" s="63">
        <f>IFERROR(aurora_data!M64,0)</f>
        <v>0</v>
      </c>
      <c r="O72" s="36">
        <f>IFERROR(aurora_data!N64,0)</f>
        <v>0</v>
      </c>
      <c r="P72" s="62">
        <f>IFERROR(aurora_data!O64,0)</f>
        <v>1</v>
      </c>
      <c r="Q72" s="62">
        <f>IFERROR(aurora_data!P64,0)</f>
        <v>0</v>
      </c>
      <c r="R72" s="63">
        <f>IFERROR(aurora_data!Q64,0)</f>
        <v>0</v>
      </c>
      <c r="S72" s="62">
        <f>IFERROR(aurora_data!R64,0)</f>
        <v>0</v>
      </c>
      <c r="T72" s="62">
        <f>IFERROR(aurora_data!S64,0)</f>
        <v>1</v>
      </c>
      <c r="U72" s="63">
        <f>IFERROR(aurora_data!T64,0)</f>
        <v>0</v>
      </c>
      <c r="V72" s="64" t="s">
        <v>95</v>
      </c>
      <c r="W72" s="36">
        <f>IFERROR(aurora_data!U64,0)</f>
        <v>1</v>
      </c>
      <c r="X72" s="71">
        <f t="shared" si="7"/>
        <v>0.25</v>
      </c>
      <c r="Y72" s="2"/>
    </row>
    <row r="73" spans="1:25" customFormat="1" ht="16.5" thickBot="1">
      <c r="A73" s="2"/>
      <c r="B73" s="211"/>
      <c r="C73" s="213"/>
      <c r="D73" s="35" t="s">
        <v>99</v>
      </c>
      <c r="E73" s="36">
        <f>IFERROR(aurora_data!D65,0)</f>
        <v>0</v>
      </c>
      <c r="F73" s="62">
        <f>IFERROR(aurora_data!E65,0)</f>
        <v>0</v>
      </c>
      <c r="G73" s="62">
        <f>IFERROR(aurora_data!F65,0)</f>
        <v>0</v>
      </c>
      <c r="H73" s="62">
        <f>IFERROR(aurora_data!G65,0)</f>
        <v>0</v>
      </c>
      <c r="I73" s="63">
        <f>IFERROR(aurora_data!H65,0)</f>
        <v>0</v>
      </c>
      <c r="J73" s="36">
        <f>IFERROR(aurora_data!I65,0)</f>
        <v>0</v>
      </c>
      <c r="K73" s="62">
        <f>IFERROR(aurora_data!J65,0)</f>
        <v>0</v>
      </c>
      <c r="L73" s="62">
        <f>IFERROR(aurora_data!K65,0)</f>
        <v>0</v>
      </c>
      <c r="M73" s="62">
        <f>IFERROR(aurora_data!L65,0)</f>
        <v>0</v>
      </c>
      <c r="N73" s="63">
        <f>IFERROR(aurora_data!M65,0)</f>
        <v>0</v>
      </c>
      <c r="O73" s="36">
        <f>IFERROR(aurora_data!N65,0)</f>
        <v>0</v>
      </c>
      <c r="P73" s="62">
        <f>IFERROR(aurora_data!O65,0)</f>
        <v>0</v>
      </c>
      <c r="Q73" s="62">
        <f>IFERROR(aurora_data!P65,0)</f>
        <v>0</v>
      </c>
      <c r="R73" s="63">
        <f>IFERROR(aurora_data!Q65,0)</f>
        <v>0</v>
      </c>
      <c r="S73" s="62">
        <f>IFERROR(aurora_data!R65,0)</f>
        <v>0</v>
      </c>
      <c r="T73" s="62">
        <f>IFERROR(aurora_data!S65,0)</f>
        <v>0</v>
      </c>
      <c r="U73" s="63">
        <f>IFERROR(aurora_data!T65,0)</f>
        <v>0</v>
      </c>
      <c r="V73" s="64" t="s">
        <v>95</v>
      </c>
      <c r="W73" s="36">
        <f>IFERROR(aurora_data!U65,0)</f>
        <v>0</v>
      </c>
      <c r="X73" s="71">
        <f t="shared" si="7"/>
        <v>0</v>
      </c>
      <c r="Y73" s="2"/>
    </row>
    <row r="74" spans="1:25" customFormat="1" ht="16.5" thickBot="1">
      <c r="A74" s="2"/>
      <c r="B74" s="211"/>
      <c r="C74" s="213"/>
      <c r="D74" s="37" t="s">
        <v>64</v>
      </c>
      <c r="E74" s="59">
        <f>IFERROR(aurora_data!D66,0)</f>
        <v>0</v>
      </c>
      <c r="F74" s="65">
        <f>IFERROR(aurora_data!E66,0)</f>
        <v>0</v>
      </c>
      <c r="G74" s="65">
        <f>IFERROR(aurora_data!F66,0)</f>
        <v>1</v>
      </c>
      <c r="H74" s="65">
        <f>IFERROR(aurora_data!G66,0)</f>
        <v>0</v>
      </c>
      <c r="I74" s="66">
        <f>IFERROR(aurora_data!H66,0)</f>
        <v>0</v>
      </c>
      <c r="J74" s="59">
        <f>IFERROR(aurora_data!I66,0)</f>
        <v>0</v>
      </c>
      <c r="K74" s="65">
        <f>IFERROR(aurora_data!J66,0)</f>
        <v>0</v>
      </c>
      <c r="L74" s="65">
        <f>IFERROR(aurora_data!K66,0)</f>
        <v>1</v>
      </c>
      <c r="M74" s="65">
        <f>IFERROR(aurora_data!L66,0)</f>
        <v>0</v>
      </c>
      <c r="N74" s="66">
        <f>IFERROR(aurora_data!M66,0)</f>
        <v>0</v>
      </c>
      <c r="O74" s="59">
        <f>IFERROR(aurora_data!N66,0)</f>
        <v>0</v>
      </c>
      <c r="P74" s="65">
        <f>IFERROR(aurora_data!O66,0)</f>
        <v>1</v>
      </c>
      <c r="Q74" s="65">
        <f>IFERROR(aurora_data!P66,0)</f>
        <v>0</v>
      </c>
      <c r="R74" s="66">
        <f>IFERROR(aurora_data!Q66,0)</f>
        <v>0</v>
      </c>
      <c r="S74" s="65">
        <f>IFERROR(aurora_data!R66,0)</f>
        <v>0</v>
      </c>
      <c r="T74" s="65">
        <f>IFERROR(aurora_data!S66,0)</f>
        <v>1</v>
      </c>
      <c r="U74" s="66">
        <f>IFERROR(aurora_data!T66,0)</f>
        <v>0</v>
      </c>
      <c r="V74" s="67" t="s">
        <v>95</v>
      </c>
      <c r="W74" s="59">
        <f>IFERROR(aurora_data!U66,0)</f>
        <v>1</v>
      </c>
      <c r="X74" s="72">
        <f t="shared" si="7"/>
        <v>0.25</v>
      </c>
      <c r="Y74" s="2"/>
    </row>
    <row r="75" spans="1:25" customFormat="1" ht="16.5" thickBot="1">
      <c r="A75" s="2"/>
      <c r="B75" s="211"/>
      <c r="C75" s="213"/>
      <c r="D75" s="38" t="s">
        <v>100</v>
      </c>
      <c r="E75" s="60">
        <f>IFERROR(aurora_data!D67,0)</f>
        <v>0</v>
      </c>
      <c r="F75" s="68">
        <f>IFERROR(aurora_data!E67,0)</f>
        <v>0</v>
      </c>
      <c r="G75" s="68">
        <f>IFERROR(aurora_data!F67,0)</f>
        <v>0</v>
      </c>
      <c r="H75" s="68">
        <f>IFERROR(aurora_data!G67,0)</f>
        <v>0</v>
      </c>
      <c r="I75" s="69">
        <f>IFERROR(aurora_data!H67,0)</f>
        <v>0</v>
      </c>
      <c r="J75" s="60">
        <f>IFERROR(aurora_data!I67,0)</f>
        <v>0</v>
      </c>
      <c r="K75" s="68">
        <f>IFERROR(aurora_data!J67,0)</f>
        <v>0</v>
      </c>
      <c r="L75" s="68">
        <f>IFERROR(aurora_data!K67,0)</f>
        <v>0</v>
      </c>
      <c r="M75" s="68">
        <f>IFERROR(aurora_data!L67,0)</f>
        <v>0</v>
      </c>
      <c r="N75" s="69">
        <f>IFERROR(aurora_data!M67,0)</f>
        <v>0</v>
      </c>
      <c r="O75" s="60">
        <f>IFERROR(aurora_data!N67,0)</f>
        <v>0</v>
      </c>
      <c r="P75" s="68">
        <f>IFERROR(aurora_data!O67,0)</f>
        <v>0</v>
      </c>
      <c r="Q75" s="68">
        <f>IFERROR(aurora_data!P67,0)</f>
        <v>0</v>
      </c>
      <c r="R75" s="69">
        <f>IFERROR(aurora_data!Q67,0)</f>
        <v>0</v>
      </c>
      <c r="S75" s="68">
        <f>IFERROR(aurora_data!R67,0)</f>
        <v>0</v>
      </c>
      <c r="T75" s="68">
        <f>IFERROR(aurora_data!S67,0)</f>
        <v>0</v>
      </c>
      <c r="U75" s="74">
        <f>IFERROR(aurora_data!T67,0)</f>
        <v>0</v>
      </c>
      <c r="V75" s="75" t="s">
        <v>95</v>
      </c>
      <c r="W75" s="60">
        <f>IFERROR(aurora_data!U67,0)</f>
        <v>0</v>
      </c>
      <c r="X75" s="73">
        <f t="shared" si="7"/>
        <v>0</v>
      </c>
      <c r="Y75" s="2"/>
    </row>
    <row r="76" spans="1:25" customFormat="1">
      <c r="A76" s="2"/>
      <c r="B76" s="210" t="s">
        <v>94</v>
      </c>
      <c r="C76" s="212" t="str">
        <f>aurora_data!A68</f>
        <v>14.00.00-14.11.30</v>
      </c>
      <c r="D76" s="34" t="s">
        <v>71</v>
      </c>
      <c r="E76" s="39">
        <f>IFERROR(aurora_data!D68,0)</f>
        <v>0</v>
      </c>
      <c r="F76" s="40">
        <f>IFERROR(aurora_data!E68,0)</f>
        <v>0</v>
      </c>
      <c r="G76" s="40">
        <f>IFERROR(aurora_data!F68,0)</f>
        <v>0</v>
      </c>
      <c r="H76" s="40">
        <f>IFERROR(aurora_data!G68,0)</f>
        <v>0</v>
      </c>
      <c r="I76" s="41">
        <f>IFERROR(aurora_data!H68,0)</f>
        <v>0</v>
      </c>
      <c r="J76" s="39">
        <f>IFERROR(aurora_data!I68,0)</f>
        <v>0</v>
      </c>
      <c r="K76" s="40">
        <f>IFERROR(aurora_data!J68,0)</f>
        <v>0</v>
      </c>
      <c r="L76" s="40">
        <f>IFERROR(aurora_data!K68,0)</f>
        <v>0</v>
      </c>
      <c r="M76" s="40">
        <f>IFERROR(aurora_data!L68,0)</f>
        <v>0</v>
      </c>
      <c r="N76" s="41">
        <f>IFERROR(aurora_data!M68,0)</f>
        <v>0</v>
      </c>
      <c r="O76" s="39">
        <f>IFERROR(aurora_data!N68,0)</f>
        <v>0</v>
      </c>
      <c r="P76" s="40">
        <f>IFERROR(aurora_data!O68,0)</f>
        <v>0</v>
      </c>
      <c r="Q76" s="40">
        <f>IFERROR(aurora_data!P68,0)</f>
        <v>0</v>
      </c>
      <c r="R76" s="41">
        <f>IFERROR(aurora_data!Q68,0)</f>
        <v>0</v>
      </c>
      <c r="S76" s="40">
        <f>IFERROR(aurora_data!R68,0)</f>
        <v>0</v>
      </c>
      <c r="T76" s="40">
        <f>IFERROR(aurora_data!S68,0)</f>
        <v>0</v>
      </c>
      <c r="U76" s="76">
        <f>IFERROR(aurora_data!T68,0)</f>
        <v>0</v>
      </c>
      <c r="V76" s="61" t="s">
        <v>95</v>
      </c>
      <c r="W76" s="39">
        <f>IFERROR(aurora_data!U68,0)</f>
        <v>4</v>
      </c>
      <c r="X76" s="70">
        <f>IFERROR(W76/$W$12,0)</f>
        <v>1</v>
      </c>
      <c r="Y76" s="2"/>
    </row>
    <row r="77" spans="1:25" customFormat="1">
      <c r="A77" s="2"/>
      <c r="B77" s="211"/>
      <c r="C77" s="213"/>
      <c r="D77" s="35" t="s">
        <v>96</v>
      </c>
      <c r="E77" s="110">
        <f>IFERROR(aurora_data!D69,0)</f>
        <v>0</v>
      </c>
      <c r="F77" s="62">
        <f>IFERROR(aurora_data!E69,0)</f>
        <v>0</v>
      </c>
      <c r="G77" s="62">
        <f>IFERROR(aurora_data!F69,0)</f>
        <v>0</v>
      </c>
      <c r="H77" s="62">
        <f>IFERROR(aurora_data!G69,0)</f>
        <v>1</v>
      </c>
      <c r="I77" s="63">
        <f>IFERROR(aurora_data!H69,0)</f>
        <v>0</v>
      </c>
      <c r="J77" s="36">
        <f>IFERROR(aurora_data!I69,0)</f>
        <v>0</v>
      </c>
      <c r="K77" s="62">
        <f>IFERROR(aurora_data!J69,0)</f>
        <v>0</v>
      </c>
      <c r="L77" s="62">
        <f>IFERROR(aurora_data!K69,0)</f>
        <v>0</v>
      </c>
      <c r="M77" s="62">
        <f>IFERROR(aurora_data!L69,0)</f>
        <v>1</v>
      </c>
      <c r="N77" s="63">
        <f>IFERROR(aurora_data!M69,0)</f>
        <v>0</v>
      </c>
      <c r="O77" s="36">
        <f>IFERROR(aurora_data!N69,0)</f>
        <v>1</v>
      </c>
      <c r="P77" s="62">
        <f>IFERROR(aurora_data!O69,0)</f>
        <v>0</v>
      </c>
      <c r="Q77" s="62">
        <f>IFERROR(aurora_data!P69,0)</f>
        <v>0</v>
      </c>
      <c r="R77" s="63">
        <f>IFERROR(aurora_data!Q69,0)</f>
        <v>0</v>
      </c>
      <c r="S77" s="62">
        <f>IFERROR(aurora_data!R69,0)</f>
        <v>1</v>
      </c>
      <c r="T77" s="62">
        <f>IFERROR(aurora_data!S69,0)</f>
        <v>0</v>
      </c>
      <c r="U77" s="63">
        <f>IFERROR(aurora_data!T69,0)</f>
        <v>0</v>
      </c>
      <c r="V77" s="64" t="s">
        <v>95</v>
      </c>
      <c r="W77" s="36">
        <f>IFERROR(aurora_data!U69,0)</f>
        <v>1</v>
      </c>
      <c r="X77" s="71">
        <f t="shared" ref="X77:X83" si="8">IFERROR(W77/$W$12,0)</f>
        <v>0.25</v>
      </c>
      <c r="Y77" s="2"/>
    </row>
    <row r="78" spans="1:25" customFormat="1">
      <c r="A78" s="2"/>
      <c r="B78" s="211"/>
      <c r="C78" s="213"/>
      <c r="D78" s="35" t="s">
        <v>60</v>
      </c>
      <c r="E78" s="110">
        <f>IFERROR(aurora_data!D70,0)</f>
        <v>0</v>
      </c>
      <c r="F78" s="62">
        <f>IFERROR(aurora_data!E70,0)</f>
        <v>0</v>
      </c>
      <c r="G78" s="62">
        <f>IFERROR(aurora_data!F70,0)</f>
        <v>0</v>
      </c>
      <c r="H78" s="62">
        <f>IFERROR(aurora_data!G70,0)</f>
        <v>0</v>
      </c>
      <c r="I78" s="63">
        <f>IFERROR(aurora_data!H70,0)</f>
        <v>0</v>
      </c>
      <c r="J78" s="36">
        <f>IFERROR(aurora_data!I70,0)</f>
        <v>0</v>
      </c>
      <c r="K78" s="62">
        <f>IFERROR(aurora_data!J70,0)</f>
        <v>0</v>
      </c>
      <c r="L78" s="62">
        <f>IFERROR(aurora_data!K70,0)</f>
        <v>0</v>
      </c>
      <c r="M78" s="62">
        <f>IFERROR(aurora_data!L70,0)</f>
        <v>0</v>
      </c>
      <c r="N78" s="63">
        <f>IFERROR(aurora_data!M70,0)</f>
        <v>0</v>
      </c>
      <c r="O78" s="36">
        <f>IFERROR(aurora_data!N70,0)</f>
        <v>0</v>
      </c>
      <c r="P78" s="62">
        <f>IFERROR(aurora_data!O70,0)</f>
        <v>0</v>
      </c>
      <c r="Q78" s="62">
        <f>IFERROR(aurora_data!P70,0)</f>
        <v>0</v>
      </c>
      <c r="R78" s="63">
        <f>IFERROR(aurora_data!Q70,0)</f>
        <v>0</v>
      </c>
      <c r="S78" s="62">
        <f>IFERROR(aurora_data!R70,0)</f>
        <v>0</v>
      </c>
      <c r="T78" s="62">
        <f>IFERROR(aurora_data!S70,0)</f>
        <v>0</v>
      </c>
      <c r="U78" s="63">
        <f>IFERROR(aurora_data!T70,0)</f>
        <v>0</v>
      </c>
      <c r="V78" s="64" t="s">
        <v>95</v>
      </c>
      <c r="W78" s="36">
        <f>IFERROR(aurora_data!U70,0)</f>
        <v>0</v>
      </c>
      <c r="X78" s="71">
        <f t="shared" si="8"/>
        <v>0</v>
      </c>
      <c r="Y78" s="2"/>
    </row>
    <row r="79" spans="1:25" customFormat="1">
      <c r="A79" s="2"/>
      <c r="B79" s="211"/>
      <c r="C79" s="213"/>
      <c r="D79" s="35" t="s">
        <v>97</v>
      </c>
      <c r="E79" s="36">
        <f>IFERROR(aurora_data!D71,0)</f>
        <v>0</v>
      </c>
      <c r="F79" s="62">
        <f>IFERROR(aurora_data!E71,0)</f>
        <v>0</v>
      </c>
      <c r="G79" s="62">
        <f>IFERROR(aurora_data!F71,0)</f>
        <v>0</v>
      </c>
      <c r="H79" s="62">
        <f>IFERROR(aurora_data!G71,0)</f>
        <v>0</v>
      </c>
      <c r="I79" s="63">
        <f>IFERROR(aurora_data!H71,0)</f>
        <v>0</v>
      </c>
      <c r="J79" s="36">
        <f>IFERROR(aurora_data!I71,0)</f>
        <v>0</v>
      </c>
      <c r="K79" s="62">
        <f>IFERROR(aurora_data!J71,0)</f>
        <v>0</v>
      </c>
      <c r="L79" s="62">
        <f>IFERROR(aurora_data!K71,0)</f>
        <v>0</v>
      </c>
      <c r="M79" s="62">
        <f>IFERROR(aurora_data!L71,0)</f>
        <v>0</v>
      </c>
      <c r="N79" s="63">
        <f>IFERROR(aurora_data!M71,0)</f>
        <v>0</v>
      </c>
      <c r="O79" s="36">
        <f>IFERROR(aurora_data!N71,0)</f>
        <v>0</v>
      </c>
      <c r="P79" s="62">
        <f>IFERROR(aurora_data!O71,0)</f>
        <v>0</v>
      </c>
      <c r="Q79" s="62">
        <f>IFERROR(aurora_data!P71,0)</f>
        <v>0</v>
      </c>
      <c r="R79" s="63">
        <f>IFERROR(aurora_data!Q71,0)</f>
        <v>0</v>
      </c>
      <c r="S79" s="62">
        <f>IFERROR(aurora_data!R71,0)</f>
        <v>0</v>
      </c>
      <c r="T79" s="62">
        <f>IFERROR(aurora_data!S71,0)</f>
        <v>0</v>
      </c>
      <c r="U79" s="63">
        <f>IFERROR(aurora_data!T71,0)</f>
        <v>0</v>
      </c>
      <c r="V79" s="64" t="s">
        <v>95</v>
      </c>
      <c r="W79" s="36">
        <f>IFERROR(aurora_data!U71,0)</f>
        <v>0</v>
      </c>
      <c r="X79" s="71">
        <f t="shared" si="8"/>
        <v>0</v>
      </c>
      <c r="Y79" s="2"/>
    </row>
    <row r="80" spans="1:25" customFormat="1">
      <c r="A80" s="2"/>
      <c r="B80" s="211"/>
      <c r="C80" s="213"/>
      <c r="D80" s="35" t="s">
        <v>98</v>
      </c>
      <c r="E80" s="36">
        <f>IFERROR(aurora_data!D72,0)</f>
        <v>0</v>
      </c>
      <c r="F80" s="62">
        <f>IFERROR(aurora_data!E72,0)</f>
        <v>0</v>
      </c>
      <c r="G80" s="62">
        <f>IFERROR(aurora_data!F72,0)</f>
        <v>0</v>
      </c>
      <c r="H80" s="62">
        <f>IFERROR(aurora_data!G72,0)</f>
        <v>0</v>
      </c>
      <c r="I80" s="63">
        <f>IFERROR(aurora_data!H72,0)</f>
        <v>0</v>
      </c>
      <c r="J80" s="36">
        <f>IFERROR(aurora_data!I72,0)</f>
        <v>0</v>
      </c>
      <c r="K80" s="62">
        <f>IFERROR(aurora_data!J72,0)</f>
        <v>0</v>
      </c>
      <c r="L80" s="62">
        <f>IFERROR(aurora_data!K72,0)</f>
        <v>0</v>
      </c>
      <c r="M80" s="62">
        <f>IFERROR(aurora_data!L72,0)</f>
        <v>0</v>
      </c>
      <c r="N80" s="63">
        <f>IFERROR(aurora_data!M72,0)</f>
        <v>0</v>
      </c>
      <c r="O80" s="36">
        <f>IFERROR(aurora_data!N72,0)</f>
        <v>0</v>
      </c>
      <c r="P80" s="62">
        <f>IFERROR(aurora_data!O72,0)</f>
        <v>0</v>
      </c>
      <c r="Q80" s="62">
        <f>IFERROR(aurora_data!P72,0)</f>
        <v>0</v>
      </c>
      <c r="R80" s="63">
        <f>IFERROR(aurora_data!Q72,0)</f>
        <v>0</v>
      </c>
      <c r="S80" s="62">
        <f>IFERROR(aurora_data!R72,0)</f>
        <v>0</v>
      </c>
      <c r="T80" s="62">
        <f>IFERROR(aurora_data!S72,0)</f>
        <v>0</v>
      </c>
      <c r="U80" s="63">
        <f>IFERROR(aurora_data!T72,0)</f>
        <v>0</v>
      </c>
      <c r="V80" s="64" t="s">
        <v>95</v>
      </c>
      <c r="W80" s="36">
        <f>IFERROR(aurora_data!U72,0)</f>
        <v>0</v>
      </c>
      <c r="X80" s="71">
        <f t="shared" si="8"/>
        <v>0</v>
      </c>
      <c r="Y80" s="2"/>
    </row>
    <row r="81" spans="1:25" customFormat="1" ht="16.5" thickBot="1">
      <c r="A81" s="2"/>
      <c r="B81" s="211"/>
      <c r="C81" s="213"/>
      <c r="D81" s="35" t="s">
        <v>99</v>
      </c>
      <c r="E81" s="36">
        <f>IFERROR(aurora_data!D73,0)</f>
        <v>0</v>
      </c>
      <c r="F81" s="62">
        <f>IFERROR(aurora_data!E73,0)</f>
        <v>0</v>
      </c>
      <c r="G81" s="62">
        <f>IFERROR(aurora_data!F73,0)</f>
        <v>0</v>
      </c>
      <c r="H81" s="62">
        <f>IFERROR(aurora_data!G73,0)</f>
        <v>0</v>
      </c>
      <c r="I81" s="63">
        <f>IFERROR(aurora_data!H73,0)</f>
        <v>0</v>
      </c>
      <c r="J81" s="36">
        <f>IFERROR(aurora_data!I73,0)</f>
        <v>0</v>
      </c>
      <c r="K81" s="62">
        <f>IFERROR(aurora_data!J73,0)</f>
        <v>0</v>
      </c>
      <c r="L81" s="62">
        <f>IFERROR(aurora_data!K73,0)</f>
        <v>0</v>
      </c>
      <c r="M81" s="62">
        <f>IFERROR(aurora_data!L73,0)</f>
        <v>0</v>
      </c>
      <c r="N81" s="63">
        <f>IFERROR(aurora_data!M73,0)</f>
        <v>0</v>
      </c>
      <c r="O81" s="36">
        <f>IFERROR(aurora_data!N73,0)</f>
        <v>0</v>
      </c>
      <c r="P81" s="62">
        <f>IFERROR(aurora_data!O73,0)</f>
        <v>0</v>
      </c>
      <c r="Q81" s="62">
        <f>IFERROR(aurora_data!P73,0)</f>
        <v>0</v>
      </c>
      <c r="R81" s="63">
        <f>IFERROR(aurora_data!Q73,0)</f>
        <v>0</v>
      </c>
      <c r="S81" s="62">
        <f>IFERROR(aurora_data!R73,0)</f>
        <v>0</v>
      </c>
      <c r="T81" s="62">
        <f>IFERROR(aurora_data!S73,0)</f>
        <v>0</v>
      </c>
      <c r="U81" s="63">
        <f>IFERROR(aurora_data!T73,0)</f>
        <v>0</v>
      </c>
      <c r="V81" s="64" t="s">
        <v>95</v>
      </c>
      <c r="W81" s="36">
        <f>IFERROR(aurora_data!U73,0)</f>
        <v>0</v>
      </c>
      <c r="X81" s="71">
        <f t="shared" si="8"/>
        <v>0</v>
      </c>
      <c r="Y81" s="2"/>
    </row>
    <row r="82" spans="1:25" customFormat="1" ht="16.5" thickBot="1">
      <c r="A82" s="2"/>
      <c r="B82" s="211"/>
      <c r="C82" s="213"/>
      <c r="D82" s="37" t="s">
        <v>64</v>
      </c>
      <c r="E82" s="59">
        <f>IFERROR(aurora_data!D74,0)</f>
        <v>0</v>
      </c>
      <c r="F82" s="65">
        <f>IFERROR(aurora_data!E74,0)</f>
        <v>0</v>
      </c>
      <c r="G82" s="65">
        <f>IFERROR(aurora_data!F74,0)</f>
        <v>0</v>
      </c>
      <c r="H82" s="65">
        <f>IFERROR(aurora_data!G74,0)</f>
        <v>1</v>
      </c>
      <c r="I82" s="66">
        <f>IFERROR(aurora_data!H74,0)</f>
        <v>0</v>
      </c>
      <c r="J82" s="59">
        <f>IFERROR(aurora_data!I74,0)</f>
        <v>0</v>
      </c>
      <c r="K82" s="65">
        <f>IFERROR(aurora_data!J74,0)</f>
        <v>0</v>
      </c>
      <c r="L82" s="65">
        <f>IFERROR(aurora_data!K74,0)</f>
        <v>0</v>
      </c>
      <c r="M82" s="65">
        <f>IFERROR(aurora_data!L74,0)</f>
        <v>1</v>
      </c>
      <c r="N82" s="66">
        <f>IFERROR(aurora_data!M74,0)</f>
        <v>0</v>
      </c>
      <c r="O82" s="59">
        <f>IFERROR(aurora_data!N74,0)</f>
        <v>1</v>
      </c>
      <c r="P82" s="65">
        <f>IFERROR(aurora_data!O74,0)</f>
        <v>0</v>
      </c>
      <c r="Q82" s="65">
        <f>IFERROR(aurora_data!P74,0)</f>
        <v>0</v>
      </c>
      <c r="R82" s="66">
        <f>IFERROR(aurora_data!Q74,0)</f>
        <v>0</v>
      </c>
      <c r="S82" s="65">
        <f>IFERROR(aurora_data!R74,0)</f>
        <v>1</v>
      </c>
      <c r="T82" s="65">
        <f>IFERROR(aurora_data!S74,0)</f>
        <v>0</v>
      </c>
      <c r="U82" s="66">
        <f>IFERROR(aurora_data!T74,0)</f>
        <v>0</v>
      </c>
      <c r="V82" s="67" t="s">
        <v>95</v>
      </c>
      <c r="W82" s="59">
        <f>IFERROR(aurora_data!U74,0)</f>
        <v>1</v>
      </c>
      <c r="X82" s="72">
        <f t="shared" si="8"/>
        <v>0.25</v>
      </c>
      <c r="Y82" s="2"/>
    </row>
    <row r="83" spans="1:25" customFormat="1" ht="16.5" thickBot="1">
      <c r="A83" s="2"/>
      <c r="B83" s="211"/>
      <c r="C83" s="213"/>
      <c r="D83" s="38" t="s">
        <v>100</v>
      </c>
      <c r="E83" s="60">
        <f>IFERROR(aurora_data!D75,0)</f>
        <v>0</v>
      </c>
      <c r="F83" s="68">
        <f>IFERROR(aurora_data!E75,0)</f>
        <v>0</v>
      </c>
      <c r="G83" s="68">
        <f>IFERROR(aurora_data!F75,0)</f>
        <v>0</v>
      </c>
      <c r="H83" s="68">
        <f>IFERROR(aurora_data!G75,0)</f>
        <v>0</v>
      </c>
      <c r="I83" s="69">
        <f>IFERROR(aurora_data!H75,0)</f>
        <v>0</v>
      </c>
      <c r="J83" s="60">
        <f>IFERROR(aurora_data!I75,0)</f>
        <v>0</v>
      </c>
      <c r="K83" s="68">
        <f>IFERROR(aurora_data!J75,0)</f>
        <v>0</v>
      </c>
      <c r="L83" s="68">
        <f>IFERROR(aurora_data!K75,0)</f>
        <v>0</v>
      </c>
      <c r="M83" s="68">
        <f>IFERROR(aurora_data!L75,0)</f>
        <v>0</v>
      </c>
      <c r="N83" s="69">
        <f>IFERROR(aurora_data!M75,0)</f>
        <v>0</v>
      </c>
      <c r="O83" s="60">
        <f>IFERROR(aurora_data!N75,0)</f>
        <v>0</v>
      </c>
      <c r="P83" s="68">
        <f>IFERROR(aurora_data!O75,0)</f>
        <v>0</v>
      </c>
      <c r="Q83" s="68">
        <f>IFERROR(aurora_data!P75,0)</f>
        <v>0</v>
      </c>
      <c r="R83" s="69">
        <f>IFERROR(aurora_data!Q75,0)</f>
        <v>0</v>
      </c>
      <c r="S83" s="68">
        <f>IFERROR(aurora_data!R75,0)</f>
        <v>0</v>
      </c>
      <c r="T83" s="68">
        <f>IFERROR(aurora_data!S75,0)</f>
        <v>0</v>
      </c>
      <c r="U83" s="74">
        <f>IFERROR(aurora_data!T75,0)</f>
        <v>0</v>
      </c>
      <c r="V83" s="75" t="s">
        <v>95</v>
      </c>
      <c r="W83" s="60">
        <f>IFERROR(aurora_data!U75,0)</f>
        <v>0</v>
      </c>
      <c r="X83" s="73">
        <f t="shared" si="8"/>
        <v>0</v>
      </c>
      <c r="Y83" s="2"/>
    </row>
    <row r="84" spans="1:25" customFormat="1">
      <c r="A84" s="2"/>
      <c r="B84" s="210" t="s">
        <v>94</v>
      </c>
      <c r="C84" s="212" t="str">
        <f>aurora_data!A76</f>
        <v>15.00.00-15.11.30</v>
      </c>
      <c r="D84" s="34" t="s">
        <v>71</v>
      </c>
      <c r="E84" s="39">
        <f>IFERROR(aurora_data!D76,0)</f>
        <v>0</v>
      </c>
      <c r="F84" s="40">
        <f>IFERROR(aurora_data!E76,0)</f>
        <v>0</v>
      </c>
      <c r="G84" s="40">
        <f>IFERROR(aurora_data!F76,0)</f>
        <v>0</v>
      </c>
      <c r="H84" s="40">
        <f>IFERROR(aurora_data!G76,0)</f>
        <v>0</v>
      </c>
      <c r="I84" s="41">
        <f>IFERROR(aurora_data!H76,0)</f>
        <v>0</v>
      </c>
      <c r="J84" s="39">
        <f>IFERROR(aurora_data!I76,0)</f>
        <v>0</v>
      </c>
      <c r="K84" s="40">
        <f>IFERROR(aurora_data!J76,0)</f>
        <v>0</v>
      </c>
      <c r="L84" s="40">
        <f>IFERROR(aurora_data!K76,0)</f>
        <v>0</v>
      </c>
      <c r="M84" s="40">
        <f>IFERROR(aurora_data!L76,0)</f>
        <v>0</v>
      </c>
      <c r="N84" s="41">
        <f>IFERROR(aurora_data!M76,0)</f>
        <v>0</v>
      </c>
      <c r="O84" s="39">
        <f>IFERROR(aurora_data!N76,0)</f>
        <v>0</v>
      </c>
      <c r="P84" s="40">
        <f>IFERROR(aurora_data!O76,0)</f>
        <v>0</v>
      </c>
      <c r="Q84" s="40">
        <f>IFERROR(aurora_data!P76,0)</f>
        <v>0</v>
      </c>
      <c r="R84" s="41">
        <f>IFERROR(aurora_data!Q76,0)</f>
        <v>0</v>
      </c>
      <c r="S84" s="40">
        <f>IFERROR(aurora_data!R76,0)</f>
        <v>0</v>
      </c>
      <c r="T84" s="40">
        <f>IFERROR(aurora_data!S76,0)</f>
        <v>0</v>
      </c>
      <c r="U84" s="76">
        <f>IFERROR(aurora_data!T76,0)</f>
        <v>0</v>
      </c>
      <c r="V84" s="61" t="s">
        <v>95</v>
      </c>
      <c r="W84" s="39">
        <f>IFERROR(aurora_data!U76,0)</f>
        <v>4</v>
      </c>
      <c r="X84" s="70">
        <f>IFERROR(W84/$W$12,0)</f>
        <v>1</v>
      </c>
      <c r="Y84" s="2"/>
    </row>
    <row r="85" spans="1:25" customFormat="1">
      <c r="A85" s="2"/>
      <c r="B85" s="211"/>
      <c r="C85" s="213"/>
      <c r="D85" s="35" t="s">
        <v>96</v>
      </c>
      <c r="E85" s="110">
        <f>IFERROR(aurora_data!D77,0)</f>
        <v>0</v>
      </c>
      <c r="F85" s="62">
        <f>IFERROR(aurora_data!E77,0)</f>
        <v>1</v>
      </c>
      <c r="G85" s="62">
        <f>IFERROR(aurora_data!F77,0)</f>
        <v>0</v>
      </c>
      <c r="H85" s="62">
        <f>IFERROR(aurora_data!G77,0)</f>
        <v>2</v>
      </c>
      <c r="I85" s="63">
        <f>IFERROR(aurora_data!H77,0)</f>
        <v>0</v>
      </c>
      <c r="J85" s="36">
        <f>IFERROR(aurora_data!I77,0)</f>
        <v>1</v>
      </c>
      <c r="K85" s="62">
        <f>IFERROR(aurora_data!J77,0)</f>
        <v>1</v>
      </c>
      <c r="L85" s="62">
        <f>IFERROR(aurora_data!K77,0)</f>
        <v>1</v>
      </c>
      <c r="M85" s="62">
        <f>IFERROR(aurora_data!L77,0)</f>
        <v>0</v>
      </c>
      <c r="N85" s="63">
        <f>IFERROR(aurora_data!M77,0)</f>
        <v>0</v>
      </c>
      <c r="O85" s="36">
        <f>IFERROR(aurora_data!N77,0)</f>
        <v>2</v>
      </c>
      <c r="P85" s="62">
        <f>IFERROR(aurora_data!O77,0)</f>
        <v>0</v>
      </c>
      <c r="Q85" s="62">
        <f>IFERROR(aurora_data!P77,0)</f>
        <v>1</v>
      </c>
      <c r="R85" s="63">
        <f>IFERROR(aurora_data!Q77,0)</f>
        <v>0</v>
      </c>
      <c r="S85" s="62">
        <f>IFERROR(aurora_data!R77,0)</f>
        <v>0</v>
      </c>
      <c r="T85" s="62">
        <f>IFERROR(aurora_data!S77,0)</f>
        <v>3</v>
      </c>
      <c r="U85" s="63">
        <f>IFERROR(aurora_data!T77,0)</f>
        <v>0</v>
      </c>
      <c r="V85" s="64" t="s">
        <v>95</v>
      </c>
      <c r="W85" s="36">
        <f>IFERROR(aurora_data!U77,0)</f>
        <v>3</v>
      </c>
      <c r="X85" s="71">
        <f t="shared" ref="X85:X91" si="9">IFERROR(W85/$W$12,0)</f>
        <v>0.75</v>
      </c>
      <c r="Y85" s="2"/>
    </row>
    <row r="86" spans="1:25" customFormat="1">
      <c r="A86" s="2"/>
      <c r="B86" s="211"/>
      <c r="C86" s="213"/>
      <c r="D86" s="35" t="s">
        <v>60</v>
      </c>
      <c r="E86" s="110">
        <f>IFERROR(aurora_data!D78,0)</f>
        <v>0</v>
      </c>
      <c r="F86" s="62">
        <f>IFERROR(aurora_data!E78,0)</f>
        <v>0</v>
      </c>
      <c r="G86" s="62">
        <f>IFERROR(aurora_data!F78,0)</f>
        <v>0</v>
      </c>
      <c r="H86" s="62">
        <f>IFERROR(aurora_data!G78,0)</f>
        <v>0</v>
      </c>
      <c r="I86" s="63">
        <f>IFERROR(aurora_data!H78,0)</f>
        <v>0</v>
      </c>
      <c r="J86" s="36">
        <f>IFERROR(aurora_data!I78,0)</f>
        <v>0</v>
      </c>
      <c r="K86" s="62">
        <f>IFERROR(aurora_data!J78,0)</f>
        <v>0</v>
      </c>
      <c r="L86" s="62">
        <f>IFERROR(aurora_data!K78,0)</f>
        <v>0</v>
      </c>
      <c r="M86" s="62">
        <f>IFERROR(aurora_data!L78,0)</f>
        <v>0</v>
      </c>
      <c r="N86" s="63">
        <f>IFERROR(aurora_data!M78,0)</f>
        <v>0</v>
      </c>
      <c r="O86" s="36">
        <f>IFERROR(aurora_data!N78,0)</f>
        <v>0</v>
      </c>
      <c r="P86" s="62">
        <f>IFERROR(aurora_data!O78,0)</f>
        <v>0</v>
      </c>
      <c r="Q86" s="62">
        <f>IFERROR(aurora_data!P78,0)</f>
        <v>0</v>
      </c>
      <c r="R86" s="63">
        <f>IFERROR(aurora_data!Q78,0)</f>
        <v>0</v>
      </c>
      <c r="S86" s="62">
        <f>IFERROR(aurora_data!R78,0)</f>
        <v>0</v>
      </c>
      <c r="T86" s="62">
        <f>IFERROR(aurora_data!S78,0)</f>
        <v>0</v>
      </c>
      <c r="U86" s="63">
        <f>IFERROR(aurora_data!T78,0)</f>
        <v>0</v>
      </c>
      <c r="V86" s="64" t="s">
        <v>95</v>
      </c>
      <c r="W86" s="36">
        <f>IFERROR(aurora_data!U78,0)</f>
        <v>0</v>
      </c>
      <c r="X86" s="71">
        <f t="shared" si="9"/>
        <v>0</v>
      </c>
      <c r="Y86" s="2"/>
    </row>
    <row r="87" spans="1:25" customFormat="1">
      <c r="A87" s="2"/>
      <c r="B87" s="211"/>
      <c r="C87" s="213"/>
      <c r="D87" s="35" t="s">
        <v>97</v>
      </c>
      <c r="E87" s="36">
        <f>IFERROR(aurora_data!D79,0)</f>
        <v>0</v>
      </c>
      <c r="F87" s="62">
        <f>IFERROR(aurora_data!E79,0)</f>
        <v>0</v>
      </c>
      <c r="G87" s="62">
        <f>IFERROR(aurora_data!F79,0)</f>
        <v>0</v>
      </c>
      <c r="H87" s="62">
        <f>IFERROR(aurora_data!G79,0)</f>
        <v>1</v>
      </c>
      <c r="I87" s="63">
        <f>IFERROR(aurora_data!H79,0)</f>
        <v>0</v>
      </c>
      <c r="J87" s="36">
        <f>IFERROR(aurora_data!I79,0)</f>
        <v>0</v>
      </c>
      <c r="K87" s="62">
        <f>IFERROR(aurora_data!J79,0)</f>
        <v>0</v>
      </c>
      <c r="L87" s="62">
        <f>IFERROR(aurora_data!K79,0)</f>
        <v>1</v>
      </c>
      <c r="M87" s="62">
        <f>IFERROR(aurora_data!L79,0)</f>
        <v>0</v>
      </c>
      <c r="N87" s="63">
        <f>IFERROR(aurora_data!M79,0)</f>
        <v>0</v>
      </c>
      <c r="O87" s="36">
        <f>IFERROR(aurora_data!N79,0)</f>
        <v>0</v>
      </c>
      <c r="P87" s="62">
        <f>IFERROR(aurora_data!O79,0)</f>
        <v>0</v>
      </c>
      <c r="Q87" s="62">
        <f>IFERROR(aurora_data!P79,0)</f>
        <v>0</v>
      </c>
      <c r="R87" s="63">
        <f>IFERROR(aurora_data!Q79,0)</f>
        <v>1</v>
      </c>
      <c r="S87" s="62">
        <f>IFERROR(aurora_data!R79,0)</f>
        <v>0</v>
      </c>
      <c r="T87" s="62">
        <f>IFERROR(aurora_data!S79,0)</f>
        <v>1</v>
      </c>
      <c r="U87" s="63">
        <f>IFERROR(aurora_data!T79,0)</f>
        <v>0</v>
      </c>
      <c r="V87" s="64" t="s">
        <v>95</v>
      </c>
      <c r="W87" s="36">
        <f>IFERROR(aurora_data!U79,0)</f>
        <v>1</v>
      </c>
      <c r="X87" s="71">
        <f t="shared" si="9"/>
        <v>0.25</v>
      </c>
      <c r="Y87" s="2"/>
    </row>
    <row r="88" spans="1:25" customFormat="1">
      <c r="A88" s="2"/>
      <c r="B88" s="211"/>
      <c r="C88" s="213"/>
      <c r="D88" s="35" t="s">
        <v>98</v>
      </c>
      <c r="E88" s="36">
        <f>IFERROR(aurora_data!D80,0)</f>
        <v>0</v>
      </c>
      <c r="F88" s="62">
        <f>IFERROR(aurora_data!E80,0)</f>
        <v>0</v>
      </c>
      <c r="G88" s="62">
        <f>IFERROR(aurora_data!F80,0)</f>
        <v>0</v>
      </c>
      <c r="H88" s="62">
        <f>IFERROR(aurora_data!G80,0)</f>
        <v>0</v>
      </c>
      <c r="I88" s="63">
        <f>IFERROR(aurora_data!H80,0)</f>
        <v>0</v>
      </c>
      <c r="J88" s="36">
        <f>IFERROR(aurora_data!I80,0)</f>
        <v>0</v>
      </c>
      <c r="K88" s="62">
        <f>IFERROR(aurora_data!J80,0)</f>
        <v>0</v>
      </c>
      <c r="L88" s="62">
        <f>IFERROR(aurora_data!K80,0)</f>
        <v>0</v>
      </c>
      <c r="M88" s="62">
        <f>IFERROR(aurora_data!L80,0)</f>
        <v>0</v>
      </c>
      <c r="N88" s="63">
        <f>IFERROR(aurora_data!M80,0)</f>
        <v>0</v>
      </c>
      <c r="O88" s="36">
        <f>IFERROR(aurora_data!N80,0)</f>
        <v>0</v>
      </c>
      <c r="P88" s="62">
        <f>IFERROR(aurora_data!O80,0)</f>
        <v>0</v>
      </c>
      <c r="Q88" s="62">
        <f>IFERROR(aurora_data!P80,0)</f>
        <v>0</v>
      </c>
      <c r="R88" s="63">
        <f>IFERROR(aurora_data!Q80,0)</f>
        <v>0</v>
      </c>
      <c r="S88" s="62">
        <f>IFERROR(aurora_data!R80,0)</f>
        <v>0</v>
      </c>
      <c r="T88" s="62">
        <f>IFERROR(aurora_data!S80,0)</f>
        <v>0</v>
      </c>
      <c r="U88" s="63">
        <f>IFERROR(aurora_data!T80,0)</f>
        <v>0</v>
      </c>
      <c r="V88" s="64" t="s">
        <v>95</v>
      </c>
      <c r="W88" s="36">
        <f>IFERROR(aurora_data!U80,0)</f>
        <v>0</v>
      </c>
      <c r="X88" s="71">
        <f t="shared" si="9"/>
        <v>0</v>
      </c>
      <c r="Y88" s="2"/>
    </row>
    <row r="89" spans="1:25" customFormat="1" ht="16.5" thickBot="1">
      <c r="A89" s="2"/>
      <c r="B89" s="211"/>
      <c r="C89" s="213"/>
      <c r="D89" s="35" t="s">
        <v>99</v>
      </c>
      <c r="E89" s="36">
        <f>IFERROR(aurora_data!D81,0)</f>
        <v>0</v>
      </c>
      <c r="F89" s="62">
        <f>IFERROR(aurora_data!E81,0)</f>
        <v>0</v>
      </c>
      <c r="G89" s="62">
        <f>IFERROR(aurora_data!F81,0)</f>
        <v>0</v>
      </c>
      <c r="H89" s="62">
        <f>IFERROR(aurora_data!G81,0)</f>
        <v>0</v>
      </c>
      <c r="I89" s="63">
        <f>IFERROR(aurora_data!H81,0)</f>
        <v>0</v>
      </c>
      <c r="J89" s="36">
        <f>IFERROR(aurora_data!I81,0)</f>
        <v>0</v>
      </c>
      <c r="K89" s="62">
        <f>IFERROR(aurora_data!J81,0)</f>
        <v>0</v>
      </c>
      <c r="L89" s="62">
        <f>IFERROR(aurora_data!K81,0)</f>
        <v>0</v>
      </c>
      <c r="M89" s="62">
        <f>IFERROR(aurora_data!L81,0)</f>
        <v>0</v>
      </c>
      <c r="N89" s="63">
        <f>IFERROR(aurora_data!M81,0)</f>
        <v>0</v>
      </c>
      <c r="O89" s="36">
        <f>IFERROR(aurora_data!N81,0)</f>
        <v>0</v>
      </c>
      <c r="P89" s="62">
        <f>IFERROR(aurora_data!O81,0)</f>
        <v>0</v>
      </c>
      <c r="Q89" s="62">
        <f>IFERROR(aurora_data!P81,0)</f>
        <v>0</v>
      </c>
      <c r="R89" s="63">
        <f>IFERROR(aurora_data!Q81,0)</f>
        <v>0</v>
      </c>
      <c r="S89" s="62">
        <f>IFERROR(aurora_data!R81,0)</f>
        <v>0</v>
      </c>
      <c r="T89" s="62">
        <f>IFERROR(aurora_data!S81,0)</f>
        <v>0</v>
      </c>
      <c r="U89" s="63">
        <f>IFERROR(aurora_data!T81,0)</f>
        <v>0</v>
      </c>
      <c r="V89" s="64" t="s">
        <v>95</v>
      </c>
      <c r="W89" s="36">
        <f>IFERROR(aurora_data!U81,0)</f>
        <v>0</v>
      </c>
      <c r="X89" s="71">
        <f t="shared" si="9"/>
        <v>0</v>
      </c>
      <c r="Y89" s="2"/>
    </row>
    <row r="90" spans="1:25" customFormat="1" ht="16.5" thickBot="1">
      <c r="A90" s="2"/>
      <c r="B90" s="211"/>
      <c r="C90" s="213"/>
      <c r="D90" s="37" t="s">
        <v>64</v>
      </c>
      <c r="E90" s="59">
        <f>IFERROR(aurora_data!D82,0)</f>
        <v>0</v>
      </c>
      <c r="F90" s="65">
        <f>IFERROR(aurora_data!E82,0)</f>
        <v>1</v>
      </c>
      <c r="G90" s="65">
        <f>IFERROR(aurora_data!F82,0)</f>
        <v>0</v>
      </c>
      <c r="H90" s="65">
        <f>IFERROR(aurora_data!G82,0)</f>
        <v>3</v>
      </c>
      <c r="I90" s="66">
        <f>IFERROR(aurora_data!H82,0)</f>
        <v>0</v>
      </c>
      <c r="J90" s="59">
        <f>IFERROR(aurora_data!I82,0)</f>
        <v>1</v>
      </c>
      <c r="K90" s="65">
        <f>IFERROR(aurora_data!J82,0)</f>
        <v>1</v>
      </c>
      <c r="L90" s="65">
        <f>IFERROR(aurora_data!K82,0)</f>
        <v>2</v>
      </c>
      <c r="M90" s="65">
        <f>IFERROR(aurora_data!L82,0)</f>
        <v>0</v>
      </c>
      <c r="N90" s="66">
        <f>IFERROR(aurora_data!M82,0)</f>
        <v>0</v>
      </c>
      <c r="O90" s="59">
        <f>IFERROR(aurora_data!N82,0)</f>
        <v>2</v>
      </c>
      <c r="P90" s="65">
        <f>IFERROR(aurora_data!O82,0)</f>
        <v>0</v>
      </c>
      <c r="Q90" s="65">
        <f>IFERROR(aurora_data!P82,0)</f>
        <v>1</v>
      </c>
      <c r="R90" s="66">
        <f>IFERROR(aurora_data!Q82,0)</f>
        <v>1</v>
      </c>
      <c r="S90" s="65">
        <f>IFERROR(aurora_data!R82,0)</f>
        <v>0</v>
      </c>
      <c r="T90" s="65">
        <f>IFERROR(aurora_data!S82,0)</f>
        <v>4</v>
      </c>
      <c r="U90" s="66">
        <f>IFERROR(aurora_data!T82,0)</f>
        <v>0</v>
      </c>
      <c r="V90" s="67" t="s">
        <v>95</v>
      </c>
      <c r="W90" s="59">
        <f>IFERROR(aurora_data!U82,0)</f>
        <v>4</v>
      </c>
      <c r="X90" s="72">
        <f t="shared" si="9"/>
        <v>1</v>
      </c>
      <c r="Y90" s="2"/>
    </row>
    <row r="91" spans="1:25" customFormat="1" ht="16.5" thickBot="1">
      <c r="A91" s="2"/>
      <c r="B91" s="211"/>
      <c r="C91" s="213"/>
      <c r="D91" s="38" t="s">
        <v>100</v>
      </c>
      <c r="E91" s="60">
        <f>IFERROR(aurora_data!D83,0)</f>
        <v>0</v>
      </c>
      <c r="F91" s="68">
        <f>IFERROR(aurora_data!E83,0)</f>
        <v>0</v>
      </c>
      <c r="G91" s="68">
        <f>IFERROR(aurora_data!F83,0)</f>
        <v>0</v>
      </c>
      <c r="H91" s="68">
        <f>IFERROR(aurora_data!G83,0)</f>
        <v>0</v>
      </c>
      <c r="I91" s="69">
        <f>IFERROR(aurora_data!H83,0)</f>
        <v>0</v>
      </c>
      <c r="J91" s="60">
        <f>IFERROR(aurora_data!I83,0)</f>
        <v>0</v>
      </c>
      <c r="K91" s="68">
        <f>IFERROR(aurora_data!J83,0)</f>
        <v>0</v>
      </c>
      <c r="L91" s="68">
        <f>IFERROR(aurora_data!K83,0)</f>
        <v>0</v>
      </c>
      <c r="M91" s="68">
        <f>IFERROR(aurora_data!L83,0)</f>
        <v>0</v>
      </c>
      <c r="N91" s="69">
        <f>IFERROR(aurora_data!M83,0)</f>
        <v>0</v>
      </c>
      <c r="O91" s="60">
        <f>IFERROR(aurora_data!N83,0)</f>
        <v>0</v>
      </c>
      <c r="P91" s="68">
        <f>IFERROR(aurora_data!O83,0)</f>
        <v>0</v>
      </c>
      <c r="Q91" s="68">
        <f>IFERROR(aurora_data!P83,0)</f>
        <v>0</v>
      </c>
      <c r="R91" s="69">
        <f>IFERROR(aurora_data!Q83,0)</f>
        <v>0</v>
      </c>
      <c r="S91" s="68">
        <f>IFERROR(aurora_data!R83,0)</f>
        <v>0</v>
      </c>
      <c r="T91" s="68">
        <f>IFERROR(aurora_data!S83,0)</f>
        <v>0</v>
      </c>
      <c r="U91" s="74">
        <f>IFERROR(aurora_data!T83,0)</f>
        <v>0</v>
      </c>
      <c r="V91" s="75" t="s">
        <v>95</v>
      </c>
      <c r="W91" s="60">
        <f>IFERROR(aurora_data!U83,0)</f>
        <v>0</v>
      </c>
      <c r="X91" s="73">
        <f t="shared" si="9"/>
        <v>0</v>
      </c>
      <c r="Y91" s="2"/>
    </row>
    <row r="92" spans="1:25" customFormat="1">
      <c r="A92" s="2"/>
      <c r="B92" s="210" t="s">
        <v>94</v>
      </c>
      <c r="C92" s="212" t="str">
        <f>aurora_data!A84</f>
        <v>16.00.00-16.11.30</v>
      </c>
      <c r="D92" s="34" t="s">
        <v>71</v>
      </c>
      <c r="E92" s="39">
        <f>IFERROR(aurora_data!D84,0)</f>
        <v>0</v>
      </c>
      <c r="F92" s="40">
        <f>IFERROR(aurora_data!E84,0)</f>
        <v>0</v>
      </c>
      <c r="G92" s="40">
        <f>IFERROR(aurora_data!F84,0)</f>
        <v>0</v>
      </c>
      <c r="H92" s="40">
        <f>IFERROR(aurora_data!G84,0)</f>
        <v>0</v>
      </c>
      <c r="I92" s="41">
        <f>IFERROR(aurora_data!H84,0)</f>
        <v>0</v>
      </c>
      <c r="J92" s="39">
        <f>IFERROR(aurora_data!I84,0)</f>
        <v>0</v>
      </c>
      <c r="K92" s="40">
        <f>IFERROR(aurora_data!J84,0)</f>
        <v>0</v>
      </c>
      <c r="L92" s="40">
        <f>IFERROR(aurora_data!K84,0)</f>
        <v>0</v>
      </c>
      <c r="M92" s="40">
        <f>IFERROR(aurora_data!L84,0)</f>
        <v>0</v>
      </c>
      <c r="N92" s="41">
        <f>IFERROR(aurora_data!M84,0)</f>
        <v>0</v>
      </c>
      <c r="O92" s="39">
        <f>IFERROR(aurora_data!N84,0)</f>
        <v>0</v>
      </c>
      <c r="P92" s="40">
        <f>IFERROR(aurora_data!O84,0)</f>
        <v>0</v>
      </c>
      <c r="Q92" s="40">
        <f>IFERROR(aurora_data!P84,0)</f>
        <v>0</v>
      </c>
      <c r="R92" s="41">
        <f>IFERROR(aurora_data!Q84,0)</f>
        <v>0</v>
      </c>
      <c r="S92" s="40">
        <f>IFERROR(aurora_data!R84,0)</f>
        <v>0</v>
      </c>
      <c r="T92" s="40">
        <f>IFERROR(aurora_data!S84,0)</f>
        <v>0</v>
      </c>
      <c r="U92" s="76">
        <f>IFERROR(aurora_data!T84,0)</f>
        <v>0</v>
      </c>
      <c r="V92" s="61" t="s">
        <v>95</v>
      </c>
      <c r="W92" s="39">
        <f>IFERROR(aurora_data!U84,0)</f>
        <v>4</v>
      </c>
      <c r="X92" s="70">
        <f>IFERROR(W92/$W$12,0)</f>
        <v>1</v>
      </c>
      <c r="Y92" s="2"/>
    </row>
    <row r="93" spans="1:25" customFormat="1">
      <c r="A93" s="2"/>
      <c r="B93" s="211"/>
      <c r="C93" s="213"/>
      <c r="D93" s="35" t="s">
        <v>96</v>
      </c>
      <c r="E93" s="110">
        <f>IFERROR(aurora_data!D85,0)</f>
        <v>0</v>
      </c>
      <c r="F93" s="62">
        <f>IFERROR(aurora_data!E85,0)</f>
        <v>0</v>
      </c>
      <c r="G93" s="62">
        <f>IFERROR(aurora_data!F85,0)</f>
        <v>0</v>
      </c>
      <c r="H93" s="62">
        <f>IFERROR(aurora_data!G85,0)</f>
        <v>1</v>
      </c>
      <c r="I93" s="63">
        <f>IFERROR(aurora_data!H85,0)</f>
        <v>0</v>
      </c>
      <c r="J93" s="36">
        <f>IFERROR(aurora_data!I85,0)</f>
        <v>0</v>
      </c>
      <c r="K93" s="62">
        <f>IFERROR(aurora_data!J85,0)</f>
        <v>0</v>
      </c>
      <c r="L93" s="62">
        <f>IFERROR(aurora_data!K85,0)</f>
        <v>0</v>
      </c>
      <c r="M93" s="62">
        <f>IFERROR(aurora_data!L85,0)</f>
        <v>0</v>
      </c>
      <c r="N93" s="63">
        <f>IFERROR(aurora_data!M85,0)</f>
        <v>1</v>
      </c>
      <c r="O93" s="36">
        <f>IFERROR(aurora_data!N85,0)</f>
        <v>0</v>
      </c>
      <c r="P93" s="62">
        <f>IFERROR(aurora_data!O85,0)</f>
        <v>0</v>
      </c>
      <c r="Q93" s="62">
        <f>IFERROR(aurora_data!P85,0)</f>
        <v>1</v>
      </c>
      <c r="R93" s="63">
        <f>IFERROR(aurora_data!Q85,0)</f>
        <v>0</v>
      </c>
      <c r="S93" s="62">
        <f>IFERROR(aurora_data!R85,0)</f>
        <v>0</v>
      </c>
      <c r="T93" s="62">
        <f>IFERROR(aurora_data!S85,0)</f>
        <v>1</v>
      </c>
      <c r="U93" s="63">
        <f>IFERROR(aurora_data!T85,0)</f>
        <v>0</v>
      </c>
      <c r="V93" s="64" t="s">
        <v>95</v>
      </c>
      <c r="W93" s="36">
        <f>IFERROR(aurora_data!U85,0)</f>
        <v>1</v>
      </c>
      <c r="X93" s="71">
        <f t="shared" ref="X93:X99" si="10">IFERROR(W93/$W$12,0)</f>
        <v>0.25</v>
      </c>
      <c r="Y93" s="2"/>
    </row>
    <row r="94" spans="1:25" customFormat="1">
      <c r="A94" s="2"/>
      <c r="B94" s="211"/>
      <c r="C94" s="213"/>
      <c r="D94" s="35" t="s">
        <v>60</v>
      </c>
      <c r="E94" s="110">
        <f>IFERROR(aurora_data!D86,0)</f>
        <v>0</v>
      </c>
      <c r="F94" s="62">
        <f>IFERROR(aurora_data!E86,0)</f>
        <v>0</v>
      </c>
      <c r="G94" s="62">
        <f>IFERROR(aurora_data!F86,0)</f>
        <v>0</v>
      </c>
      <c r="H94" s="62">
        <f>IFERROR(aurora_data!G86,0)</f>
        <v>0</v>
      </c>
      <c r="I94" s="63">
        <f>IFERROR(aurora_data!H86,0)</f>
        <v>0</v>
      </c>
      <c r="J94" s="36">
        <f>IFERROR(aurora_data!I86,0)</f>
        <v>0</v>
      </c>
      <c r="K94" s="62">
        <f>IFERROR(aurora_data!J86,0)</f>
        <v>0</v>
      </c>
      <c r="L94" s="62">
        <f>IFERROR(aurora_data!K86,0)</f>
        <v>0</v>
      </c>
      <c r="M94" s="62">
        <f>IFERROR(aurora_data!L86,0)</f>
        <v>0</v>
      </c>
      <c r="N94" s="63">
        <f>IFERROR(aurora_data!M86,0)</f>
        <v>0</v>
      </c>
      <c r="O94" s="36">
        <f>IFERROR(aurora_data!N86,0)</f>
        <v>0</v>
      </c>
      <c r="P94" s="62">
        <f>IFERROR(aurora_data!O86,0)</f>
        <v>0</v>
      </c>
      <c r="Q94" s="62">
        <f>IFERROR(aurora_data!P86,0)</f>
        <v>0</v>
      </c>
      <c r="R94" s="63">
        <f>IFERROR(aurora_data!Q86,0)</f>
        <v>0</v>
      </c>
      <c r="S94" s="62">
        <f>IFERROR(aurora_data!R86,0)</f>
        <v>0</v>
      </c>
      <c r="T94" s="62">
        <f>IFERROR(aurora_data!S86,0)</f>
        <v>0</v>
      </c>
      <c r="U94" s="63">
        <f>IFERROR(aurora_data!T86,0)</f>
        <v>0</v>
      </c>
      <c r="V94" s="64" t="s">
        <v>95</v>
      </c>
      <c r="W94" s="36">
        <f>IFERROR(aurora_data!U86,0)</f>
        <v>0</v>
      </c>
      <c r="X94" s="71">
        <f t="shared" si="10"/>
        <v>0</v>
      </c>
      <c r="Y94" s="2"/>
    </row>
    <row r="95" spans="1:25" customFormat="1">
      <c r="A95" s="2"/>
      <c r="B95" s="211"/>
      <c r="C95" s="213"/>
      <c r="D95" s="35" t="s">
        <v>97</v>
      </c>
      <c r="E95" s="36">
        <f>IFERROR(aurora_data!D87,0)</f>
        <v>0</v>
      </c>
      <c r="F95" s="62">
        <f>IFERROR(aurora_data!E87,0)</f>
        <v>0</v>
      </c>
      <c r="G95" s="62">
        <f>IFERROR(aurora_data!F87,0)</f>
        <v>0</v>
      </c>
      <c r="H95" s="62">
        <f>IFERROR(aurora_data!G87,0)</f>
        <v>0</v>
      </c>
      <c r="I95" s="63">
        <f>IFERROR(aurora_data!H87,0)</f>
        <v>0</v>
      </c>
      <c r="J95" s="36">
        <f>IFERROR(aurora_data!I87,0)</f>
        <v>0</v>
      </c>
      <c r="K95" s="62">
        <f>IFERROR(aurora_data!J87,0)</f>
        <v>0</v>
      </c>
      <c r="L95" s="62">
        <f>IFERROR(aurora_data!K87,0)</f>
        <v>0</v>
      </c>
      <c r="M95" s="62">
        <f>IFERROR(aurora_data!L87,0)</f>
        <v>0</v>
      </c>
      <c r="N95" s="63">
        <f>IFERROR(aurora_data!M87,0)</f>
        <v>0</v>
      </c>
      <c r="O95" s="36">
        <f>IFERROR(aurora_data!N87,0)</f>
        <v>0</v>
      </c>
      <c r="P95" s="62">
        <f>IFERROR(aurora_data!O87,0)</f>
        <v>0</v>
      </c>
      <c r="Q95" s="62">
        <f>IFERROR(aurora_data!P87,0)</f>
        <v>0</v>
      </c>
      <c r="R95" s="63">
        <f>IFERROR(aurora_data!Q87,0)</f>
        <v>0</v>
      </c>
      <c r="S95" s="62">
        <f>IFERROR(aurora_data!R87,0)</f>
        <v>0</v>
      </c>
      <c r="T95" s="62">
        <f>IFERROR(aurora_data!S87,0)</f>
        <v>0</v>
      </c>
      <c r="U95" s="63">
        <f>IFERROR(aurora_data!T87,0)</f>
        <v>0</v>
      </c>
      <c r="V95" s="64" t="s">
        <v>95</v>
      </c>
      <c r="W95" s="36">
        <f>IFERROR(aurora_data!U87,0)</f>
        <v>0</v>
      </c>
      <c r="X95" s="71">
        <f t="shared" si="10"/>
        <v>0</v>
      </c>
      <c r="Y95" s="2"/>
    </row>
    <row r="96" spans="1:25" customFormat="1">
      <c r="A96" s="2"/>
      <c r="B96" s="211"/>
      <c r="C96" s="213"/>
      <c r="D96" s="35" t="s">
        <v>98</v>
      </c>
      <c r="E96" s="36">
        <f>IFERROR(aurora_data!D88,0)</f>
        <v>0</v>
      </c>
      <c r="F96" s="62">
        <f>IFERROR(aurora_data!E88,0)</f>
        <v>0</v>
      </c>
      <c r="G96" s="62">
        <f>IFERROR(aurora_data!F88,0)</f>
        <v>0</v>
      </c>
      <c r="H96" s="62">
        <f>IFERROR(aurora_data!G88,0)</f>
        <v>0</v>
      </c>
      <c r="I96" s="63">
        <f>IFERROR(aurora_data!H88,0)</f>
        <v>0</v>
      </c>
      <c r="J96" s="36">
        <f>IFERROR(aurora_data!I88,0)</f>
        <v>0</v>
      </c>
      <c r="K96" s="62">
        <f>IFERROR(aurora_data!J88,0)</f>
        <v>0</v>
      </c>
      <c r="L96" s="62">
        <f>IFERROR(aurora_data!K88,0)</f>
        <v>0</v>
      </c>
      <c r="M96" s="62">
        <f>IFERROR(aurora_data!L88,0)</f>
        <v>0</v>
      </c>
      <c r="N96" s="63">
        <f>IFERROR(aurora_data!M88,0)</f>
        <v>0</v>
      </c>
      <c r="O96" s="36">
        <f>IFERROR(aurora_data!N88,0)</f>
        <v>0</v>
      </c>
      <c r="P96" s="62">
        <f>IFERROR(aurora_data!O88,0)</f>
        <v>0</v>
      </c>
      <c r="Q96" s="62">
        <f>IFERROR(aurora_data!P88,0)</f>
        <v>0</v>
      </c>
      <c r="R96" s="63">
        <f>IFERROR(aurora_data!Q88,0)</f>
        <v>0</v>
      </c>
      <c r="S96" s="62">
        <f>IFERROR(aurora_data!R88,0)</f>
        <v>0</v>
      </c>
      <c r="T96" s="62">
        <f>IFERROR(aurora_data!S88,0)</f>
        <v>0</v>
      </c>
      <c r="U96" s="63">
        <f>IFERROR(aurora_data!T88,0)</f>
        <v>0</v>
      </c>
      <c r="V96" s="64" t="s">
        <v>95</v>
      </c>
      <c r="W96" s="36">
        <f>IFERROR(aurora_data!U88,0)</f>
        <v>0</v>
      </c>
      <c r="X96" s="71">
        <f t="shared" si="10"/>
        <v>0</v>
      </c>
      <c r="Y96" s="2"/>
    </row>
    <row r="97" spans="1:25" customFormat="1" ht="16.5" thickBot="1">
      <c r="A97" s="2"/>
      <c r="B97" s="211"/>
      <c r="C97" s="213"/>
      <c r="D97" s="35" t="s">
        <v>99</v>
      </c>
      <c r="E97" s="36">
        <f>IFERROR(aurora_data!D89,0)</f>
        <v>0</v>
      </c>
      <c r="F97" s="62">
        <f>IFERROR(aurora_data!E89,0)</f>
        <v>0</v>
      </c>
      <c r="G97" s="62">
        <f>IFERROR(aurora_data!F89,0)</f>
        <v>0</v>
      </c>
      <c r="H97" s="62">
        <f>IFERROR(aurora_data!G89,0)</f>
        <v>0</v>
      </c>
      <c r="I97" s="63">
        <f>IFERROR(aurora_data!H89,0)</f>
        <v>0</v>
      </c>
      <c r="J97" s="36">
        <f>IFERROR(aurora_data!I89,0)</f>
        <v>0</v>
      </c>
      <c r="K97" s="62">
        <f>IFERROR(aurora_data!J89,0)</f>
        <v>0</v>
      </c>
      <c r="L97" s="62">
        <f>IFERROR(aurora_data!K89,0)</f>
        <v>0</v>
      </c>
      <c r="M97" s="62">
        <f>IFERROR(aurora_data!L89,0)</f>
        <v>0</v>
      </c>
      <c r="N97" s="63">
        <f>IFERROR(aurora_data!M89,0)</f>
        <v>0</v>
      </c>
      <c r="O97" s="36">
        <f>IFERROR(aurora_data!N89,0)</f>
        <v>0</v>
      </c>
      <c r="P97" s="62">
        <f>IFERROR(aurora_data!O89,0)</f>
        <v>0</v>
      </c>
      <c r="Q97" s="62">
        <f>IFERROR(aurora_data!P89,0)</f>
        <v>0</v>
      </c>
      <c r="R97" s="63">
        <f>IFERROR(aurora_data!Q89,0)</f>
        <v>0</v>
      </c>
      <c r="S97" s="62">
        <f>IFERROR(aurora_data!R89,0)</f>
        <v>0</v>
      </c>
      <c r="T97" s="62">
        <f>IFERROR(aurora_data!S89,0)</f>
        <v>0</v>
      </c>
      <c r="U97" s="63">
        <f>IFERROR(aurora_data!T89,0)</f>
        <v>0</v>
      </c>
      <c r="V97" s="64" t="s">
        <v>95</v>
      </c>
      <c r="W97" s="36">
        <f>IFERROR(aurora_data!U89,0)</f>
        <v>0</v>
      </c>
      <c r="X97" s="71">
        <f t="shared" si="10"/>
        <v>0</v>
      </c>
      <c r="Y97" s="2"/>
    </row>
    <row r="98" spans="1:25" customFormat="1" ht="16.5" thickBot="1">
      <c r="A98" s="2"/>
      <c r="B98" s="211"/>
      <c r="C98" s="213"/>
      <c r="D98" s="37" t="s">
        <v>64</v>
      </c>
      <c r="E98" s="59">
        <f>IFERROR(aurora_data!D90,0)</f>
        <v>0</v>
      </c>
      <c r="F98" s="65">
        <f>IFERROR(aurora_data!E90,0)</f>
        <v>0</v>
      </c>
      <c r="G98" s="65">
        <f>IFERROR(aurora_data!F90,0)</f>
        <v>0</v>
      </c>
      <c r="H98" s="65">
        <f>IFERROR(aurora_data!G90,0)</f>
        <v>1</v>
      </c>
      <c r="I98" s="66">
        <f>IFERROR(aurora_data!H90,0)</f>
        <v>0</v>
      </c>
      <c r="J98" s="59">
        <f>IFERROR(aurora_data!I90,0)</f>
        <v>0</v>
      </c>
      <c r="K98" s="65">
        <f>IFERROR(aurora_data!J90,0)</f>
        <v>0</v>
      </c>
      <c r="L98" s="65">
        <f>IFERROR(aurora_data!K90,0)</f>
        <v>0</v>
      </c>
      <c r="M98" s="65">
        <f>IFERROR(aurora_data!L90,0)</f>
        <v>0</v>
      </c>
      <c r="N98" s="66">
        <f>IFERROR(aurora_data!M90,0)</f>
        <v>1</v>
      </c>
      <c r="O98" s="59">
        <f>IFERROR(aurora_data!N90,0)</f>
        <v>0</v>
      </c>
      <c r="P98" s="65">
        <f>IFERROR(aurora_data!O90,0)</f>
        <v>0</v>
      </c>
      <c r="Q98" s="65">
        <f>IFERROR(aurora_data!P90,0)</f>
        <v>1</v>
      </c>
      <c r="R98" s="66">
        <f>IFERROR(aurora_data!Q90,0)</f>
        <v>0</v>
      </c>
      <c r="S98" s="65">
        <f>IFERROR(aurora_data!R90,0)</f>
        <v>0</v>
      </c>
      <c r="T98" s="65">
        <f>IFERROR(aurora_data!S90,0)</f>
        <v>1</v>
      </c>
      <c r="U98" s="66">
        <f>IFERROR(aurora_data!T90,0)</f>
        <v>0</v>
      </c>
      <c r="V98" s="67" t="s">
        <v>95</v>
      </c>
      <c r="W98" s="59">
        <f>IFERROR(aurora_data!U90,0)</f>
        <v>1</v>
      </c>
      <c r="X98" s="72">
        <f t="shared" si="10"/>
        <v>0.25</v>
      </c>
      <c r="Y98" s="2"/>
    </row>
    <row r="99" spans="1:25" customFormat="1" ht="16.5" thickBot="1">
      <c r="A99" s="2"/>
      <c r="B99" s="211"/>
      <c r="C99" s="213"/>
      <c r="D99" s="38" t="s">
        <v>100</v>
      </c>
      <c r="E99" s="60">
        <f>IFERROR(aurora_data!D91,0)</f>
        <v>0</v>
      </c>
      <c r="F99" s="68">
        <f>IFERROR(aurora_data!E91,0)</f>
        <v>0</v>
      </c>
      <c r="G99" s="68">
        <f>IFERROR(aurora_data!F91,0)</f>
        <v>0</v>
      </c>
      <c r="H99" s="68">
        <f>IFERROR(aurora_data!G91,0)</f>
        <v>0</v>
      </c>
      <c r="I99" s="69">
        <f>IFERROR(aurora_data!H91,0)</f>
        <v>0</v>
      </c>
      <c r="J99" s="60">
        <f>IFERROR(aurora_data!I91,0)</f>
        <v>0</v>
      </c>
      <c r="K99" s="68">
        <f>IFERROR(aurora_data!J91,0)</f>
        <v>0</v>
      </c>
      <c r="L99" s="68">
        <f>IFERROR(aurora_data!K91,0)</f>
        <v>0</v>
      </c>
      <c r="M99" s="68">
        <f>IFERROR(aurora_data!L91,0)</f>
        <v>0</v>
      </c>
      <c r="N99" s="69">
        <f>IFERROR(aurora_data!M91,0)</f>
        <v>0</v>
      </c>
      <c r="O99" s="60">
        <f>IFERROR(aurora_data!N91,0)</f>
        <v>0</v>
      </c>
      <c r="P99" s="68">
        <f>IFERROR(aurora_data!O91,0)</f>
        <v>0</v>
      </c>
      <c r="Q99" s="68">
        <f>IFERROR(aurora_data!P91,0)</f>
        <v>0</v>
      </c>
      <c r="R99" s="69">
        <f>IFERROR(aurora_data!Q91,0)</f>
        <v>0</v>
      </c>
      <c r="S99" s="68">
        <f>IFERROR(aurora_data!R91,0)</f>
        <v>0</v>
      </c>
      <c r="T99" s="68">
        <f>IFERROR(aurora_data!S91,0)</f>
        <v>0</v>
      </c>
      <c r="U99" s="74">
        <f>IFERROR(aurora_data!T91,0)</f>
        <v>0</v>
      </c>
      <c r="V99" s="75" t="s">
        <v>95</v>
      </c>
      <c r="W99" s="60">
        <f>IFERROR(aurora_data!U91,0)</f>
        <v>0</v>
      </c>
      <c r="X99" s="73">
        <f t="shared" si="10"/>
        <v>0</v>
      </c>
      <c r="Y99" s="2"/>
    </row>
    <row r="100" spans="1:25" customFormat="1" ht="15.75" customHeight="1">
      <c r="A100" s="2"/>
      <c r="B100" s="206" t="s">
        <v>94</v>
      </c>
      <c r="C100" s="208" t="s">
        <v>55</v>
      </c>
      <c r="D100" s="34" t="s">
        <v>71</v>
      </c>
      <c r="E100" s="39">
        <f>IFERROR(aurora_data!D92,0)</f>
        <v>0</v>
      </c>
      <c r="F100" s="40">
        <f>IFERROR(aurora_data!E92,0)</f>
        <v>0</v>
      </c>
      <c r="G100" s="40">
        <f>IFERROR(aurora_data!F92,0)</f>
        <v>0</v>
      </c>
      <c r="H100" s="40">
        <f>IFERROR(aurora_data!G92,0)</f>
        <v>0</v>
      </c>
      <c r="I100" s="41">
        <f>IFERROR(aurora_data!H92,0)</f>
        <v>0</v>
      </c>
      <c r="J100" s="39">
        <f>IFERROR(aurora_data!I92,0)</f>
        <v>0</v>
      </c>
      <c r="K100" s="40">
        <f>IFERROR(aurora_data!J92,0)</f>
        <v>0</v>
      </c>
      <c r="L100" s="40">
        <f>IFERROR(aurora_data!K92,0)</f>
        <v>0</v>
      </c>
      <c r="M100" s="40">
        <f>IFERROR(aurora_data!L92,0)</f>
        <v>0</v>
      </c>
      <c r="N100" s="41">
        <f>IFERROR(aurora_data!M92,0)</f>
        <v>0</v>
      </c>
      <c r="O100" s="39">
        <f>IFERROR(aurora_data!N92,0)</f>
        <v>0</v>
      </c>
      <c r="P100" s="40">
        <f>IFERROR(aurora_data!O92,0)</f>
        <v>0</v>
      </c>
      <c r="Q100" s="40">
        <f>IFERROR(aurora_data!P92,0)</f>
        <v>0</v>
      </c>
      <c r="R100" s="41">
        <f>IFERROR(aurora_data!Q92,0)</f>
        <v>0</v>
      </c>
      <c r="S100" s="40">
        <f>IFERROR(aurora_data!R92,0)</f>
        <v>0</v>
      </c>
      <c r="T100" s="40">
        <f>IFERROR(aurora_data!S92,0)</f>
        <v>0</v>
      </c>
      <c r="U100" s="41">
        <f>IFERROR(aurora_data!T92,0)</f>
        <v>0</v>
      </c>
      <c r="V100" s="61" t="s">
        <v>95</v>
      </c>
      <c r="W100" s="39">
        <f>IFERROR(aurora_data!U92,0)</f>
        <v>44</v>
      </c>
      <c r="X100" s="70">
        <f>IFERROR(W100/$W$100,0)</f>
        <v>1</v>
      </c>
      <c r="Y100" s="2"/>
    </row>
    <row r="101" spans="1:25" customFormat="1" ht="15.75" customHeight="1">
      <c r="A101" s="2"/>
      <c r="B101" s="207"/>
      <c r="C101" s="209"/>
      <c r="D101" s="35" t="s">
        <v>96</v>
      </c>
      <c r="E101" s="36">
        <f>IFERROR(aurora_data!D93,0)</f>
        <v>1</v>
      </c>
      <c r="F101" s="62">
        <f>IFERROR(aurora_data!E93,0)</f>
        <v>3</v>
      </c>
      <c r="G101" s="62">
        <f>IFERROR(aurora_data!F93,0)</f>
        <v>3</v>
      </c>
      <c r="H101" s="62">
        <f>IFERROR(aurora_data!G93,0)</f>
        <v>9</v>
      </c>
      <c r="I101" s="63">
        <f>IFERROR(aurora_data!H93,0)</f>
        <v>1</v>
      </c>
      <c r="J101" s="36">
        <f>IFERROR(aurora_data!I93,0)</f>
        <v>2</v>
      </c>
      <c r="K101" s="62">
        <f>IFERROR(aurora_data!J93,0)</f>
        <v>3</v>
      </c>
      <c r="L101" s="62">
        <f>IFERROR(aurora_data!K93,0)</f>
        <v>7</v>
      </c>
      <c r="M101" s="62">
        <f>IFERROR(aurora_data!L93,0)</f>
        <v>1</v>
      </c>
      <c r="N101" s="63">
        <f>IFERROR(aurora_data!M93,0)</f>
        <v>4</v>
      </c>
      <c r="O101" s="36">
        <f>IFERROR(aurora_data!N93,0)</f>
        <v>5</v>
      </c>
      <c r="P101" s="62">
        <f>IFERROR(aurora_data!O93,0)</f>
        <v>1</v>
      </c>
      <c r="Q101" s="62">
        <f>IFERROR(aurora_data!P93,0)</f>
        <v>7</v>
      </c>
      <c r="R101" s="63">
        <f>IFERROR(aurora_data!Q93,0)</f>
        <v>4</v>
      </c>
      <c r="S101" s="62">
        <f>IFERROR(aurora_data!R93,0)</f>
        <v>3</v>
      </c>
      <c r="T101" s="62">
        <f>IFERROR(aurora_data!S93,0)</f>
        <v>14</v>
      </c>
      <c r="U101" s="63">
        <f>IFERROR(aurora_data!T93,0)</f>
        <v>0</v>
      </c>
      <c r="V101" s="64" t="s">
        <v>95</v>
      </c>
      <c r="W101" s="36">
        <f>IFERROR(aurora_data!U93,0)</f>
        <v>17</v>
      </c>
      <c r="X101" s="71">
        <f t="shared" ref="X101:X107" si="11">IFERROR(W101/$W$100,0)</f>
        <v>0.38636363636363635</v>
      </c>
      <c r="Y101" s="2"/>
    </row>
    <row r="102" spans="1:25" customFormat="1" ht="15.75" customHeight="1">
      <c r="A102" s="2"/>
      <c r="B102" s="207"/>
      <c r="C102" s="209"/>
      <c r="D102" s="35" t="s">
        <v>60</v>
      </c>
      <c r="E102" s="36">
        <f>IFERROR(aurora_data!D94,0)</f>
        <v>0</v>
      </c>
      <c r="F102" s="62">
        <f>IFERROR(aurora_data!E94,0)</f>
        <v>0</v>
      </c>
      <c r="G102" s="62">
        <f>IFERROR(aurora_data!F94,0)</f>
        <v>0</v>
      </c>
      <c r="H102" s="62">
        <f>IFERROR(aurora_data!G94,0)</f>
        <v>0</v>
      </c>
      <c r="I102" s="63">
        <f>IFERROR(aurora_data!H94,0)</f>
        <v>0</v>
      </c>
      <c r="J102" s="36">
        <f>IFERROR(aurora_data!I94,0)</f>
        <v>0</v>
      </c>
      <c r="K102" s="62">
        <f>IFERROR(aurora_data!J94,0)</f>
        <v>0</v>
      </c>
      <c r="L102" s="62">
        <f>IFERROR(aurora_data!K94,0)</f>
        <v>0</v>
      </c>
      <c r="M102" s="62">
        <f>IFERROR(aurora_data!L94,0)</f>
        <v>0</v>
      </c>
      <c r="N102" s="63">
        <f>IFERROR(aurora_data!M94,0)</f>
        <v>0</v>
      </c>
      <c r="O102" s="36">
        <f>IFERROR(aurora_data!N94,0)</f>
        <v>0</v>
      </c>
      <c r="P102" s="62">
        <f>IFERROR(aurora_data!O94,0)</f>
        <v>0</v>
      </c>
      <c r="Q102" s="62">
        <f>IFERROR(aurora_data!P94,0)</f>
        <v>0</v>
      </c>
      <c r="R102" s="63">
        <f>IFERROR(aurora_data!Q94,0)</f>
        <v>0</v>
      </c>
      <c r="S102" s="62">
        <f>IFERROR(aurora_data!R94,0)</f>
        <v>0</v>
      </c>
      <c r="T102" s="62">
        <f>IFERROR(aurora_data!S94,0)</f>
        <v>0</v>
      </c>
      <c r="U102" s="63">
        <f>IFERROR(aurora_data!T94,0)</f>
        <v>0</v>
      </c>
      <c r="V102" s="64" t="s">
        <v>95</v>
      </c>
      <c r="W102" s="36">
        <f>IFERROR(aurora_data!U94,0)</f>
        <v>0</v>
      </c>
      <c r="X102" s="71">
        <f t="shared" si="11"/>
        <v>0</v>
      </c>
      <c r="Y102" s="2"/>
    </row>
    <row r="103" spans="1:25" customFormat="1" ht="15.75" customHeight="1">
      <c r="A103" s="2"/>
      <c r="B103" s="207"/>
      <c r="C103" s="209"/>
      <c r="D103" s="35" t="s">
        <v>97</v>
      </c>
      <c r="E103" s="36">
        <f>IFERROR(aurora_data!D95,0)</f>
        <v>0</v>
      </c>
      <c r="F103" s="62">
        <f>IFERROR(aurora_data!E95,0)</f>
        <v>0</v>
      </c>
      <c r="G103" s="62">
        <f>IFERROR(aurora_data!F95,0)</f>
        <v>0</v>
      </c>
      <c r="H103" s="62">
        <f>IFERROR(aurora_data!G95,0)</f>
        <v>1</v>
      </c>
      <c r="I103" s="63">
        <f>IFERROR(aurora_data!H95,0)</f>
        <v>0</v>
      </c>
      <c r="J103" s="36">
        <f>IFERROR(aurora_data!I95,0)</f>
        <v>0</v>
      </c>
      <c r="K103" s="62">
        <f>IFERROR(aurora_data!J95,0)</f>
        <v>0</v>
      </c>
      <c r="L103" s="62">
        <f>IFERROR(aurora_data!K95,0)</f>
        <v>1</v>
      </c>
      <c r="M103" s="62">
        <f>IFERROR(aurora_data!L95,0)</f>
        <v>0</v>
      </c>
      <c r="N103" s="63">
        <f>IFERROR(aurora_data!M95,0)</f>
        <v>0</v>
      </c>
      <c r="O103" s="36">
        <f>IFERROR(aurora_data!N95,0)</f>
        <v>0</v>
      </c>
      <c r="P103" s="62">
        <f>IFERROR(aurora_data!O95,0)</f>
        <v>0</v>
      </c>
      <c r="Q103" s="62">
        <f>IFERROR(aurora_data!P95,0)</f>
        <v>0</v>
      </c>
      <c r="R103" s="63">
        <f>IFERROR(aurora_data!Q95,0)</f>
        <v>1</v>
      </c>
      <c r="S103" s="62">
        <f>IFERROR(aurora_data!R95,0)</f>
        <v>0</v>
      </c>
      <c r="T103" s="62">
        <f>IFERROR(aurora_data!S95,0)</f>
        <v>1</v>
      </c>
      <c r="U103" s="63">
        <f>IFERROR(aurora_data!T95,0)</f>
        <v>0</v>
      </c>
      <c r="V103" s="64" t="s">
        <v>95</v>
      </c>
      <c r="W103" s="36">
        <f>IFERROR(aurora_data!U95,0)</f>
        <v>1</v>
      </c>
      <c r="X103" s="71">
        <f t="shared" si="11"/>
        <v>2.2727272727272728E-2</v>
      </c>
      <c r="Y103" s="2"/>
    </row>
    <row r="104" spans="1:25" customFormat="1" ht="16.5" customHeight="1">
      <c r="A104" s="2"/>
      <c r="B104" s="207"/>
      <c r="C104" s="209"/>
      <c r="D104" s="35" t="s">
        <v>98</v>
      </c>
      <c r="E104" s="36">
        <f>IFERROR(aurora_data!D96,0)</f>
        <v>1</v>
      </c>
      <c r="F104" s="62">
        <f>IFERROR(aurora_data!E96,0)</f>
        <v>1</v>
      </c>
      <c r="G104" s="62">
        <f>IFERROR(aurora_data!F96,0)</f>
        <v>2</v>
      </c>
      <c r="H104" s="62">
        <f>IFERROR(aurora_data!G96,0)</f>
        <v>0</v>
      </c>
      <c r="I104" s="63">
        <f>IFERROR(aurora_data!H96,0)</f>
        <v>0</v>
      </c>
      <c r="J104" s="36">
        <f>IFERROR(aurora_data!I96,0)</f>
        <v>1</v>
      </c>
      <c r="K104" s="62">
        <f>IFERROR(aurora_data!J96,0)</f>
        <v>0</v>
      </c>
      <c r="L104" s="62">
        <f>IFERROR(aurora_data!K96,0)</f>
        <v>3</v>
      </c>
      <c r="M104" s="62">
        <f>IFERROR(aurora_data!L96,0)</f>
        <v>0</v>
      </c>
      <c r="N104" s="63">
        <f>IFERROR(aurora_data!M96,0)</f>
        <v>0</v>
      </c>
      <c r="O104" s="36">
        <f>IFERROR(aurora_data!N96,0)</f>
        <v>1</v>
      </c>
      <c r="P104" s="62">
        <f>IFERROR(aurora_data!O96,0)</f>
        <v>2</v>
      </c>
      <c r="Q104" s="62">
        <f>IFERROR(aurora_data!P96,0)</f>
        <v>1</v>
      </c>
      <c r="R104" s="63">
        <f>IFERROR(aurora_data!Q96,0)</f>
        <v>0</v>
      </c>
      <c r="S104" s="62">
        <f>IFERROR(aurora_data!R96,0)</f>
        <v>0</v>
      </c>
      <c r="T104" s="62">
        <f>IFERROR(aurora_data!S96,0)</f>
        <v>4</v>
      </c>
      <c r="U104" s="63">
        <f>IFERROR(aurora_data!T96,0)</f>
        <v>0</v>
      </c>
      <c r="V104" s="64" t="s">
        <v>95</v>
      </c>
      <c r="W104" s="36">
        <f>IFERROR(aurora_data!U96,0)</f>
        <v>4</v>
      </c>
      <c r="X104" s="71">
        <f t="shared" si="11"/>
        <v>9.0909090909090912E-2</v>
      </c>
      <c r="Y104" s="2"/>
    </row>
    <row r="105" spans="1:25" customFormat="1" ht="16.5" customHeight="1" thickBot="1">
      <c r="A105" s="2"/>
      <c r="B105" s="207"/>
      <c r="C105" s="209"/>
      <c r="D105" s="35" t="s">
        <v>99</v>
      </c>
      <c r="E105" s="36">
        <f>IFERROR(aurora_data!D97,0)</f>
        <v>0</v>
      </c>
      <c r="F105" s="62">
        <f>IFERROR(aurora_data!E97,0)</f>
        <v>0</v>
      </c>
      <c r="G105" s="62">
        <f>IFERROR(aurora_data!F97,0)</f>
        <v>0</v>
      </c>
      <c r="H105" s="62">
        <f>IFERROR(aurora_data!G97,0)</f>
        <v>0</v>
      </c>
      <c r="I105" s="63">
        <f>IFERROR(aurora_data!H97,0)</f>
        <v>0</v>
      </c>
      <c r="J105" s="36">
        <f>IFERROR(aurora_data!I97,0)</f>
        <v>0</v>
      </c>
      <c r="K105" s="62">
        <f>IFERROR(aurora_data!J97,0)</f>
        <v>0</v>
      </c>
      <c r="L105" s="62">
        <f>IFERROR(aurora_data!K97,0)</f>
        <v>0</v>
      </c>
      <c r="M105" s="62">
        <f>IFERROR(aurora_data!L97,0)</f>
        <v>0</v>
      </c>
      <c r="N105" s="63">
        <f>IFERROR(aurora_data!M97,0)</f>
        <v>0</v>
      </c>
      <c r="O105" s="36">
        <f>IFERROR(aurora_data!N97,0)</f>
        <v>0</v>
      </c>
      <c r="P105" s="62">
        <f>IFERROR(aurora_data!O97,0)</f>
        <v>0</v>
      </c>
      <c r="Q105" s="62">
        <f>IFERROR(aurora_data!P97,0)</f>
        <v>0</v>
      </c>
      <c r="R105" s="63">
        <f>IFERROR(aurora_data!Q97,0)</f>
        <v>0</v>
      </c>
      <c r="S105" s="62">
        <f>IFERROR(aurora_data!R97,0)</f>
        <v>0</v>
      </c>
      <c r="T105" s="62">
        <f>IFERROR(aurora_data!S97,0)</f>
        <v>0</v>
      </c>
      <c r="U105" s="63">
        <f>IFERROR(aurora_data!T97,0)</f>
        <v>0</v>
      </c>
      <c r="V105" s="64" t="s">
        <v>95</v>
      </c>
      <c r="W105" s="36">
        <f>IFERROR(aurora_data!U97,0)</f>
        <v>0</v>
      </c>
      <c r="X105" s="71">
        <f t="shared" si="11"/>
        <v>0</v>
      </c>
      <c r="Y105" s="2"/>
    </row>
    <row r="106" spans="1:25" customFormat="1" ht="16.5" customHeight="1" thickBot="1">
      <c r="A106" s="2"/>
      <c r="B106" s="207"/>
      <c r="C106" s="209"/>
      <c r="D106" s="37" t="s">
        <v>64</v>
      </c>
      <c r="E106" s="59">
        <f>IFERROR(aurora_data!D98,0)</f>
        <v>2</v>
      </c>
      <c r="F106" s="65">
        <f>IFERROR(aurora_data!E98,0)</f>
        <v>4</v>
      </c>
      <c r="G106" s="65">
        <f>IFERROR(aurora_data!F98,0)</f>
        <v>5</v>
      </c>
      <c r="H106" s="65">
        <f>IFERROR(aurora_data!G98,0)</f>
        <v>10</v>
      </c>
      <c r="I106" s="66">
        <f>IFERROR(aurora_data!H98,0)</f>
        <v>1</v>
      </c>
      <c r="J106" s="59">
        <f>IFERROR(aurora_data!I98,0)</f>
        <v>3</v>
      </c>
      <c r="K106" s="65">
        <f>IFERROR(aurora_data!J98,0)</f>
        <v>3</v>
      </c>
      <c r="L106" s="65">
        <f>IFERROR(aurora_data!K98,0)</f>
        <v>11</v>
      </c>
      <c r="M106" s="65">
        <f>IFERROR(aurora_data!L98,0)</f>
        <v>1</v>
      </c>
      <c r="N106" s="66">
        <f>IFERROR(aurora_data!M98,0)</f>
        <v>4</v>
      </c>
      <c r="O106" s="59">
        <f>IFERROR(aurora_data!N98,0)</f>
        <v>6</v>
      </c>
      <c r="P106" s="65">
        <f>IFERROR(aurora_data!O98,0)</f>
        <v>3</v>
      </c>
      <c r="Q106" s="65">
        <f>IFERROR(aurora_data!P98,0)</f>
        <v>8</v>
      </c>
      <c r="R106" s="66">
        <f>IFERROR(aurora_data!Q98,0)</f>
        <v>5</v>
      </c>
      <c r="S106" s="65">
        <f>IFERROR(aurora_data!R98,0)</f>
        <v>3</v>
      </c>
      <c r="T106" s="65">
        <f>IFERROR(aurora_data!S98,0)</f>
        <v>19</v>
      </c>
      <c r="U106" s="66">
        <f>IFERROR(aurora_data!T98,0)</f>
        <v>0</v>
      </c>
      <c r="V106" s="67" t="s">
        <v>95</v>
      </c>
      <c r="W106" s="59">
        <f>IFERROR(aurora_data!U98,0)</f>
        <v>22</v>
      </c>
      <c r="X106" s="72">
        <f t="shared" si="11"/>
        <v>0.5</v>
      </c>
      <c r="Y106" s="2"/>
    </row>
    <row r="107" spans="1:25" customFormat="1" ht="16.5" customHeight="1" thickBot="1">
      <c r="A107" s="2"/>
      <c r="B107" s="207"/>
      <c r="C107" s="209"/>
      <c r="D107" s="38" t="s">
        <v>100</v>
      </c>
      <c r="E107" s="60">
        <f>IFERROR(aurora_data!D99,0)</f>
        <v>0</v>
      </c>
      <c r="F107" s="68">
        <f>IFERROR(aurora_data!E99,0)</f>
        <v>0</v>
      </c>
      <c r="G107" s="68">
        <f>IFERROR(aurora_data!F99,0)</f>
        <v>0</v>
      </c>
      <c r="H107" s="68">
        <f>IFERROR(aurora_data!G99,0)</f>
        <v>1</v>
      </c>
      <c r="I107" s="69">
        <f>IFERROR(aurora_data!H99,0)</f>
        <v>0</v>
      </c>
      <c r="J107" s="60">
        <f>IFERROR(aurora_data!I99,0)</f>
        <v>0</v>
      </c>
      <c r="K107" s="68">
        <f>IFERROR(aurora_data!J99,0)</f>
        <v>0</v>
      </c>
      <c r="L107" s="68">
        <f>IFERROR(aurora_data!K99,0)</f>
        <v>0</v>
      </c>
      <c r="M107" s="68">
        <f>IFERROR(aurora_data!L99,0)</f>
        <v>0</v>
      </c>
      <c r="N107" s="69">
        <f>IFERROR(aurora_data!M99,0)</f>
        <v>1</v>
      </c>
      <c r="O107" s="60">
        <f>IFERROR(aurora_data!N99,0)</f>
        <v>0</v>
      </c>
      <c r="P107" s="68">
        <f>IFERROR(aurora_data!O99,0)</f>
        <v>0</v>
      </c>
      <c r="Q107" s="68">
        <f>IFERROR(aurora_data!P99,0)</f>
        <v>1</v>
      </c>
      <c r="R107" s="69">
        <f>IFERROR(aurora_data!Q99,0)</f>
        <v>0</v>
      </c>
      <c r="S107" s="68">
        <f>IFERROR(aurora_data!R99,0)</f>
        <v>1</v>
      </c>
      <c r="T107" s="68">
        <f>IFERROR(aurora_data!S99,0)</f>
        <v>0</v>
      </c>
      <c r="U107" s="74">
        <f>IFERROR(aurora_data!T99,0)</f>
        <v>0</v>
      </c>
      <c r="V107" s="75" t="s">
        <v>95</v>
      </c>
      <c r="W107" s="60">
        <f>IFERROR(aurora_data!U99,0)</f>
        <v>1</v>
      </c>
      <c r="X107" s="73">
        <f t="shared" si="11"/>
        <v>2.2727272727272728E-2</v>
      </c>
      <c r="Y107" s="2"/>
    </row>
    <row r="108" spans="1:25" ht="16.5" customHeight="1">
      <c r="B108" s="97"/>
      <c r="C108" s="97"/>
    </row>
  </sheetData>
  <mergeCells count="46">
    <mergeCell ref="C68:C75"/>
    <mergeCell ref="B76:B83"/>
    <mergeCell ref="C76:C83"/>
    <mergeCell ref="B12:B19"/>
    <mergeCell ref="C12:C19"/>
    <mergeCell ref="C28:C35"/>
    <mergeCell ref="B36:B43"/>
    <mergeCell ref="C36:C43"/>
    <mergeCell ref="B100:B107"/>
    <mergeCell ref="C100:C107"/>
    <mergeCell ref="B20:B27"/>
    <mergeCell ref="C20:C27"/>
    <mergeCell ref="B28:B35"/>
    <mergeCell ref="B52:B59"/>
    <mergeCell ref="C52:C59"/>
    <mergeCell ref="B44:B51"/>
    <mergeCell ref="C44:C51"/>
    <mergeCell ref="B84:B91"/>
    <mergeCell ref="C84:C91"/>
    <mergeCell ref="B92:B99"/>
    <mergeCell ref="C92:C99"/>
    <mergeCell ref="B60:B67"/>
    <mergeCell ref="C60:C67"/>
    <mergeCell ref="B68:B75"/>
    <mergeCell ref="B8:D8"/>
    <mergeCell ref="E8:U8"/>
    <mergeCell ref="W8:X11"/>
    <mergeCell ref="B9:C9"/>
    <mergeCell ref="E9:I9"/>
    <mergeCell ref="J9:N9"/>
    <mergeCell ref="O9:R9"/>
    <mergeCell ref="S9:U9"/>
    <mergeCell ref="B10:B11"/>
    <mergeCell ref="E10:I10"/>
    <mergeCell ref="J10:N10"/>
    <mergeCell ref="O10:R10"/>
    <mergeCell ref="S10:U10"/>
    <mergeCell ref="A1:C1"/>
    <mergeCell ref="D1:H1"/>
    <mergeCell ref="A2:C2"/>
    <mergeCell ref="D2:H2"/>
    <mergeCell ref="K2:X6"/>
    <mergeCell ref="D3:E3"/>
    <mergeCell ref="F3:H3"/>
    <mergeCell ref="D5:G5"/>
    <mergeCell ref="D6:H6"/>
  </mergeCells>
  <conditionalFormatting sqref="E13:W13">
    <cfRule type="expression" dxfId="311" priority="22">
      <formula>ROUND(E$13,0) &gt;= ROUND(E$12,0)</formula>
    </cfRule>
  </conditionalFormatting>
  <conditionalFormatting sqref="E18:W18">
    <cfRule type="expression" dxfId="310" priority="23">
      <formula>ROUND(E$18,0) &lt; ROUND(E$12,0)</formula>
    </cfRule>
  </conditionalFormatting>
  <conditionalFormatting sqref="E21:W21">
    <cfRule type="expression" dxfId="309" priority="19">
      <formula>ROUND(E$13,0) &gt;= ROUND(E$12,0)</formula>
    </cfRule>
  </conditionalFormatting>
  <conditionalFormatting sqref="E26:W26">
    <cfRule type="expression" dxfId="308" priority="20">
      <formula>ROUND(E$18,0) &lt; ROUND(E$12,0)</formula>
    </cfRule>
  </conditionalFormatting>
  <conditionalFormatting sqref="E29:W29">
    <cfRule type="expression" dxfId="307" priority="17">
      <formula>ROUND(E$13,0) &gt;= ROUND(E$12,0)</formula>
    </cfRule>
  </conditionalFormatting>
  <conditionalFormatting sqref="E34:W34">
    <cfRule type="expression" dxfId="306" priority="18">
      <formula>ROUND(E$18,0) &lt; ROUND(E$12,0)</formula>
    </cfRule>
  </conditionalFormatting>
  <conditionalFormatting sqref="E37:W37">
    <cfRule type="expression" dxfId="305" priority="15">
      <formula>ROUND(E$13,0) &gt;= ROUND(E$12,0)</formula>
    </cfRule>
  </conditionalFormatting>
  <conditionalFormatting sqref="E42:W42">
    <cfRule type="expression" dxfId="304" priority="16">
      <formula>ROUND(E$18,0) &lt; ROUND(E$12,0)</formula>
    </cfRule>
  </conditionalFormatting>
  <conditionalFormatting sqref="E45:W45">
    <cfRule type="expression" dxfId="303" priority="13">
      <formula>ROUND(E$13,0) &gt;= ROUND(E$12,0)</formula>
    </cfRule>
  </conditionalFormatting>
  <conditionalFormatting sqref="E50:W50">
    <cfRule type="expression" dxfId="302" priority="14">
      <formula>ROUND(E$18,0) &lt; ROUND(E$12,0)</formula>
    </cfRule>
  </conditionalFormatting>
  <conditionalFormatting sqref="E53:W53">
    <cfRule type="expression" dxfId="301" priority="11">
      <formula>ROUND(E$13,0) &gt;= ROUND(E$12,0)</formula>
    </cfRule>
  </conditionalFormatting>
  <conditionalFormatting sqref="E58:W58">
    <cfRule type="expression" dxfId="300" priority="12">
      <formula>ROUND(E$18,0) &lt; ROUND(E$12,0)</formula>
    </cfRule>
  </conditionalFormatting>
  <conditionalFormatting sqref="E61:W61">
    <cfRule type="expression" dxfId="299" priority="9">
      <formula>ROUND(E$13,0) &gt;= ROUND(E$12,0)</formula>
    </cfRule>
  </conditionalFormatting>
  <conditionalFormatting sqref="E66:W66">
    <cfRule type="expression" dxfId="298" priority="10">
      <formula>ROUND(E$18,0) &lt; ROUND(E$12,0)</formula>
    </cfRule>
  </conditionalFormatting>
  <conditionalFormatting sqref="E69:W69">
    <cfRule type="expression" dxfId="297" priority="7">
      <formula>ROUND(E$13,0) &gt;= ROUND(E$12,0)</formula>
    </cfRule>
  </conditionalFormatting>
  <conditionalFormatting sqref="E74:W74">
    <cfRule type="expression" dxfId="296" priority="8">
      <formula>ROUND(E$18,0) &lt; ROUND(E$12,0)</formula>
    </cfRule>
  </conditionalFormatting>
  <conditionalFormatting sqref="E77:W77">
    <cfRule type="expression" dxfId="295" priority="5">
      <formula>ROUND(E$13,0) &gt;= ROUND(E$12,0)</formula>
    </cfRule>
  </conditionalFormatting>
  <conditionalFormatting sqref="E82:W82">
    <cfRule type="expression" dxfId="294" priority="6">
      <formula>ROUND(E$18,0) &lt; ROUND(E$12,0)</formula>
    </cfRule>
  </conditionalFormatting>
  <conditionalFormatting sqref="E85:W85">
    <cfRule type="expression" dxfId="293" priority="3">
      <formula>ROUND(E$13,0) &gt;= ROUND(E$12,0)</formula>
    </cfRule>
  </conditionalFormatting>
  <conditionalFormatting sqref="E90:W90">
    <cfRule type="expression" dxfId="292" priority="4">
      <formula>ROUND(E$18,0) &lt; ROUND(E$12,0)</formula>
    </cfRule>
  </conditionalFormatting>
  <conditionalFormatting sqref="E93:W93">
    <cfRule type="expression" dxfId="291" priority="1">
      <formula>ROUND(E$13,0) &gt;= ROUND(E$12,0)</formula>
    </cfRule>
  </conditionalFormatting>
  <conditionalFormatting sqref="E98:W98">
    <cfRule type="expression" dxfId="290" priority="2">
      <formula>ROUND(E$18,0) &lt; ROUND(E$12,0)</formula>
    </cfRule>
  </conditionalFormatting>
  <conditionalFormatting sqref="E101:W101">
    <cfRule type="expression" dxfId="289" priority="21">
      <formula>ROUND(E$101,0) &gt;= ROUND(E$100,0)</formula>
    </cfRule>
  </conditionalFormatting>
  <conditionalFormatting sqref="E106:W106">
    <cfRule type="expression" dxfId="288" priority="24">
      <formula>ROUND(E$106,0) &lt; ROUND(E$100,0)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6286AA-62C3-42A0-8112-5152D7F23D24}">
  <sheetPr>
    <tabColor rgb="FF00BBFF"/>
  </sheetPr>
  <dimension ref="A1:Y108"/>
  <sheetViews>
    <sheetView zoomScale="85" zoomScaleNormal="85" workbookViewId="0">
      <selection sqref="A1:C1"/>
    </sheetView>
  </sheetViews>
  <sheetFormatPr defaultColWidth="2.625" defaultRowHeight="15.75"/>
  <cols>
    <col min="1" max="1" width="1.375" style="2" customWidth="1"/>
    <col min="2" max="2" width="10.875" style="2" customWidth="1"/>
    <col min="3" max="3" width="15.625" style="2" customWidth="1"/>
    <col min="4" max="4" width="22.625" style="4" customWidth="1"/>
    <col min="5" max="8" width="7.625" style="4" customWidth="1"/>
    <col min="9" max="9" width="6.625" style="4" hidden="1" customWidth="1"/>
    <col min="10" max="21" width="7.625" style="4" customWidth="1"/>
    <col min="22" max="22" width="0.625" style="2" customWidth="1"/>
    <col min="23" max="24" width="5.875" style="2" customWidth="1"/>
    <col min="25" max="25" width="12.5" style="2" customWidth="1"/>
    <col min="26" max="26" width="2.625" style="2" customWidth="1"/>
    <col min="27" max="64" width="7.625" style="2" customWidth="1"/>
    <col min="65" max="16323" width="2.625" style="2"/>
    <col min="16324" max="16324" width="1.375" style="2" customWidth="1"/>
    <col min="16325" max="16325" width="2.625" style="2" customWidth="1"/>
    <col min="16326" max="16326" width="3.5" style="2" customWidth="1"/>
    <col min="16327" max="16327" width="1" style="2" customWidth="1"/>
    <col min="16328" max="16328" width="0.875" style="2" customWidth="1"/>
    <col min="16329" max="16329" width="2.375" style="2" customWidth="1"/>
    <col min="16330" max="16384" width="20.375" style="2" customWidth="1"/>
  </cols>
  <sheetData>
    <row r="1" spans="1:25" customFormat="1" ht="25.5" customHeight="1">
      <c r="A1" s="151" t="s">
        <v>77</v>
      </c>
      <c r="B1" s="152"/>
      <c r="C1" s="153"/>
      <c r="D1" s="154" t="s">
        <v>78</v>
      </c>
      <c r="E1" s="155"/>
      <c r="F1" s="155"/>
      <c r="G1" s="155"/>
      <c r="H1" s="156"/>
      <c r="I1" s="98"/>
      <c r="J1" s="88"/>
      <c r="K1" s="100"/>
      <c r="L1" s="100"/>
      <c r="M1" s="100"/>
      <c r="N1" s="100" t="s">
        <v>79</v>
      </c>
      <c r="O1" s="100"/>
      <c r="P1" s="100"/>
      <c r="Q1" s="100"/>
      <c r="R1" s="100"/>
      <c r="S1" s="100"/>
      <c r="T1" s="100"/>
      <c r="U1" s="100"/>
      <c r="V1" s="100"/>
      <c r="W1" s="100"/>
      <c r="X1" s="106"/>
      <c r="Y1" s="108"/>
    </row>
    <row r="2" spans="1:25" customFormat="1" ht="31.5" customHeight="1">
      <c r="A2" s="157" t="s">
        <v>80</v>
      </c>
      <c r="B2" s="157"/>
      <c r="C2" s="158"/>
      <c r="D2" s="159" t="str">
        <f>_xlfn.CONCAT("Study Name: ","
OSEP – Autism - Digital")</f>
        <v>Study Name: 
OSEP – Autism - Digital</v>
      </c>
      <c r="E2" s="160"/>
      <c r="F2" s="160"/>
      <c r="G2" s="160"/>
      <c r="H2" s="161"/>
      <c r="I2" s="4"/>
      <c r="J2" s="4"/>
      <c r="K2" s="162" t="s">
        <v>81</v>
      </c>
      <c r="L2" s="163"/>
      <c r="M2" s="163"/>
      <c r="N2" s="163"/>
      <c r="O2" s="163"/>
      <c r="P2" s="163"/>
      <c r="Q2" s="163"/>
      <c r="R2" s="163"/>
      <c r="S2" s="163"/>
      <c r="T2" s="163"/>
      <c r="U2" s="163"/>
      <c r="V2" s="163"/>
      <c r="W2" s="163"/>
      <c r="X2" s="164"/>
      <c r="Y2" s="103"/>
    </row>
    <row r="3" spans="1:25" customFormat="1" ht="30.75" customHeight="1" thickBot="1">
      <c r="A3" s="2"/>
      <c r="B3" s="2"/>
      <c r="C3" s="2"/>
      <c r="D3" s="169" t="str">
        <f>_xlfn.CONCAT("Study Acronym: ","
OSEP_AUT_D")</f>
        <v>Study Acronym: 
OSEP_AUT_D</v>
      </c>
      <c r="E3" s="170"/>
      <c r="F3" s="171" t="s">
        <v>262</v>
      </c>
      <c r="G3" s="172"/>
      <c r="H3" s="173"/>
      <c r="I3" s="4"/>
      <c r="J3" s="4"/>
      <c r="K3" s="165"/>
      <c r="L3" s="163"/>
      <c r="M3" s="163"/>
      <c r="N3" s="163"/>
      <c r="O3" s="163"/>
      <c r="P3" s="163"/>
      <c r="Q3" s="163"/>
      <c r="R3" s="163"/>
      <c r="S3" s="163"/>
      <c r="T3" s="163"/>
      <c r="U3" s="163"/>
      <c r="V3" s="163"/>
      <c r="W3" s="163"/>
      <c r="X3" s="164"/>
      <c r="Y3" s="103"/>
    </row>
    <row r="4" spans="1:25" customFormat="1" ht="16.5" customHeight="1">
      <c r="A4" s="2"/>
      <c r="B4" s="24"/>
      <c r="C4" s="2"/>
      <c r="D4" s="2"/>
      <c r="E4" s="25"/>
      <c r="F4" s="25"/>
      <c r="G4" s="25"/>
      <c r="H4" s="25"/>
      <c r="I4" s="25"/>
      <c r="J4" s="25"/>
      <c r="K4" s="165"/>
      <c r="L4" s="163"/>
      <c r="M4" s="163"/>
      <c r="N4" s="163"/>
      <c r="O4" s="163"/>
      <c r="P4" s="163"/>
      <c r="Q4" s="163"/>
      <c r="R4" s="163"/>
      <c r="S4" s="163"/>
      <c r="T4" s="163"/>
      <c r="U4" s="163"/>
      <c r="V4" s="163"/>
      <c r="W4" s="163"/>
      <c r="X4" s="164"/>
      <c r="Y4" s="104"/>
    </row>
    <row r="5" spans="1:25" customFormat="1" ht="21.95" customHeight="1" thickBot="1">
      <c r="A5" s="2"/>
      <c r="B5" s="2"/>
      <c r="C5" s="102"/>
      <c r="D5" s="154" t="s">
        <v>82</v>
      </c>
      <c r="E5" s="155"/>
      <c r="F5" s="155"/>
      <c r="G5" s="155"/>
      <c r="H5" s="101"/>
      <c r="I5" s="98"/>
      <c r="J5" s="98"/>
      <c r="K5" s="165"/>
      <c r="L5" s="163"/>
      <c r="M5" s="163"/>
      <c r="N5" s="163"/>
      <c r="O5" s="163"/>
      <c r="P5" s="163"/>
      <c r="Q5" s="163"/>
      <c r="R5" s="163"/>
      <c r="S5" s="163"/>
      <c r="T5" s="163"/>
      <c r="U5" s="163"/>
      <c r="V5" s="163"/>
      <c r="W5" s="163"/>
      <c r="X5" s="164"/>
      <c r="Y5" s="105"/>
    </row>
    <row r="6" spans="1:25" customFormat="1" ht="60.95" customHeight="1" thickBot="1">
      <c r="A6" s="2"/>
      <c r="B6" s="2"/>
      <c r="C6" s="99"/>
      <c r="D6" s="174" t="s">
        <v>101</v>
      </c>
      <c r="E6" s="175"/>
      <c r="F6" s="175"/>
      <c r="G6" s="175"/>
      <c r="H6" s="176"/>
      <c r="I6" s="124"/>
      <c r="J6" s="125"/>
      <c r="K6" s="166"/>
      <c r="L6" s="167"/>
      <c r="M6" s="167"/>
      <c r="N6" s="167"/>
      <c r="O6" s="167"/>
      <c r="P6" s="167"/>
      <c r="Q6" s="167"/>
      <c r="R6" s="167"/>
      <c r="S6" s="167"/>
      <c r="T6" s="167"/>
      <c r="U6" s="167"/>
      <c r="V6" s="167"/>
      <c r="W6" s="167"/>
      <c r="X6" s="168"/>
      <c r="Y6" s="107"/>
    </row>
    <row r="7" spans="1:25" customFormat="1" ht="16.5" customHeight="1" thickBot="1">
      <c r="A7" s="2"/>
      <c r="B7" s="3"/>
      <c r="C7" s="26"/>
      <c r="D7" s="27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8"/>
      <c r="W7" s="3"/>
      <c r="X7" s="3"/>
      <c r="Y7" s="2"/>
    </row>
    <row r="8" spans="1:25" customFormat="1">
      <c r="A8" s="2"/>
      <c r="B8" s="177" t="str">
        <f>_xlfn.CONCAT("Last Refreshed at: ",aurora_data!V132)</f>
        <v>Last Refreshed at: 09/17/2026 @ 7:20 AM</v>
      </c>
      <c r="C8" s="178"/>
      <c r="D8" s="178"/>
      <c r="E8" s="179" t="s">
        <v>83</v>
      </c>
      <c r="F8" s="180"/>
      <c r="G8" s="180"/>
      <c r="H8" s="180"/>
      <c r="I8" s="180"/>
      <c r="J8" s="180"/>
      <c r="K8" s="180"/>
      <c r="L8" s="180"/>
      <c r="M8" s="180"/>
      <c r="N8" s="180"/>
      <c r="O8" s="180"/>
      <c r="P8" s="180"/>
      <c r="Q8" s="180"/>
      <c r="R8" s="180"/>
      <c r="S8" s="180"/>
      <c r="T8" s="180"/>
      <c r="U8" s="181"/>
      <c r="V8" s="44"/>
      <c r="W8" s="182" t="s">
        <v>84</v>
      </c>
      <c r="X8" s="183"/>
      <c r="Y8" s="2"/>
    </row>
    <row r="9" spans="1:25" customFormat="1" ht="16.5" customHeight="1" thickBot="1">
      <c r="A9" s="2"/>
      <c r="B9" s="188"/>
      <c r="C9" s="189"/>
      <c r="D9" s="29" t="s">
        <v>85</v>
      </c>
      <c r="E9" s="190" t="s">
        <v>86</v>
      </c>
      <c r="F9" s="191"/>
      <c r="G9" s="191"/>
      <c r="H9" s="191"/>
      <c r="I9" s="191"/>
      <c r="J9" s="192" t="s">
        <v>86</v>
      </c>
      <c r="K9" s="193"/>
      <c r="L9" s="193"/>
      <c r="M9" s="193"/>
      <c r="N9" s="193"/>
      <c r="O9" s="194" t="s">
        <v>86</v>
      </c>
      <c r="P9" s="195"/>
      <c r="Q9" s="195"/>
      <c r="R9" s="195"/>
      <c r="S9" s="196" t="s">
        <v>86</v>
      </c>
      <c r="T9" s="197"/>
      <c r="U9" s="197"/>
      <c r="V9" s="28"/>
      <c r="W9" s="184"/>
      <c r="X9" s="185"/>
      <c r="Y9" s="2"/>
    </row>
    <row r="10" spans="1:25" customFormat="1" ht="17.25" thickTop="1" thickBot="1">
      <c r="A10" s="2"/>
      <c r="B10" s="198" t="s">
        <v>87</v>
      </c>
      <c r="C10" s="30"/>
      <c r="D10" s="31"/>
      <c r="E10" s="199" t="s">
        <v>88</v>
      </c>
      <c r="F10" s="200"/>
      <c r="G10" s="200"/>
      <c r="H10" s="200"/>
      <c r="I10" s="201"/>
      <c r="J10" s="200" t="s">
        <v>89</v>
      </c>
      <c r="K10" s="200"/>
      <c r="L10" s="200"/>
      <c r="M10" s="200"/>
      <c r="N10" s="201"/>
      <c r="O10" s="202" t="s">
        <v>90</v>
      </c>
      <c r="P10" s="202"/>
      <c r="Q10" s="202"/>
      <c r="R10" s="202"/>
      <c r="S10" s="203" t="s">
        <v>91</v>
      </c>
      <c r="T10" s="204"/>
      <c r="U10" s="205"/>
      <c r="V10" s="32"/>
      <c r="W10" s="184"/>
      <c r="X10" s="185"/>
      <c r="Y10" s="2"/>
    </row>
    <row r="11" spans="1:25" customFormat="1" ht="17.25" thickTop="1" thickBot="1">
      <c r="A11" s="2"/>
      <c r="B11" s="198"/>
      <c r="C11" s="30" t="s">
        <v>35</v>
      </c>
      <c r="D11" s="33" t="s">
        <v>37</v>
      </c>
      <c r="E11" s="96">
        <v>1</v>
      </c>
      <c r="F11" s="94">
        <v>2</v>
      </c>
      <c r="G11" s="95" t="s">
        <v>40</v>
      </c>
      <c r="H11" s="95">
        <v>4</v>
      </c>
      <c r="I11" s="95">
        <v>5</v>
      </c>
      <c r="J11" s="89" t="s">
        <v>43</v>
      </c>
      <c r="K11" s="89" t="s">
        <v>44</v>
      </c>
      <c r="L11" s="89" t="s">
        <v>45</v>
      </c>
      <c r="M11" s="93" t="s">
        <v>92</v>
      </c>
      <c r="N11" s="93" t="s">
        <v>47</v>
      </c>
      <c r="O11" s="89" t="s">
        <v>48</v>
      </c>
      <c r="P11" s="89" t="s">
        <v>49</v>
      </c>
      <c r="Q11" s="89" t="s">
        <v>50</v>
      </c>
      <c r="R11" s="89" t="s">
        <v>51</v>
      </c>
      <c r="S11" s="90" t="s">
        <v>52</v>
      </c>
      <c r="T11" s="91" t="s">
        <v>53</v>
      </c>
      <c r="U11" s="92" t="s">
        <v>93</v>
      </c>
      <c r="V11" s="28"/>
      <c r="W11" s="186"/>
      <c r="X11" s="187"/>
      <c r="Y11" s="2"/>
    </row>
    <row r="12" spans="1:25" customFormat="1">
      <c r="A12" s="2"/>
      <c r="B12" s="210" t="s">
        <v>94</v>
      </c>
      <c r="C12" s="212" t="str">
        <f>aurora_data!A132</f>
        <v>06.00.00-06.11.30</v>
      </c>
      <c r="D12" s="34" t="s">
        <v>71</v>
      </c>
      <c r="E12" s="39">
        <f>IFERROR(aurora_data!D132,0)</f>
        <v>0</v>
      </c>
      <c r="F12" s="40">
        <f>IFERROR(aurora_data!E132,0)</f>
        <v>0</v>
      </c>
      <c r="G12" s="40">
        <f>IFERROR(aurora_data!F132,0)</f>
        <v>0</v>
      </c>
      <c r="H12" s="40">
        <f>IFERROR(aurora_data!G132,0)</f>
        <v>0</v>
      </c>
      <c r="I12" s="41">
        <f>IFERROR(aurora_data!H132,0)</f>
        <v>0</v>
      </c>
      <c r="J12" s="39">
        <f>IFERROR(aurora_data!I132,0)</f>
        <v>0</v>
      </c>
      <c r="K12" s="40">
        <f>IFERROR(aurora_data!J132,0)</f>
        <v>0</v>
      </c>
      <c r="L12" s="40">
        <f>IFERROR(aurora_data!K132,0)</f>
        <v>0</v>
      </c>
      <c r="M12" s="40">
        <f>IFERROR(aurora_data!L132,0)</f>
        <v>0</v>
      </c>
      <c r="N12" s="41">
        <f>IFERROR(aurora_data!M132,0)</f>
        <v>0</v>
      </c>
      <c r="O12" s="39">
        <f>IFERROR(aurora_data!N132,0)</f>
        <v>0</v>
      </c>
      <c r="P12" s="40">
        <f>IFERROR(aurora_data!O132,0)</f>
        <v>0</v>
      </c>
      <c r="Q12" s="40">
        <f>IFERROR(aurora_data!P132,0)</f>
        <v>0</v>
      </c>
      <c r="R12" s="41">
        <f>IFERROR(aurora_data!Q132,0)</f>
        <v>0</v>
      </c>
      <c r="S12" s="40">
        <f>IFERROR(aurora_data!R132,0)</f>
        <v>0</v>
      </c>
      <c r="T12" s="40">
        <f>IFERROR(aurora_data!S132,0)</f>
        <v>0</v>
      </c>
      <c r="U12" s="76">
        <f>IFERROR(aurora_data!T132,0)</f>
        <v>0</v>
      </c>
      <c r="V12" s="61" t="s">
        <v>95</v>
      </c>
      <c r="W12" s="39">
        <f>IFERROR(aurora_data!U132,0)</f>
        <v>1</v>
      </c>
      <c r="X12" s="70">
        <f>IFERROR(W12/$W$12,0)</f>
        <v>1</v>
      </c>
      <c r="Y12" s="2"/>
    </row>
    <row r="13" spans="1:25" customFormat="1">
      <c r="A13" s="2"/>
      <c r="B13" s="211"/>
      <c r="C13" s="213"/>
      <c r="D13" s="35" t="s">
        <v>96</v>
      </c>
      <c r="E13" s="110">
        <f>IFERROR(aurora_data!D133,0)</f>
        <v>0</v>
      </c>
      <c r="F13" s="62">
        <f>IFERROR(aurora_data!E133,0)</f>
        <v>0</v>
      </c>
      <c r="G13" s="62">
        <f>IFERROR(aurora_data!F133,0)</f>
        <v>0</v>
      </c>
      <c r="H13" s="62">
        <f>IFERROR(aurora_data!G133,0)</f>
        <v>0</v>
      </c>
      <c r="I13" s="63">
        <f>IFERROR(aurora_data!H133,0)</f>
        <v>0</v>
      </c>
      <c r="J13" s="36">
        <f>IFERROR(aurora_data!I133,0)</f>
        <v>0</v>
      </c>
      <c r="K13" s="62">
        <f>IFERROR(aurora_data!J133,0)</f>
        <v>0</v>
      </c>
      <c r="L13" s="62">
        <f>IFERROR(aurora_data!K133,0)</f>
        <v>0</v>
      </c>
      <c r="M13" s="62">
        <f>IFERROR(aurora_data!L133,0)</f>
        <v>0</v>
      </c>
      <c r="N13" s="63">
        <f>IFERROR(aurora_data!M133,0)</f>
        <v>0</v>
      </c>
      <c r="O13" s="36">
        <f>IFERROR(aurora_data!N133,0)</f>
        <v>0</v>
      </c>
      <c r="P13" s="62">
        <f>IFERROR(aurora_data!O133,0)</f>
        <v>0</v>
      </c>
      <c r="Q13" s="62">
        <f>IFERROR(aurora_data!P133,0)</f>
        <v>0</v>
      </c>
      <c r="R13" s="63">
        <f>IFERROR(aurora_data!Q133,0)</f>
        <v>0</v>
      </c>
      <c r="S13" s="62">
        <f>IFERROR(aurora_data!R133,0)</f>
        <v>0</v>
      </c>
      <c r="T13" s="62">
        <f>IFERROR(aurora_data!S133,0)</f>
        <v>0</v>
      </c>
      <c r="U13" s="63">
        <f>IFERROR(aurora_data!T133,0)</f>
        <v>0</v>
      </c>
      <c r="V13" s="64" t="s">
        <v>95</v>
      </c>
      <c r="W13" s="36">
        <f>IFERROR(aurora_data!U133,0)</f>
        <v>0</v>
      </c>
      <c r="X13" s="71">
        <f t="shared" ref="X13:X19" si="0">IFERROR(W13/$W$12,0)</f>
        <v>0</v>
      </c>
      <c r="Y13" s="2"/>
    </row>
    <row r="14" spans="1:25" customFormat="1">
      <c r="A14" s="2"/>
      <c r="B14" s="211"/>
      <c r="C14" s="213"/>
      <c r="D14" s="35" t="s">
        <v>60</v>
      </c>
      <c r="E14" s="110">
        <f>IFERROR(aurora_data!D134,0)</f>
        <v>0</v>
      </c>
      <c r="F14" s="62">
        <f>IFERROR(aurora_data!E134,0)</f>
        <v>0</v>
      </c>
      <c r="G14" s="62">
        <f>IFERROR(aurora_data!F134,0)</f>
        <v>0</v>
      </c>
      <c r="H14" s="62">
        <f>IFERROR(aurora_data!G134,0)</f>
        <v>0</v>
      </c>
      <c r="I14" s="63">
        <f>IFERROR(aurora_data!H134,0)</f>
        <v>0</v>
      </c>
      <c r="J14" s="36">
        <f>IFERROR(aurora_data!I134,0)</f>
        <v>0</v>
      </c>
      <c r="K14" s="62">
        <f>IFERROR(aurora_data!J134,0)</f>
        <v>0</v>
      </c>
      <c r="L14" s="62">
        <f>IFERROR(aurora_data!K134,0)</f>
        <v>0</v>
      </c>
      <c r="M14" s="62">
        <f>IFERROR(aurora_data!L134,0)</f>
        <v>0</v>
      </c>
      <c r="N14" s="63">
        <f>IFERROR(aurora_data!M134,0)</f>
        <v>0</v>
      </c>
      <c r="O14" s="36">
        <f>IFERROR(aurora_data!N134,0)</f>
        <v>0</v>
      </c>
      <c r="P14" s="62">
        <f>IFERROR(aurora_data!O134,0)</f>
        <v>0</v>
      </c>
      <c r="Q14" s="62">
        <f>IFERROR(aurora_data!P134,0)</f>
        <v>0</v>
      </c>
      <c r="R14" s="63">
        <f>IFERROR(aurora_data!Q134,0)</f>
        <v>0</v>
      </c>
      <c r="S14" s="62">
        <f>IFERROR(aurora_data!R134,0)</f>
        <v>0</v>
      </c>
      <c r="T14" s="62">
        <f>IFERROR(aurora_data!S134,0)</f>
        <v>0</v>
      </c>
      <c r="U14" s="63">
        <f>IFERROR(aurora_data!T134,0)</f>
        <v>0</v>
      </c>
      <c r="V14" s="64" t="s">
        <v>95</v>
      </c>
      <c r="W14" s="36">
        <f>IFERROR(aurora_data!U134,0)</f>
        <v>0</v>
      </c>
      <c r="X14" s="71">
        <f t="shared" si="0"/>
        <v>0</v>
      </c>
      <c r="Y14" s="2"/>
    </row>
    <row r="15" spans="1:25" customFormat="1">
      <c r="A15" s="2"/>
      <c r="B15" s="211"/>
      <c r="C15" s="213"/>
      <c r="D15" s="35" t="s">
        <v>97</v>
      </c>
      <c r="E15" s="36">
        <f>IFERROR(aurora_data!D135,0)</f>
        <v>0</v>
      </c>
      <c r="F15" s="62">
        <f>IFERROR(aurora_data!E135,0)</f>
        <v>0</v>
      </c>
      <c r="G15" s="62">
        <f>IFERROR(aurora_data!F135,0)</f>
        <v>0</v>
      </c>
      <c r="H15" s="62">
        <f>IFERROR(aurora_data!G135,0)</f>
        <v>0</v>
      </c>
      <c r="I15" s="63">
        <f>IFERROR(aurora_data!H135,0)</f>
        <v>0</v>
      </c>
      <c r="J15" s="36">
        <f>IFERROR(aurora_data!I135,0)</f>
        <v>0</v>
      </c>
      <c r="K15" s="62">
        <f>IFERROR(aurora_data!J135,0)</f>
        <v>0</v>
      </c>
      <c r="L15" s="62">
        <f>IFERROR(aurora_data!K135,0)</f>
        <v>0</v>
      </c>
      <c r="M15" s="62">
        <f>IFERROR(aurora_data!L135,0)</f>
        <v>0</v>
      </c>
      <c r="N15" s="63">
        <f>IFERROR(aurora_data!M135,0)</f>
        <v>0</v>
      </c>
      <c r="O15" s="36">
        <f>IFERROR(aurora_data!N135,0)</f>
        <v>0</v>
      </c>
      <c r="P15" s="62">
        <f>IFERROR(aurora_data!O135,0)</f>
        <v>0</v>
      </c>
      <c r="Q15" s="62">
        <f>IFERROR(aurora_data!P135,0)</f>
        <v>0</v>
      </c>
      <c r="R15" s="63">
        <f>IFERROR(aurora_data!Q135,0)</f>
        <v>0</v>
      </c>
      <c r="S15" s="62">
        <f>IFERROR(aurora_data!R135,0)</f>
        <v>0</v>
      </c>
      <c r="T15" s="62">
        <f>IFERROR(aurora_data!S135,0)</f>
        <v>0</v>
      </c>
      <c r="U15" s="63">
        <f>IFERROR(aurora_data!T135,0)</f>
        <v>0</v>
      </c>
      <c r="V15" s="64" t="s">
        <v>95</v>
      </c>
      <c r="W15" s="36">
        <f>IFERROR(aurora_data!U135,0)</f>
        <v>0</v>
      </c>
      <c r="X15" s="71">
        <f t="shared" si="0"/>
        <v>0</v>
      </c>
      <c r="Y15" s="2"/>
    </row>
    <row r="16" spans="1:25" customFormat="1">
      <c r="A16" s="2"/>
      <c r="B16" s="211"/>
      <c r="C16" s="213"/>
      <c r="D16" s="35" t="s">
        <v>98</v>
      </c>
      <c r="E16" s="36">
        <f>IFERROR(aurora_data!D136,0)</f>
        <v>0</v>
      </c>
      <c r="F16" s="62">
        <f>IFERROR(aurora_data!E136,0)</f>
        <v>0</v>
      </c>
      <c r="G16" s="62">
        <f>IFERROR(aurora_data!F136,0)</f>
        <v>0</v>
      </c>
      <c r="H16" s="62">
        <f>IFERROR(aurora_data!G136,0)</f>
        <v>0</v>
      </c>
      <c r="I16" s="63">
        <f>IFERROR(aurora_data!H136,0)</f>
        <v>1</v>
      </c>
      <c r="J16" s="36">
        <f>IFERROR(aurora_data!I136,0)</f>
        <v>0</v>
      </c>
      <c r="K16" s="62">
        <f>IFERROR(aurora_data!J136,0)</f>
        <v>0</v>
      </c>
      <c r="L16" s="62">
        <f>IFERROR(aurora_data!K136,0)</f>
        <v>1</v>
      </c>
      <c r="M16" s="62">
        <f>IFERROR(aurora_data!L136,0)</f>
        <v>0</v>
      </c>
      <c r="N16" s="63">
        <f>IFERROR(aurora_data!M136,0)</f>
        <v>0</v>
      </c>
      <c r="O16" s="36">
        <f>IFERROR(aurora_data!N136,0)</f>
        <v>0</v>
      </c>
      <c r="P16" s="62">
        <f>IFERROR(aurora_data!O136,0)</f>
        <v>0</v>
      </c>
      <c r="Q16" s="62">
        <f>IFERROR(aurora_data!P136,0)</f>
        <v>1</v>
      </c>
      <c r="R16" s="63">
        <f>IFERROR(aurora_data!Q136,0)</f>
        <v>0</v>
      </c>
      <c r="S16" s="62">
        <f>IFERROR(aurora_data!R136,0)</f>
        <v>0</v>
      </c>
      <c r="T16" s="62">
        <f>IFERROR(aurora_data!S136,0)</f>
        <v>1</v>
      </c>
      <c r="U16" s="63">
        <f>IFERROR(aurora_data!T136,0)</f>
        <v>0</v>
      </c>
      <c r="V16" s="64" t="s">
        <v>95</v>
      </c>
      <c r="W16" s="36">
        <f>IFERROR(aurora_data!U136,0)</f>
        <v>1</v>
      </c>
      <c r="X16" s="71">
        <f t="shared" si="0"/>
        <v>1</v>
      </c>
      <c r="Y16" s="2"/>
    </row>
    <row r="17" spans="1:25" customFormat="1" ht="16.5" thickBot="1">
      <c r="A17" s="2"/>
      <c r="B17" s="211"/>
      <c r="C17" s="213"/>
      <c r="D17" s="35" t="s">
        <v>99</v>
      </c>
      <c r="E17" s="36">
        <f>IFERROR(aurora_data!D137,0)</f>
        <v>0</v>
      </c>
      <c r="F17" s="62">
        <f>IFERROR(aurora_data!E137,0)</f>
        <v>0</v>
      </c>
      <c r="G17" s="62">
        <f>IFERROR(aurora_data!F137,0)</f>
        <v>0</v>
      </c>
      <c r="H17" s="62">
        <f>IFERROR(aurora_data!G137,0)</f>
        <v>0</v>
      </c>
      <c r="I17" s="63">
        <f>IFERROR(aurora_data!H137,0)</f>
        <v>0</v>
      </c>
      <c r="J17" s="36">
        <f>IFERROR(aurora_data!I137,0)</f>
        <v>0</v>
      </c>
      <c r="K17" s="62">
        <f>IFERROR(aurora_data!J137,0)</f>
        <v>0</v>
      </c>
      <c r="L17" s="62">
        <f>IFERROR(aurora_data!K137,0)</f>
        <v>0</v>
      </c>
      <c r="M17" s="62">
        <f>IFERROR(aurora_data!L137,0)</f>
        <v>0</v>
      </c>
      <c r="N17" s="63">
        <f>IFERROR(aurora_data!M137,0)</f>
        <v>0</v>
      </c>
      <c r="O17" s="36">
        <f>IFERROR(aurora_data!N137,0)</f>
        <v>0</v>
      </c>
      <c r="P17" s="62">
        <f>IFERROR(aurora_data!O137,0)</f>
        <v>0</v>
      </c>
      <c r="Q17" s="62">
        <f>IFERROR(aurora_data!P137,0)</f>
        <v>0</v>
      </c>
      <c r="R17" s="63">
        <f>IFERROR(aurora_data!Q137,0)</f>
        <v>0</v>
      </c>
      <c r="S17" s="62">
        <f>IFERROR(aurora_data!R137,0)</f>
        <v>0</v>
      </c>
      <c r="T17" s="62">
        <f>IFERROR(aurora_data!S137,0)</f>
        <v>0</v>
      </c>
      <c r="U17" s="63">
        <f>IFERROR(aurora_data!T137,0)</f>
        <v>0</v>
      </c>
      <c r="V17" s="64" t="s">
        <v>95</v>
      </c>
      <c r="W17" s="36">
        <f>IFERROR(aurora_data!U137,0)</f>
        <v>0</v>
      </c>
      <c r="X17" s="71">
        <f t="shared" si="0"/>
        <v>0</v>
      </c>
      <c r="Y17" s="2"/>
    </row>
    <row r="18" spans="1:25" customFormat="1" ht="16.5" thickBot="1">
      <c r="A18" s="2"/>
      <c r="B18" s="211"/>
      <c r="C18" s="213"/>
      <c r="D18" s="37" t="s">
        <v>64</v>
      </c>
      <c r="E18" s="59">
        <f>IFERROR(aurora_data!D138,0)</f>
        <v>0</v>
      </c>
      <c r="F18" s="65">
        <f>IFERROR(aurora_data!E138,0)</f>
        <v>0</v>
      </c>
      <c r="G18" s="65">
        <f>IFERROR(aurora_data!F138,0)</f>
        <v>0</v>
      </c>
      <c r="H18" s="65">
        <f>IFERROR(aurora_data!G138,0)</f>
        <v>0</v>
      </c>
      <c r="I18" s="66">
        <f>IFERROR(aurora_data!H138,0)</f>
        <v>1</v>
      </c>
      <c r="J18" s="59">
        <f>IFERROR(aurora_data!I138,0)</f>
        <v>0</v>
      </c>
      <c r="K18" s="65">
        <f>IFERROR(aurora_data!J138,0)</f>
        <v>0</v>
      </c>
      <c r="L18" s="65">
        <f>IFERROR(aurora_data!K138,0)</f>
        <v>1</v>
      </c>
      <c r="M18" s="65">
        <f>IFERROR(aurora_data!L138,0)</f>
        <v>0</v>
      </c>
      <c r="N18" s="66">
        <f>IFERROR(aurora_data!M138,0)</f>
        <v>0</v>
      </c>
      <c r="O18" s="59">
        <f>IFERROR(aurora_data!N138,0)</f>
        <v>0</v>
      </c>
      <c r="P18" s="65">
        <f>IFERROR(aurora_data!O138,0)</f>
        <v>0</v>
      </c>
      <c r="Q18" s="65">
        <f>IFERROR(aurora_data!P138,0)</f>
        <v>1</v>
      </c>
      <c r="R18" s="66">
        <f>IFERROR(aurora_data!Q138,0)</f>
        <v>0</v>
      </c>
      <c r="S18" s="65">
        <f>IFERROR(aurora_data!R138,0)</f>
        <v>0</v>
      </c>
      <c r="T18" s="65">
        <f>IFERROR(aurora_data!S138,0)</f>
        <v>1</v>
      </c>
      <c r="U18" s="66">
        <f>IFERROR(aurora_data!T138,0)</f>
        <v>0</v>
      </c>
      <c r="V18" s="67" t="s">
        <v>95</v>
      </c>
      <c r="W18" s="59">
        <f>IFERROR(aurora_data!U138,0)</f>
        <v>1</v>
      </c>
      <c r="X18" s="72">
        <f t="shared" si="0"/>
        <v>1</v>
      </c>
      <c r="Y18" s="2"/>
    </row>
    <row r="19" spans="1:25" customFormat="1" ht="16.5" thickBot="1">
      <c r="A19" s="2"/>
      <c r="B19" s="211"/>
      <c r="C19" s="213"/>
      <c r="D19" s="38" t="s">
        <v>100</v>
      </c>
      <c r="E19" s="60">
        <f>IFERROR(aurora_data!D139,0)</f>
        <v>0</v>
      </c>
      <c r="F19" s="68">
        <f>IFERROR(aurora_data!E139,0)</f>
        <v>0</v>
      </c>
      <c r="G19" s="68">
        <f>IFERROR(aurora_data!F139,0)</f>
        <v>0</v>
      </c>
      <c r="H19" s="68">
        <f>IFERROR(aurora_data!G139,0)</f>
        <v>0</v>
      </c>
      <c r="I19" s="69">
        <f>IFERROR(aurora_data!H139,0)</f>
        <v>0</v>
      </c>
      <c r="J19" s="60">
        <f>IFERROR(aurora_data!I139,0)</f>
        <v>0</v>
      </c>
      <c r="K19" s="68">
        <f>IFERROR(aurora_data!J139,0)</f>
        <v>0</v>
      </c>
      <c r="L19" s="68">
        <f>IFERROR(aurora_data!K139,0)</f>
        <v>0</v>
      </c>
      <c r="M19" s="68">
        <f>IFERROR(aurora_data!L139,0)</f>
        <v>0</v>
      </c>
      <c r="N19" s="69">
        <f>IFERROR(aurora_data!M139,0)</f>
        <v>0</v>
      </c>
      <c r="O19" s="60">
        <f>IFERROR(aurora_data!N139,0)</f>
        <v>0</v>
      </c>
      <c r="P19" s="68">
        <f>IFERROR(aurora_data!O139,0)</f>
        <v>0</v>
      </c>
      <c r="Q19" s="68">
        <f>IFERROR(aurora_data!P139,0)</f>
        <v>0</v>
      </c>
      <c r="R19" s="69">
        <f>IFERROR(aurora_data!Q139,0)</f>
        <v>0</v>
      </c>
      <c r="S19" s="68">
        <f>IFERROR(aurora_data!R139,0)</f>
        <v>0</v>
      </c>
      <c r="T19" s="68">
        <f>IFERROR(aurora_data!S139,0)</f>
        <v>0</v>
      </c>
      <c r="U19" s="74">
        <f>IFERROR(aurora_data!T139,0)</f>
        <v>0</v>
      </c>
      <c r="V19" s="75" t="s">
        <v>95</v>
      </c>
      <c r="W19" s="60">
        <f>IFERROR(aurora_data!U139,0)</f>
        <v>0</v>
      </c>
      <c r="X19" s="73">
        <f t="shared" si="0"/>
        <v>0</v>
      </c>
      <c r="Y19" s="2"/>
    </row>
    <row r="20" spans="1:25" customFormat="1">
      <c r="A20" s="2"/>
      <c r="B20" s="210" t="s">
        <v>94</v>
      </c>
      <c r="C20" s="212" t="str">
        <f>aurora_data!A140</f>
        <v>07.00.00-07.11.30</v>
      </c>
      <c r="D20" s="34" t="s">
        <v>71</v>
      </c>
      <c r="E20" s="39">
        <f>IFERROR(aurora_data!D140,0)</f>
        <v>0</v>
      </c>
      <c r="F20" s="40">
        <f>IFERROR(aurora_data!E140,0)</f>
        <v>0</v>
      </c>
      <c r="G20" s="40">
        <f>IFERROR(aurora_data!F140,0)</f>
        <v>0</v>
      </c>
      <c r="H20" s="40">
        <f>IFERROR(aurora_data!G140,0)</f>
        <v>0</v>
      </c>
      <c r="I20" s="41">
        <f>IFERROR(aurora_data!H140,0)</f>
        <v>0</v>
      </c>
      <c r="J20" s="39">
        <f>IFERROR(aurora_data!I140,0)</f>
        <v>0</v>
      </c>
      <c r="K20" s="40">
        <f>IFERROR(aurora_data!J140,0)</f>
        <v>0</v>
      </c>
      <c r="L20" s="40">
        <f>IFERROR(aurora_data!K140,0)</f>
        <v>0</v>
      </c>
      <c r="M20" s="40">
        <f>IFERROR(aurora_data!L140,0)</f>
        <v>0</v>
      </c>
      <c r="N20" s="41">
        <f>IFERROR(aurora_data!M140,0)</f>
        <v>0</v>
      </c>
      <c r="O20" s="39">
        <f>IFERROR(aurora_data!N140,0)</f>
        <v>0</v>
      </c>
      <c r="P20" s="40">
        <f>IFERROR(aurora_data!O140,0)</f>
        <v>0</v>
      </c>
      <c r="Q20" s="40">
        <f>IFERROR(aurora_data!P140,0)</f>
        <v>0</v>
      </c>
      <c r="R20" s="41">
        <f>IFERROR(aurora_data!Q140,0)</f>
        <v>0</v>
      </c>
      <c r="S20" s="40">
        <f>IFERROR(aurora_data!R140,0)</f>
        <v>0</v>
      </c>
      <c r="T20" s="40">
        <f>IFERROR(aurora_data!S140,0)</f>
        <v>0</v>
      </c>
      <c r="U20" s="76">
        <f>IFERROR(aurora_data!T140,0)</f>
        <v>0</v>
      </c>
      <c r="V20" s="61" t="s">
        <v>95</v>
      </c>
      <c r="W20" s="39">
        <f>IFERROR(aurora_data!U140,0)</f>
        <v>1</v>
      </c>
      <c r="X20" s="70">
        <f>IFERROR(W20/$W$12,0)</f>
        <v>1</v>
      </c>
      <c r="Y20" s="2"/>
    </row>
    <row r="21" spans="1:25" customFormat="1">
      <c r="A21" s="2"/>
      <c r="B21" s="211"/>
      <c r="C21" s="213"/>
      <c r="D21" s="35" t="s">
        <v>96</v>
      </c>
      <c r="E21" s="110">
        <f>IFERROR(aurora_data!D141,0)</f>
        <v>0</v>
      </c>
      <c r="F21" s="62">
        <f>IFERROR(aurora_data!E141,0)</f>
        <v>0</v>
      </c>
      <c r="G21" s="62">
        <f>IFERROR(aurora_data!F141,0)</f>
        <v>0</v>
      </c>
      <c r="H21" s="62">
        <f>IFERROR(aurora_data!G141,0)</f>
        <v>0</v>
      </c>
      <c r="I21" s="63">
        <f>IFERROR(aurora_data!H141,0)</f>
        <v>0</v>
      </c>
      <c r="J21" s="36">
        <f>IFERROR(aurora_data!I141,0)</f>
        <v>0</v>
      </c>
      <c r="K21" s="62">
        <f>IFERROR(aurora_data!J141,0)</f>
        <v>0</v>
      </c>
      <c r="L21" s="62">
        <f>IFERROR(aurora_data!K141,0)</f>
        <v>0</v>
      </c>
      <c r="M21" s="62">
        <f>IFERROR(aurora_data!L141,0)</f>
        <v>0</v>
      </c>
      <c r="N21" s="63">
        <f>IFERROR(aurora_data!M141,0)</f>
        <v>0</v>
      </c>
      <c r="O21" s="36">
        <f>IFERROR(aurora_data!N141,0)</f>
        <v>0</v>
      </c>
      <c r="P21" s="62">
        <f>IFERROR(aurora_data!O141,0)</f>
        <v>0</v>
      </c>
      <c r="Q21" s="62">
        <f>IFERROR(aurora_data!P141,0)</f>
        <v>0</v>
      </c>
      <c r="R21" s="63">
        <f>IFERROR(aurora_data!Q141,0)</f>
        <v>0</v>
      </c>
      <c r="S21" s="62">
        <f>IFERROR(aurora_data!R141,0)</f>
        <v>0</v>
      </c>
      <c r="T21" s="62">
        <f>IFERROR(aurora_data!S141,0)</f>
        <v>0</v>
      </c>
      <c r="U21" s="63">
        <f>IFERROR(aurora_data!T141,0)</f>
        <v>0</v>
      </c>
      <c r="V21" s="64" t="s">
        <v>95</v>
      </c>
      <c r="W21" s="36">
        <f>IFERROR(aurora_data!U141,0)</f>
        <v>0</v>
      </c>
      <c r="X21" s="71">
        <f t="shared" ref="X21:X27" si="1">IFERROR(W21/$W$12,0)</f>
        <v>0</v>
      </c>
      <c r="Y21" s="2"/>
    </row>
    <row r="22" spans="1:25" customFormat="1">
      <c r="A22" s="2"/>
      <c r="B22" s="211"/>
      <c r="C22" s="213"/>
      <c r="D22" s="35" t="s">
        <v>60</v>
      </c>
      <c r="E22" s="110">
        <f>IFERROR(aurora_data!D142,0)</f>
        <v>0</v>
      </c>
      <c r="F22" s="62">
        <f>IFERROR(aurora_data!E142,0)</f>
        <v>0</v>
      </c>
      <c r="G22" s="62">
        <f>IFERROR(aurora_data!F142,0)</f>
        <v>0</v>
      </c>
      <c r="H22" s="62">
        <f>IFERROR(aurora_data!G142,0)</f>
        <v>0</v>
      </c>
      <c r="I22" s="63">
        <f>IFERROR(aurora_data!H142,0)</f>
        <v>0</v>
      </c>
      <c r="J22" s="36">
        <f>IFERROR(aurora_data!I142,0)</f>
        <v>0</v>
      </c>
      <c r="K22" s="62">
        <f>IFERROR(aurora_data!J142,0)</f>
        <v>0</v>
      </c>
      <c r="L22" s="62">
        <f>IFERROR(aurora_data!K142,0)</f>
        <v>0</v>
      </c>
      <c r="M22" s="62">
        <f>IFERROR(aurora_data!L142,0)</f>
        <v>0</v>
      </c>
      <c r="N22" s="63">
        <f>IFERROR(aurora_data!M142,0)</f>
        <v>0</v>
      </c>
      <c r="O22" s="36">
        <f>IFERROR(aurora_data!N142,0)</f>
        <v>0</v>
      </c>
      <c r="P22" s="62">
        <f>IFERROR(aurora_data!O142,0)</f>
        <v>0</v>
      </c>
      <c r="Q22" s="62">
        <f>IFERROR(aurora_data!P142,0)</f>
        <v>0</v>
      </c>
      <c r="R22" s="63">
        <f>IFERROR(aurora_data!Q142,0)</f>
        <v>0</v>
      </c>
      <c r="S22" s="62">
        <f>IFERROR(aurora_data!R142,0)</f>
        <v>0</v>
      </c>
      <c r="T22" s="62">
        <f>IFERROR(aurora_data!S142,0)</f>
        <v>0</v>
      </c>
      <c r="U22" s="63">
        <f>IFERROR(aurora_data!T142,0)</f>
        <v>0</v>
      </c>
      <c r="V22" s="64" t="s">
        <v>95</v>
      </c>
      <c r="W22" s="36">
        <f>IFERROR(aurora_data!U142,0)</f>
        <v>0</v>
      </c>
      <c r="X22" s="71">
        <f t="shared" si="1"/>
        <v>0</v>
      </c>
      <c r="Y22" s="2"/>
    </row>
    <row r="23" spans="1:25" customFormat="1">
      <c r="A23" s="2"/>
      <c r="B23" s="211"/>
      <c r="C23" s="213"/>
      <c r="D23" s="35" t="s">
        <v>97</v>
      </c>
      <c r="E23" s="36">
        <f>IFERROR(aurora_data!D143,0)</f>
        <v>0</v>
      </c>
      <c r="F23" s="62">
        <f>IFERROR(aurora_data!E143,0)</f>
        <v>0</v>
      </c>
      <c r="G23" s="62">
        <f>IFERROR(aurora_data!F143,0)</f>
        <v>0</v>
      </c>
      <c r="H23" s="62">
        <f>IFERROR(aurora_data!G143,0)</f>
        <v>0</v>
      </c>
      <c r="I23" s="63">
        <f>IFERROR(aurora_data!H143,0)</f>
        <v>0</v>
      </c>
      <c r="J23" s="36">
        <f>IFERROR(aurora_data!I143,0)</f>
        <v>0</v>
      </c>
      <c r="K23" s="62">
        <f>IFERROR(aurora_data!J143,0)</f>
        <v>0</v>
      </c>
      <c r="L23" s="62">
        <f>IFERROR(aurora_data!K143,0)</f>
        <v>0</v>
      </c>
      <c r="M23" s="62">
        <f>IFERROR(aurora_data!L143,0)</f>
        <v>0</v>
      </c>
      <c r="N23" s="63">
        <f>IFERROR(aurora_data!M143,0)</f>
        <v>0</v>
      </c>
      <c r="O23" s="36">
        <f>IFERROR(aurora_data!N143,0)</f>
        <v>0</v>
      </c>
      <c r="P23" s="62">
        <f>IFERROR(aurora_data!O143,0)</f>
        <v>0</v>
      </c>
      <c r="Q23" s="62">
        <f>IFERROR(aurora_data!P143,0)</f>
        <v>0</v>
      </c>
      <c r="R23" s="63">
        <f>IFERROR(aurora_data!Q143,0)</f>
        <v>0</v>
      </c>
      <c r="S23" s="62">
        <f>IFERROR(aurora_data!R143,0)</f>
        <v>0</v>
      </c>
      <c r="T23" s="62">
        <f>IFERROR(aurora_data!S143,0)</f>
        <v>0</v>
      </c>
      <c r="U23" s="63">
        <f>IFERROR(aurora_data!T143,0)</f>
        <v>0</v>
      </c>
      <c r="V23" s="64" t="s">
        <v>95</v>
      </c>
      <c r="W23" s="36">
        <f>IFERROR(aurora_data!U143,0)</f>
        <v>0</v>
      </c>
      <c r="X23" s="71">
        <f t="shared" si="1"/>
        <v>0</v>
      </c>
      <c r="Y23" s="2"/>
    </row>
    <row r="24" spans="1:25" customFormat="1">
      <c r="A24" s="2"/>
      <c r="B24" s="211"/>
      <c r="C24" s="213"/>
      <c r="D24" s="35" t="s">
        <v>98</v>
      </c>
      <c r="E24" s="36">
        <f>IFERROR(aurora_data!D144,0)</f>
        <v>0</v>
      </c>
      <c r="F24" s="62">
        <f>IFERROR(aurora_data!E144,0)</f>
        <v>0</v>
      </c>
      <c r="G24" s="62">
        <f>IFERROR(aurora_data!F144,0)</f>
        <v>0</v>
      </c>
      <c r="H24" s="62">
        <f>IFERROR(aurora_data!G144,0)</f>
        <v>1</v>
      </c>
      <c r="I24" s="63">
        <f>IFERROR(aurora_data!H144,0)</f>
        <v>0</v>
      </c>
      <c r="J24" s="36">
        <f>IFERROR(aurora_data!I144,0)</f>
        <v>0</v>
      </c>
      <c r="K24" s="62">
        <f>IFERROR(aurora_data!J144,0)</f>
        <v>0</v>
      </c>
      <c r="L24" s="62">
        <f>IFERROR(aurora_data!K144,0)</f>
        <v>0</v>
      </c>
      <c r="M24" s="62">
        <f>IFERROR(aurora_data!L144,0)</f>
        <v>1</v>
      </c>
      <c r="N24" s="63">
        <f>IFERROR(aurora_data!M144,0)</f>
        <v>0</v>
      </c>
      <c r="O24" s="36">
        <f>IFERROR(aurora_data!N144,0)</f>
        <v>0</v>
      </c>
      <c r="P24" s="62">
        <f>IFERROR(aurora_data!O144,0)</f>
        <v>0</v>
      </c>
      <c r="Q24" s="62">
        <f>IFERROR(aurora_data!P144,0)</f>
        <v>1</v>
      </c>
      <c r="R24" s="63">
        <f>IFERROR(aurora_data!Q144,0)</f>
        <v>0</v>
      </c>
      <c r="S24" s="62">
        <f>IFERROR(aurora_data!R144,0)</f>
        <v>0</v>
      </c>
      <c r="T24" s="62">
        <f>IFERROR(aurora_data!S144,0)</f>
        <v>1</v>
      </c>
      <c r="U24" s="63">
        <f>IFERROR(aurora_data!T144,0)</f>
        <v>0</v>
      </c>
      <c r="V24" s="64" t="s">
        <v>95</v>
      </c>
      <c r="W24" s="36">
        <f>IFERROR(aurora_data!U144,0)</f>
        <v>1</v>
      </c>
      <c r="X24" s="71">
        <f t="shared" si="1"/>
        <v>1</v>
      </c>
      <c r="Y24" s="2"/>
    </row>
    <row r="25" spans="1:25" customFormat="1" ht="16.5" thickBot="1">
      <c r="A25" s="2"/>
      <c r="B25" s="211"/>
      <c r="C25" s="213"/>
      <c r="D25" s="35" t="s">
        <v>99</v>
      </c>
      <c r="E25" s="36">
        <f>IFERROR(aurora_data!D145,0)</f>
        <v>0</v>
      </c>
      <c r="F25" s="62">
        <f>IFERROR(aurora_data!E145,0)</f>
        <v>0</v>
      </c>
      <c r="G25" s="62">
        <f>IFERROR(aurora_data!F145,0)</f>
        <v>0</v>
      </c>
      <c r="H25" s="62">
        <f>IFERROR(aurora_data!G145,0)</f>
        <v>0</v>
      </c>
      <c r="I25" s="63">
        <f>IFERROR(aurora_data!H145,0)</f>
        <v>0</v>
      </c>
      <c r="J25" s="36">
        <f>IFERROR(aurora_data!I145,0)</f>
        <v>0</v>
      </c>
      <c r="K25" s="62">
        <f>IFERROR(aurora_data!J145,0)</f>
        <v>0</v>
      </c>
      <c r="L25" s="62">
        <f>IFERROR(aurora_data!K145,0)</f>
        <v>0</v>
      </c>
      <c r="M25" s="62">
        <f>IFERROR(aurora_data!L145,0)</f>
        <v>0</v>
      </c>
      <c r="N25" s="63">
        <f>IFERROR(aurora_data!M145,0)</f>
        <v>0</v>
      </c>
      <c r="O25" s="36">
        <f>IFERROR(aurora_data!N145,0)</f>
        <v>0</v>
      </c>
      <c r="P25" s="62">
        <f>IFERROR(aurora_data!O145,0)</f>
        <v>0</v>
      </c>
      <c r="Q25" s="62">
        <f>IFERROR(aurora_data!P145,0)</f>
        <v>0</v>
      </c>
      <c r="R25" s="63">
        <f>IFERROR(aurora_data!Q145,0)</f>
        <v>0</v>
      </c>
      <c r="S25" s="62">
        <f>IFERROR(aurora_data!R145,0)</f>
        <v>0</v>
      </c>
      <c r="T25" s="62">
        <f>IFERROR(aurora_data!S145,0)</f>
        <v>0</v>
      </c>
      <c r="U25" s="63">
        <f>IFERROR(aurora_data!T145,0)</f>
        <v>0</v>
      </c>
      <c r="V25" s="64" t="s">
        <v>95</v>
      </c>
      <c r="W25" s="36">
        <f>IFERROR(aurora_data!U145,0)</f>
        <v>0</v>
      </c>
      <c r="X25" s="71">
        <f t="shared" si="1"/>
        <v>0</v>
      </c>
      <c r="Y25" s="2"/>
    </row>
    <row r="26" spans="1:25" customFormat="1" ht="16.5" thickBot="1">
      <c r="A26" s="2"/>
      <c r="B26" s="211"/>
      <c r="C26" s="213"/>
      <c r="D26" s="37" t="s">
        <v>64</v>
      </c>
      <c r="E26" s="59">
        <f>IFERROR(aurora_data!D146,0)</f>
        <v>0</v>
      </c>
      <c r="F26" s="65">
        <f>IFERROR(aurora_data!E146,0)</f>
        <v>0</v>
      </c>
      <c r="G26" s="65">
        <f>IFERROR(aurora_data!F146,0)</f>
        <v>0</v>
      </c>
      <c r="H26" s="65">
        <f>IFERROR(aurora_data!G146,0)</f>
        <v>1</v>
      </c>
      <c r="I26" s="66">
        <f>IFERROR(aurora_data!H146,0)</f>
        <v>0</v>
      </c>
      <c r="J26" s="59">
        <f>IFERROR(aurora_data!I146,0)</f>
        <v>0</v>
      </c>
      <c r="K26" s="65">
        <f>IFERROR(aurora_data!J146,0)</f>
        <v>0</v>
      </c>
      <c r="L26" s="65">
        <f>IFERROR(aurora_data!K146,0)</f>
        <v>0</v>
      </c>
      <c r="M26" s="65">
        <f>IFERROR(aurora_data!L146,0)</f>
        <v>1</v>
      </c>
      <c r="N26" s="66">
        <f>IFERROR(aurora_data!M146,0)</f>
        <v>0</v>
      </c>
      <c r="O26" s="59">
        <f>IFERROR(aurora_data!N146,0)</f>
        <v>0</v>
      </c>
      <c r="P26" s="65">
        <f>IFERROR(aurora_data!O146,0)</f>
        <v>0</v>
      </c>
      <c r="Q26" s="65">
        <f>IFERROR(aurora_data!P146,0)</f>
        <v>1</v>
      </c>
      <c r="R26" s="66">
        <f>IFERROR(aurora_data!Q146,0)</f>
        <v>0</v>
      </c>
      <c r="S26" s="65">
        <f>IFERROR(aurora_data!R146,0)</f>
        <v>0</v>
      </c>
      <c r="T26" s="65">
        <f>IFERROR(aurora_data!S146,0)</f>
        <v>1</v>
      </c>
      <c r="U26" s="66">
        <f>IFERROR(aurora_data!T146,0)</f>
        <v>0</v>
      </c>
      <c r="V26" s="67" t="s">
        <v>95</v>
      </c>
      <c r="W26" s="59">
        <f>IFERROR(aurora_data!U146,0)</f>
        <v>1</v>
      </c>
      <c r="X26" s="72">
        <f t="shared" si="1"/>
        <v>1</v>
      </c>
      <c r="Y26" s="2"/>
    </row>
    <row r="27" spans="1:25" customFormat="1" ht="16.5" thickBot="1">
      <c r="A27" s="2"/>
      <c r="B27" s="211"/>
      <c r="C27" s="213"/>
      <c r="D27" s="38" t="s">
        <v>100</v>
      </c>
      <c r="E27" s="60">
        <f>IFERROR(aurora_data!D147,0)</f>
        <v>0</v>
      </c>
      <c r="F27" s="68">
        <f>IFERROR(aurora_data!E147,0)</f>
        <v>0</v>
      </c>
      <c r="G27" s="68">
        <f>IFERROR(aurora_data!F147,0)</f>
        <v>0</v>
      </c>
      <c r="H27" s="68">
        <f>IFERROR(aurora_data!G147,0)</f>
        <v>0</v>
      </c>
      <c r="I27" s="69">
        <f>IFERROR(aurora_data!H147,0)</f>
        <v>0</v>
      </c>
      <c r="J27" s="60">
        <f>IFERROR(aurora_data!I147,0)</f>
        <v>0</v>
      </c>
      <c r="K27" s="68">
        <f>IFERROR(aurora_data!J147,0)</f>
        <v>0</v>
      </c>
      <c r="L27" s="68">
        <f>IFERROR(aurora_data!K147,0)</f>
        <v>0</v>
      </c>
      <c r="M27" s="68">
        <f>IFERROR(aurora_data!L147,0)</f>
        <v>0</v>
      </c>
      <c r="N27" s="69">
        <f>IFERROR(aurora_data!M147,0)</f>
        <v>0</v>
      </c>
      <c r="O27" s="60">
        <f>IFERROR(aurora_data!N147,0)</f>
        <v>0</v>
      </c>
      <c r="P27" s="68">
        <f>IFERROR(aurora_data!O147,0)</f>
        <v>0</v>
      </c>
      <c r="Q27" s="68">
        <f>IFERROR(aurora_data!P147,0)</f>
        <v>0</v>
      </c>
      <c r="R27" s="69">
        <f>IFERROR(aurora_data!Q147,0)</f>
        <v>0</v>
      </c>
      <c r="S27" s="68">
        <f>IFERROR(aurora_data!R147,0)</f>
        <v>0</v>
      </c>
      <c r="T27" s="68">
        <f>IFERROR(aurora_data!S147,0)</f>
        <v>0</v>
      </c>
      <c r="U27" s="74">
        <f>IFERROR(aurora_data!T147,0)</f>
        <v>0</v>
      </c>
      <c r="V27" s="75" t="s">
        <v>95</v>
      </c>
      <c r="W27" s="60">
        <f>IFERROR(aurora_data!U147,0)</f>
        <v>0</v>
      </c>
      <c r="X27" s="73">
        <f t="shared" si="1"/>
        <v>0</v>
      </c>
      <c r="Y27" s="2"/>
    </row>
    <row r="28" spans="1:25" customFormat="1">
      <c r="A28" s="2"/>
      <c r="B28" s="210" t="s">
        <v>94</v>
      </c>
      <c r="C28" s="212" t="str">
        <f>aurora_data!A148</f>
        <v>08.00.00-08.11.30</v>
      </c>
      <c r="D28" s="34" t="s">
        <v>71</v>
      </c>
      <c r="E28" s="39">
        <f>IFERROR(aurora_data!D148,0)</f>
        <v>0</v>
      </c>
      <c r="F28" s="40">
        <f>IFERROR(aurora_data!E148,0)</f>
        <v>0</v>
      </c>
      <c r="G28" s="40">
        <f>IFERROR(aurora_data!F148,0)</f>
        <v>0</v>
      </c>
      <c r="H28" s="40">
        <f>IFERROR(aurora_data!G148,0)</f>
        <v>0</v>
      </c>
      <c r="I28" s="41">
        <f>IFERROR(aurora_data!H148,0)</f>
        <v>0</v>
      </c>
      <c r="J28" s="39">
        <f>IFERROR(aurora_data!I148,0)</f>
        <v>0</v>
      </c>
      <c r="K28" s="40">
        <f>IFERROR(aurora_data!J148,0)</f>
        <v>0</v>
      </c>
      <c r="L28" s="40">
        <f>IFERROR(aurora_data!K148,0)</f>
        <v>0</v>
      </c>
      <c r="M28" s="40">
        <f>IFERROR(aurora_data!L148,0)</f>
        <v>0</v>
      </c>
      <c r="N28" s="41">
        <f>IFERROR(aurora_data!M148,0)</f>
        <v>0</v>
      </c>
      <c r="O28" s="39">
        <f>IFERROR(aurora_data!N148,0)</f>
        <v>0</v>
      </c>
      <c r="P28" s="40">
        <f>IFERROR(aurora_data!O148,0)</f>
        <v>0</v>
      </c>
      <c r="Q28" s="40">
        <f>IFERROR(aurora_data!P148,0)</f>
        <v>0</v>
      </c>
      <c r="R28" s="41">
        <f>IFERROR(aurora_data!Q148,0)</f>
        <v>0</v>
      </c>
      <c r="S28" s="40">
        <f>IFERROR(aurora_data!R148,0)</f>
        <v>0</v>
      </c>
      <c r="T28" s="40">
        <f>IFERROR(aurora_data!S148,0)</f>
        <v>0</v>
      </c>
      <c r="U28" s="76">
        <f>IFERROR(aurora_data!T148,0)</f>
        <v>0</v>
      </c>
      <c r="V28" s="61" t="s">
        <v>95</v>
      </c>
      <c r="W28" s="39">
        <f>IFERROR(aurora_data!U148,0)</f>
        <v>1</v>
      </c>
      <c r="X28" s="70">
        <f>IFERROR(W28/$W$12,0)</f>
        <v>1</v>
      </c>
      <c r="Y28" s="2"/>
    </row>
    <row r="29" spans="1:25" customFormat="1">
      <c r="A29" s="2"/>
      <c r="B29" s="211"/>
      <c r="C29" s="213"/>
      <c r="D29" s="35" t="s">
        <v>96</v>
      </c>
      <c r="E29" s="110">
        <f>IFERROR(aurora_data!D149,0)</f>
        <v>0</v>
      </c>
      <c r="F29" s="62">
        <f>IFERROR(aurora_data!E149,0)</f>
        <v>0</v>
      </c>
      <c r="G29" s="62">
        <f>IFERROR(aurora_data!F149,0)</f>
        <v>0</v>
      </c>
      <c r="H29" s="62">
        <f>IFERROR(aurora_data!G149,0)</f>
        <v>0</v>
      </c>
      <c r="I29" s="63">
        <f>IFERROR(aurora_data!H149,0)</f>
        <v>0</v>
      </c>
      <c r="J29" s="36">
        <f>IFERROR(aurora_data!I149,0)</f>
        <v>0</v>
      </c>
      <c r="K29" s="62">
        <f>IFERROR(aurora_data!J149,0)</f>
        <v>0</v>
      </c>
      <c r="L29" s="62">
        <f>IFERROR(aurora_data!K149,0)</f>
        <v>0</v>
      </c>
      <c r="M29" s="62">
        <f>IFERROR(aurora_data!L149,0)</f>
        <v>0</v>
      </c>
      <c r="N29" s="63">
        <f>IFERROR(aurora_data!M149,0)</f>
        <v>0</v>
      </c>
      <c r="O29" s="36">
        <f>IFERROR(aurora_data!N149,0)</f>
        <v>0</v>
      </c>
      <c r="P29" s="62">
        <f>IFERROR(aurora_data!O149,0)</f>
        <v>0</v>
      </c>
      <c r="Q29" s="62">
        <f>IFERROR(aurora_data!P149,0)</f>
        <v>0</v>
      </c>
      <c r="R29" s="63">
        <f>IFERROR(aurora_data!Q149,0)</f>
        <v>0</v>
      </c>
      <c r="S29" s="62">
        <f>IFERROR(aurora_data!R149,0)</f>
        <v>0</v>
      </c>
      <c r="T29" s="62">
        <f>IFERROR(aurora_data!S149,0)</f>
        <v>0</v>
      </c>
      <c r="U29" s="63">
        <f>IFERROR(aurora_data!T149,0)</f>
        <v>0</v>
      </c>
      <c r="V29" s="64" t="s">
        <v>95</v>
      </c>
      <c r="W29" s="36">
        <f>IFERROR(aurora_data!U149,0)</f>
        <v>0</v>
      </c>
      <c r="X29" s="71">
        <f t="shared" ref="X29:X35" si="2">IFERROR(W29/$W$12,0)</f>
        <v>0</v>
      </c>
      <c r="Y29" s="2"/>
    </row>
    <row r="30" spans="1:25" customFormat="1">
      <c r="A30" s="2"/>
      <c r="B30" s="211"/>
      <c r="C30" s="213"/>
      <c r="D30" s="35" t="s">
        <v>60</v>
      </c>
      <c r="E30" s="110">
        <f>IFERROR(aurora_data!D150,0)</f>
        <v>0</v>
      </c>
      <c r="F30" s="62">
        <f>IFERROR(aurora_data!E150,0)</f>
        <v>0</v>
      </c>
      <c r="G30" s="62">
        <f>IFERROR(aurora_data!F150,0)</f>
        <v>0</v>
      </c>
      <c r="H30" s="62">
        <f>IFERROR(aurora_data!G150,0)</f>
        <v>0</v>
      </c>
      <c r="I30" s="63">
        <f>IFERROR(aurora_data!H150,0)</f>
        <v>0</v>
      </c>
      <c r="J30" s="36">
        <f>IFERROR(aurora_data!I150,0)</f>
        <v>0</v>
      </c>
      <c r="K30" s="62">
        <f>IFERROR(aurora_data!J150,0)</f>
        <v>0</v>
      </c>
      <c r="L30" s="62">
        <f>IFERROR(aurora_data!K150,0)</f>
        <v>0</v>
      </c>
      <c r="M30" s="62">
        <f>IFERROR(aurora_data!L150,0)</f>
        <v>0</v>
      </c>
      <c r="N30" s="63">
        <f>IFERROR(aurora_data!M150,0)</f>
        <v>0</v>
      </c>
      <c r="O30" s="36">
        <f>IFERROR(aurora_data!N150,0)</f>
        <v>0</v>
      </c>
      <c r="P30" s="62">
        <f>IFERROR(aurora_data!O150,0)</f>
        <v>0</v>
      </c>
      <c r="Q30" s="62">
        <f>IFERROR(aurora_data!P150,0)</f>
        <v>0</v>
      </c>
      <c r="R30" s="63">
        <f>IFERROR(aurora_data!Q150,0)</f>
        <v>0</v>
      </c>
      <c r="S30" s="62">
        <f>IFERROR(aurora_data!R150,0)</f>
        <v>0</v>
      </c>
      <c r="T30" s="62">
        <f>IFERROR(aurora_data!S150,0)</f>
        <v>0</v>
      </c>
      <c r="U30" s="63">
        <f>IFERROR(aurora_data!T150,0)</f>
        <v>0</v>
      </c>
      <c r="V30" s="64" t="s">
        <v>95</v>
      </c>
      <c r="W30" s="36">
        <f>IFERROR(aurora_data!U150,0)</f>
        <v>0</v>
      </c>
      <c r="X30" s="71">
        <f t="shared" si="2"/>
        <v>0</v>
      </c>
      <c r="Y30" s="2"/>
    </row>
    <row r="31" spans="1:25" customFormat="1">
      <c r="A31" s="2"/>
      <c r="B31" s="211"/>
      <c r="C31" s="213"/>
      <c r="D31" s="35" t="s">
        <v>97</v>
      </c>
      <c r="E31" s="36">
        <f>IFERROR(aurora_data!D151,0)</f>
        <v>0</v>
      </c>
      <c r="F31" s="62">
        <f>IFERROR(aurora_data!E151,0)</f>
        <v>0</v>
      </c>
      <c r="G31" s="62">
        <f>IFERROR(aurora_data!F151,0)</f>
        <v>0</v>
      </c>
      <c r="H31" s="62">
        <f>IFERROR(aurora_data!G151,0)</f>
        <v>0</v>
      </c>
      <c r="I31" s="63">
        <f>IFERROR(aurora_data!H151,0)</f>
        <v>0</v>
      </c>
      <c r="J31" s="36">
        <f>IFERROR(aurora_data!I151,0)</f>
        <v>0</v>
      </c>
      <c r="K31" s="62">
        <f>IFERROR(aurora_data!J151,0)</f>
        <v>0</v>
      </c>
      <c r="L31" s="62">
        <f>IFERROR(aurora_data!K151,0)</f>
        <v>0</v>
      </c>
      <c r="M31" s="62">
        <f>IFERROR(aurora_data!L151,0)</f>
        <v>0</v>
      </c>
      <c r="N31" s="63">
        <f>IFERROR(aurora_data!M151,0)</f>
        <v>0</v>
      </c>
      <c r="O31" s="36">
        <f>IFERROR(aurora_data!N151,0)</f>
        <v>0</v>
      </c>
      <c r="P31" s="62">
        <f>IFERROR(aurora_data!O151,0)</f>
        <v>0</v>
      </c>
      <c r="Q31" s="62">
        <f>IFERROR(aurora_data!P151,0)</f>
        <v>0</v>
      </c>
      <c r="R31" s="63">
        <f>IFERROR(aurora_data!Q151,0)</f>
        <v>0</v>
      </c>
      <c r="S31" s="62">
        <f>IFERROR(aurora_data!R151,0)</f>
        <v>0</v>
      </c>
      <c r="T31" s="62">
        <f>IFERROR(aurora_data!S151,0)</f>
        <v>0</v>
      </c>
      <c r="U31" s="63">
        <f>IFERROR(aurora_data!T151,0)</f>
        <v>0</v>
      </c>
      <c r="V31" s="64" t="s">
        <v>95</v>
      </c>
      <c r="W31" s="36">
        <f>IFERROR(aurora_data!U151,0)</f>
        <v>0</v>
      </c>
      <c r="X31" s="71">
        <f t="shared" si="2"/>
        <v>0</v>
      </c>
      <c r="Y31" s="2"/>
    </row>
    <row r="32" spans="1:25" customFormat="1">
      <c r="A32" s="2"/>
      <c r="B32" s="211"/>
      <c r="C32" s="213"/>
      <c r="D32" s="35" t="s">
        <v>98</v>
      </c>
      <c r="E32" s="36">
        <f>IFERROR(aurora_data!D152,0)</f>
        <v>0</v>
      </c>
      <c r="F32" s="62">
        <f>IFERROR(aurora_data!E152,0)</f>
        <v>0</v>
      </c>
      <c r="G32" s="62">
        <f>IFERROR(aurora_data!F152,0)</f>
        <v>0</v>
      </c>
      <c r="H32" s="62">
        <f>IFERROR(aurora_data!G152,0)</f>
        <v>0</v>
      </c>
      <c r="I32" s="63">
        <f>IFERROR(aurora_data!H152,0)</f>
        <v>0</v>
      </c>
      <c r="J32" s="36">
        <f>IFERROR(aurora_data!I152,0)</f>
        <v>0</v>
      </c>
      <c r="K32" s="62">
        <f>IFERROR(aurora_data!J152,0)</f>
        <v>0</v>
      </c>
      <c r="L32" s="62">
        <f>IFERROR(aurora_data!K152,0)</f>
        <v>0</v>
      </c>
      <c r="M32" s="62">
        <f>IFERROR(aurora_data!L152,0)</f>
        <v>0</v>
      </c>
      <c r="N32" s="63">
        <f>IFERROR(aurora_data!M152,0)</f>
        <v>0</v>
      </c>
      <c r="O32" s="36">
        <f>IFERROR(aurora_data!N152,0)</f>
        <v>0</v>
      </c>
      <c r="P32" s="62">
        <f>IFERROR(aurora_data!O152,0)</f>
        <v>0</v>
      </c>
      <c r="Q32" s="62">
        <f>IFERROR(aurora_data!P152,0)</f>
        <v>0</v>
      </c>
      <c r="R32" s="63">
        <f>IFERROR(aurora_data!Q152,0)</f>
        <v>0</v>
      </c>
      <c r="S32" s="62">
        <f>IFERROR(aurora_data!R152,0)</f>
        <v>0</v>
      </c>
      <c r="T32" s="62">
        <f>IFERROR(aurora_data!S152,0)</f>
        <v>0</v>
      </c>
      <c r="U32" s="63">
        <f>IFERROR(aurora_data!T152,0)</f>
        <v>0</v>
      </c>
      <c r="V32" s="64" t="s">
        <v>95</v>
      </c>
      <c r="W32" s="36">
        <f>IFERROR(aurora_data!U152,0)</f>
        <v>0</v>
      </c>
      <c r="X32" s="71">
        <f t="shared" si="2"/>
        <v>0</v>
      </c>
      <c r="Y32" s="2"/>
    </row>
    <row r="33" spans="1:25" customFormat="1" ht="16.5" thickBot="1">
      <c r="A33" s="2"/>
      <c r="B33" s="211"/>
      <c r="C33" s="213"/>
      <c r="D33" s="35" t="s">
        <v>99</v>
      </c>
      <c r="E33" s="36">
        <f>IFERROR(aurora_data!D153,0)</f>
        <v>0</v>
      </c>
      <c r="F33" s="62">
        <f>IFERROR(aurora_data!E153,0)</f>
        <v>0</v>
      </c>
      <c r="G33" s="62">
        <f>IFERROR(aurora_data!F153,0)</f>
        <v>0</v>
      </c>
      <c r="H33" s="62">
        <f>IFERROR(aurora_data!G153,0)</f>
        <v>0</v>
      </c>
      <c r="I33" s="63">
        <f>IFERROR(aurora_data!H153,0)</f>
        <v>0</v>
      </c>
      <c r="J33" s="36">
        <f>IFERROR(aurora_data!I153,0)</f>
        <v>0</v>
      </c>
      <c r="K33" s="62">
        <f>IFERROR(aurora_data!J153,0)</f>
        <v>0</v>
      </c>
      <c r="L33" s="62">
        <f>IFERROR(aurora_data!K153,0)</f>
        <v>0</v>
      </c>
      <c r="M33" s="62">
        <f>IFERROR(aurora_data!L153,0)</f>
        <v>0</v>
      </c>
      <c r="N33" s="63">
        <f>IFERROR(aurora_data!M153,0)</f>
        <v>0</v>
      </c>
      <c r="O33" s="36">
        <f>IFERROR(aurora_data!N153,0)</f>
        <v>0</v>
      </c>
      <c r="P33" s="62">
        <f>IFERROR(aurora_data!O153,0)</f>
        <v>0</v>
      </c>
      <c r="Q33" s="62">
        <f>IFERROR(aurora_data!P153,0)</f>
        <v>0</v>
      </c>
      <c r="R33" s="63">
        <f>IFERROR(aurora_data!Q153,0)</f>
        <v>0</v>
      </c>
      <c r="S33" s="62">
        <f>IFERROR(aurora_data!R153,0)</f>
        <v>0</v>
      </c>
      <c r="T33" s="62">
        <f>IFERROR(aurora_data!S153,0)</f>
        <v>0</v>
      </c>
      <c r="U33" s="63">
        <f>IFERROR(aurora_data!T153,0)</f>
        <v>0</v>
      </c>
      <c r="V33" s="64" t="s">
        <v>95</v>
      </c>
      <c r="W33" s="36">
        <f>IFERROR(aurora_data!U153,0)</f>
        <v>0</v>
      </c>
      <c r="X33" s="71">
        <f t="shared" si="2"/>
        <v>0</v>
      </c>
      <c r="Y33" s="2"/>
    </row>
    <row r="34" spans="1:25" customFormat="1" ht="16.5" thickBot="1">
      <c r="A34" s="2"/>
      <c r="B34" s="211"/>
      <c r="C34" s="213"/>
      <c r="D34" s="37" t="s">
        <v>64</v>
      </c>
      <c r="E34" s="59">
        <f>IFERROR(aurora_data!D154,0)</f>
        <v>0</v>
      </c>
      <c r="F34" s="65">
        <f>IFERROR(aurora_data!E154,0)</f>
        <v>0</v>
      </c>
      <c r="G34" s="65">
        <f>IFERROR(aurora_data!F154,0)</f>
        <v>0</v>
      </c>
      <c r="H34" s="65">
        <f>IFERROR(aurora_data!G154,0)</f>
        <v>0</v>
      </c>
      <c r="I34" s="66">
        <f>IFERROR(aurora_data!H154,0)</f>
        <v>0</v>
      </c>
      <c r="J34" s="59">
        <f>IFERROR(aurora_data!I154,0)</f>
        <v>0</v>
      </c>
      <c r="K34" s="65">
        <f>IFERROR(aurora_data!J154,0)</f>
        <v>0</v>
      </c>
      <c r="L34" s="65">
        <f>IFERROR(aurora_data!K154,0)</f>
        <v>0</v>
      </c>
      <c r="M34" s="65">
        <f>IFERROR(aurora_data!L154,0)</f>
        <v>0</v>
      </c>
      <c r="N34" s="66">
        <f>IFERROR(aurora_data!M154,0)</f>
        <v>0</v>
      </c>
      <c r="O34" s="59">
        <f>IFERROR(aurora_data!N154,0)</f>
        <v>0</v>
      </c>
      <c r="P34" s="65">
        <f>IFERROR(aurora_data!O154,0)</f>
        <v>0</v>
      </c>
      <c r="Q34" s="65">
        <f>IFERROR(aurora_data!P154,0)</f>
        <v>0</v>
      </c>
      <c r="R34" s="66">
        <f>IFERROR(aurora_data!Q154,0)</f>
        <v>0</v>
      </c>
      <c r="S34" s="65">
        <f>IFERROR(aurora_data!R154,0)</f>
        <v>0</v>
      </c>
      <c r="T34" s="65">
        <f>IFERROR(aurora_data!S154,0)</f>
        <v>0</v>
      </c>
      <c r="U34" s="66">
        <f>IFERROR(aurora_data!T154,0)</f>
        <v>0</v>
      </c>
      <c r="V34" s="67" t="s">
        <v>95</v>
      </c>
      <c r="W34" s="59">
        <f>IFERROR(aurora_data!U154,0)</f>
        <v>0</v>
      </c>
      <c r="X34" s="72">
        <f t="shared" si="2"/>
        <v>0</v>
      </c>
      <c r="Y34" s="2"/>
    </row>
    <row r="35" spans="1:25" customFormat="1" ht="16.5" thickBot="1">
      <c r="A35" s="2"/>
      <c r="B35" s="211"/>
      <c r="C35" s="213"/>
      <c r="D35" s="38" t="s">
        <v>100</v>
      </c>
      <c r="E35" s="60">
        <f>IFERROR(aurora_data!D155,0)</f>
        <v>0</v>
      </c>
      <c r="F35" s="68">
        <f>IFERROR(aurora_data!E155,0)</f>
        <v>0</v>
      </c>
      <c r="G35" s="68">
        <f>IFERROR(aurora_data!F155,0)</f>
        <v>0</v>
      </c>
      <c r="H35" s="68">
        <f>IFERROR(aurora_data!G155,0)</f>
        <v>0</v>
      </c>
      <c r="I35" s="69">
        <f>IFERROR(aurora_data!H155,0)</f>
        <v>0</v>
      </c>
      <c r="J35" s="60">
        <f>IFERROR(aurora_data!I155,0)</f>
        <v>0</v>
      </c>
      <c r="K35" s="68">
        <f>IFERROR(aurora_data!J155,0)</f>
        <v>0</v>
      </c>
      <c r="L35" s="68">
        <f>IFERROR(aurora_data!K155,0)</f>
        <v>0</v>
      </c>
      <c r="M35" s="68">
        <f>IFERROR(aurora_data!L155,0)</f>
        <v>0</v>
      </c>
      <c r="N35" s="69">
        <f>IFERROR(aurora_data!M155,0)</f>
        <v>0</v>
      </c>
      <c r="O35" s="60">
        <f>IFERROR(aurora_data!N155,0)</f>
        <v>0</v>
      </c>
      <c r="P35" s="68">
        <f>IFERROR(aurora_data!O155,0)</f>
        <v>0</v>
      </c>
      <c r="Q35" s="68">
        <f>IFERROR(aurora_data!P155,0)</f>
        <v>0</v>
      </c>
      <c r="R35" s="69">
        <f>IFERROR(aurora_data!Q155,0)</f>
        <v>0</v>
      </c>
      <c r="S35" s="68">
        <f>IFERROR(aurora_data!R155,0)</f>
        <v>0</v>
      </c>
      <c r="T35" s="68">
        <f>IFERROR(aurora_data!S155,0)</f>
        <v>0</v>
      </c>
      <c r="U35" s="74">
        <f>IFERROR(aurora_data!T155,0)</f>
        <v>0</v>
      </c>
      <c r="V35" s="75" t="s">
        <v>95</v>
      </c>
      <c r="W35" s="60">
        <f>IFERROR(aurora_data!U155,0)</f>
        <v>0</v>
      </c>
      <c r="X35" s="73">
        <f t="shared" si="2"/>
        <v>0</v>
      </c>
      <c r="Y35" s="2"/>
    </row>
    <row r="36" spans="1:25" customFormat="1">
      <c r="A36" s="2"/>
      <c r="B36" s="210" t="s">
        <v>94</v>
      </c>
      <c r="C36" s="212" t="str">
        <f>aurora_data!A156</f>
        <v>09.00.00-09.11.30</v>
      </c>
      <c r="D36" s="34" t="s">
        <v>71</v>
      </c>
      <c r="E36" s="39">
        <f>IFERROR(aurora_data!D156,0)</f>
        <v>0</v>
      </c>
      <c r="F36" s="40">
        <f>IFERROR(aurora_data!E156,0)</f>
        <v>0</v>
      </c>
      <c r="G36" s="40">
        <f>IFERROR(aurora_data!F156,0)</f>
        <v>0</v>
      </c>
      <c r="H36" s="40">
        <f>IFERROR(aurora_data!G156,0)</f>
        <v>0</v>
      </c>
      <c r="I36" s="41">
        <f>IFERROR(aurora_data!H156,0)</f>
        <v>0</v>
      </c>
      <c r="J36" s="39">
        <f>IFERROR(aurora_data!I156,0)</f>
        <v>0</v>
      </c>
      <c r="K36" s="40">
        <f>IFERROR(aurora_data!J156,0)</f>
        <v>0</v>
      </c>
      <c r="L36" s="40">
        <f>IFERROR(aurora_data!K156,0)</f>
        <v>0</v>
      </c>
      <c r="M36" s="40">
        <f>IFERROR(aurora_data!L156,0)</f>
        <v>0</v>
      </c>
      <c r="N36" s="41">
        <f>IFERROR(aurora_data!M156,0)</f>
        <v>0</v>
      </c>
      <c r="O36" s="39">
        <f>IFERROR(aurora_data!N156,0)</f>
        <v>0</v>
      </c>
      <c r="P36" s="40">
        <f>IFERROR(aurora_data!O156,0)</f>
        <v>0</v>
      </c>
      <c r="Q36" s="40">
        <f>IFERROR(aurora_data!P156,0)</f>
        <v>0</v>
      </c>
      <c r="R36" s="41">
        <f>IFERROR(aurora_data!Q156,0)</f>
        <v>0</v>
      </c>
      <c r="S36" s="40">
        <f>IFERROR(aurora_data!R156,0)</f>
        <v>0</v>
      </c>
      <c r="T36" s="40">
        <f>IFERROR(aurora_data!S156,0)</f>
        <v>0</v>
      </c>
      <c r="U36" s="76">
        <f>IFERROR(aurora_data!T156,0)</f>
        <v>0</v>
      </c>
      <c r="V36" s="61" t="s">
        <v>95</v>
      </c>
      <c r="W36" s="39">
        <f>IFERROR(aurora_data!U156,0)</f>
        <v>1</v>
      </c>
      <c r="X36" s="70">
        <f>IFERROR(W36/$W$12,0)</f>
        <v>1</v>
      </c>
      <c r="Y36" s="2"/>
    </row>
    <row r="37" spans="1:25" customFormat="1">
      <c r="A37" s="2"/>
      <c r="B37" s="211"/>
      <c r="C37" s="213"/>
      <c r="D37" s="35" t="s">
        <v>96</v>
      </c>
      <c r="E37" s="110">
        <f>IFERROR(aurora_data!D157,0)</f>
        <v>0</v>
      </c>
      <c r="F37" s="62">
        <f>IFERROR(aurora_data!E157,0)</f>
        <v>0</v>
      </c>
      <c r="G37" s="62">
        <f>IFERROR(aurora_data!F157,0)</f>
        <v>0</v>
      </c>
      <c r="H37" s="62">
        <f>IFERROR(aurora_data!G157,0)</f>
        <v>0</v>
      </c>
      <c r="I37" s="63">
        <f>IFERROR(aurora_data!H157,0)</f>
        <v>0</v>
      </c>
      <c r="J37" s="36">
        <f>IFERROR(aurora_data!I157,0)</f>
        <v>0</v>
      </c>
      <c r="K37" s="62">
        <f>IFERROR(aurora_data!J157,0)</f>
        <v>0</v>
      </c>
      <c r="L37" s="62">
        <f>IFERROR(aurora_data!K157,0)</f>
        <v>0</v>
      </c>
      <c r="M37" s="62">
        <f>IFERROR(aurora_data!L157,0)</f>
        <v>0</v>
      </c>
      <c r="N37" s="63">
        <f>IFERROR(aurora_data!M157,0)</f>
        <v>0</v>
      </c>
      <c r="O37" s="36">
        <f>IFERROR(aurora_data!N157,0)</f>
        <v>0</v>
      </c>
      <c r="P37" s="62">
        <f>IFERROR(aurora_data!O157,0)</f>
        <v>0</v>
      </c>
      <c r="Q37" s="62">
        <f>IFERROR(aurora_data!P157,0)</f>
        <v>0</v>
      </c>
      <c r="R37" s="63">
        <f>IFERROR(aurora_data!Q157,0)</f>
        <v>0</v>
      </c>
      <c r="S37" s="62">
        <f>IFERROR(aurora_data!R157,0)</f>
        <v>0</v>
      </c>
      <c r="T37" s="62">
        <f>IFERROR(aurora_data!S157,0)</f>
        <v>0</v>
      </c>
      <c r="U37" s="63">
        <f>IFERROR(aurora_data!T157,0)</f>
        <v>0</v>
      </c>
      <c r="V37" s="64" t="s">
        <v>95</v>
      </c>
      <c r="W37" s="36">
        <f>IFERROR(aurora_data!U157,0)</f>
        <v>0</v>
      </c>
      <c r="X37" s="71">
        <f t="shared" ref="X37:X43" si="3">IFERROR(W37/$W$12,0)</f>
        <v>0</v>
      </c>
      <c r="Y37" s="2"/>
    </row>
    <row r="38" spans="1:25" customFormat="1">
      <c r="A38" s="2"/>
      <c r="B38" s="211"/>
      <c r="C38" s="213"/>
      <c r="D38" s="35" t="s">
        <v>60</v>
      </c>
      <c r="E38" s="110">
        <f>IFERROR(aurora_data!D158,0)</f>
        <v>0</v>
      </c>
      <c r="F38" s="62">
        <f>IFERROR(aurora_data!E158,0)</f>
        <v>0</v>
      </c>
      <c r="G38" s="62">
        <f>IFERROR(aurora_data!F158,0)</f>
        <v>0</v>
      </c>
      <c r="H38" s="62">
        <f>IFERROR(aurora_data!G158,0)</f>
        <v>0</v>
      </c>
      <c r="I38" s="63">
        <f>IFERROR(aurora_data!H158,0)</f>
        <v>0</v>
      </c>
      <c r="J38" s="36">
        <f>IFERROR(aurora_data!I158,0)</f>
        <v>0</v>
      </c>
      <c r="K38" s="62">
        <f>IFERROR(aurora_data!J158,0)</f>
        <v>0</v>
      </c>
      <c r="L38" s="62">
        <f>IFERROR(aurora_data!K158,0)</f>
        <v>0</v>
      </c>
      <c r="M38" s="62">
        <f>IFERROR(aurora_data!L158,0)</f>
        <v>0</v>
      </c>
      <c r="N38" s="63">
        <f>IFERROR(aurora_data!M158,0)</f>
        <v>0</v>
      </c>
      <c r="O38" s="36">
        <f>IFERROR(aurora_data!N158,0)</f>
        <v>0</v>
      </c>
      <c r="P38" s="62">
        <f>IFERROR(aurora_data!O158,0)</f>
        <v>0</v>
      </c>
      <c r="Q38" s="62">
        <f>IFERROR(aurora_data!P158,0)</f>
        <v>0</v>
      </c>
      <c r="R38" s="63">
        <f>IFERROR(aurora_data!Q158,0)</f>
        <v>0</v>
      </c>
      <c r="S38" s="62">
        <f>IFERROR(aurora_data!R158,0)</f>
        <v>0</v>
      </c>
      <c r="T38" s="62">
        <f>IFERROR(aurora_data!S158,0)</f>
        <v>0</v>
      </c>
      <c r="U38" s="63">
        <f>IFERROR(aurora_data!T158,0)</f>
        <v>0</v>
      </c>
      <c r="V38" s="64" t="s">
        <v>95</v>
      </c>
      <c r="W38" s="36">
        <f>IFERROR(aurora_data!U158,0)</f>
        <v>0</v>
      </c>
      <c r="X38" s="71">
        <f t="shared" si="3"/>
        <v>0</v>
      </c>
      <c r="Y38" s="2"/>
    </row>
    <row r="39" spans="1:25" customFormat="1">
      <c r="A39" s="2"/>
      <c r="B39" s="211"/>
      <c r="C39" s="213"/>
      <c r="D39" s="35" t="s">
        <v>97</v>
      </c>
      <c r="E39" s="36">
        <f>IFERROR(aurora_data!D159,0)</f>
        <v>0</v>
      </c>
      <c r="F39" s="62">
        <f>IFERROR(aurora_data!E159,0)</f>
        <v>0</v>
      </c>
      <c r="G39" s="62">
        <f>IFERROR(aurora_data!F159,0)</f>
        <v>0</v>
      </c>
      <c r="H39" s="62">
        <f>IFERROR(aurora_data!G159,0)</f>
        <v>0</v>
      </c>
      <c r="I39" s="63">
        <f>IFERROR(aurora_data!H159,0)</f>
        <v>0</v>
      </c>
      <c r="J39" s="36">
        <f>IFERROR(aurora_data!I159,0)</f>
        <v>0</v>
      </c>
      <c r="K39" s="62">
        <f>IFERROR(aurora_data!J159,0)</f>
        <v>0</v>
      </c>
      <c r="L39" s="62">
        <f>IFERROR(aurora_data!K159,0)</f>
        <v>0</v>
      </c>
      <c r="M39" s="62">
        <f>IFERROR(aurora_data!L159,0)</f>
        <v>0</v>
      </c>
      <c r="N39" s="63">
        <f>IFERROR(aurora_data!M159,0)</f>
        <v>0</v>
      </c>
      <c r="O39" s="36">
        <f>IFERROR(aurora_data!N159,0)</f>
        <v>0</v>
      </c>
      <c r="P39" s="62">
        <f>IFERROR(aurora_data!O159,0)</f>
        <v>0</v>
      </c>
      <c r="Q39" s="62">
        <f>IFERROR(aurora_data!P159,0)</f>
        <v>0</v>
      </c>
      <c r="R39" s="63">
        <f>IFERROR(aurora_data!Q159,0)</f>
        <v>0</v>
      </c>
      <c r="S39" s="62">
        <f>IFERROR(aurora_data!R159,0)</f>
        <v>0</v>
      </c>
      <c r="T39" s="62">
        <f>IFERROR(aurora_data!S159,0)</f>
        <v>0</v>
      </c>
      <c r="U39" s="63">
        <f>IFERROR(aurora_data!T159,0)</f>
        <v>0</v>
      </c>
      <c r="V39" s="64" t="s">
        <v>95</v>
      </c>
      <c r="W39" s="36">
        <f>IFERROR(aurora_data!U159,0)</f>
        <v>0</v>
      </c>
      <c r="X39" s="71">
        <f t="shared" si="3"/>
        <v>0</v>
      </c>
      <c r="Y39" s="2"/>
    </row>
    <row r="40" spans="1:25" customFormat="1">
      <c r="A40" s="2"/>
      <c r="B40" s="211"/>
      <c r="C40" s="213"/>
      <c r="D40" s="35" t="s">
        <v>98</v>
      </c>
      <c r="E40" s="36">
        <f>IFERROR(aurora_data!D160,0)</f>
        <v>0</v>
      </c>
      <c r="F40" s="62">
        <f>IFERROR(aurora_data!E160,0)</f>
        <v>0</v>
      </c>
      <c r="G40" s="62">
        <f>IFERROR(aurora_data!F160,0)</f>
        <v>0</v>
      </c>
      <c r="H40" s="62">
        <f>IFERROR(aurora_data!G160,0)</f>
        <v>0</v>
      </c>
      <c r="I40" s="63">
        <f>IFERROR(aurora_data!H160,0)</f>
        <v>0</v>
      </c>
      <c r="J40" s="36">
        <f>IFERROR(aurora_data!I160,0)</f>
        <v>0</v>
      </c>
      <c r="K40" s="62">
        <f>IFERROR(aurora_data!J160,0)</f>
        <v>0</v>
      </c>
      <c r="L40" s="62">
        <f>IFERROR(aurora_data!K160,0)</f>
        <v>0</v>
      </c>
      <c r="M40" s="62">
        <f>IFERROR(aurora_data!L160,0)</f>
        <v>0</v>
      </c>
      <c r="N40" s="63">
        <f>IFERROR(aurora_data!M160,0)</f>
        <v>0</v>
      </c>
      <c r="O40" s="36">
        <f>IFERROR(aurora_data!N160,0)</f>
        <v>0</v>
      </c>
      <c r="P40" s="62">
        <f>IFERROR(aurora_data!O160,0)</f>
        <v>0</v>
      </c>
      <c r="Q40" s="62">
        <f>IFERROR(aurora_data!P160,0)</f>
        <v>0</v>
      </c>
      <c r="R40" s="63">
        <f>IFERROR(aurora_data!Q160,0)</f>
        <v>0</v>
      </c>
      <c r="S40" s="62">
        <f>IFERROR(aurora_data!R160,0)</f>
        <v>0</v>
      </c>
      <c r="T40" s="62">
        <f>IFERROR(aurora_data!S160,0)</f>
        <v>0</v>
      </c>
      <c r="U40" s="63">
        <f>IFERROR(aurora_data!T160,0)</f>
        <v>0</v>
      </c>
      <c r="V40" s="64" t="s">
        <v>95</v>
      </c>
      <c r="W40" s="36">
        <f>IFERROR(aurora_data!U160,0)</f>
        <v>0</v>
      </c>
      <c r="X40" s="71">
        <f t="shared" si="3"/>
        <v>0</v>
      </c>
      <c r="Y40" s="2"/>
    </row>
    <row r="41" spans="1:25" customFormat="1" ht="16.5" thickBot="1">
      <c r="A41" s="2"/>
      <c r="B41" s="211"/>
      <c r="C41" s="213"/>
      <c r="D41" s="35" t="s">
        <v>99</v>
      </c>
      <c r="E41" s="36">
        <f>IFERROR(aurora_data!D161,0)</f>
        <v>0</v>
      </c>
      <c r="F41" s="62">
        <f>IFERROR(aurora_data!E161,0)</f>
        <v>0</v>
      </c>
      <c r="G41" s="62">
        <f>IFERROR(aurora_data!F161,0)</f>
        <v>0</v>
      </c>
      <c r="H41" s="62">
        <f>IFERROR(aurora_data!G161,0)</f>
        <v>0</v>
      </c>
      <c r="I41" s="63">
        <f>IFERROR(aurora_data!H161,0)</f>
        <v>0</v>
      </c>
      <c r="J41" s="36">
        <f>IFERROR(aurora_data!I161,0)</f>
        <v>0</v>
      </c>
      <c r="K41" s="62">
        <f>IFERROR(aurora_data!J161,0)</f>
        <v>0</v>
      </c>
      <c r="L41" s="62">
        <f>IFERROR(aurora_data!K161,0)</f>
        <v>0</v>
      </c>
      <c r="M41" s="62">
        <f>IFERROR(aurora_data!L161,0)</f>
        <v>0</v>
      </c>
      <c r="N41" s="63">
        <f>IFERROR(aurora_data!M161,0)</f>
        <v>0</v>
      </c>
      <c r="O41" s="36">
        <f>IFERROR(aurora_data!N161,0)</f>
        <v>0</v>
      </c>
      <c r="P41" s="62">
        <f>IFERROR(aurora_data!O161,0)</f>
        <v>0</v>
      </c>
      <c r="Q41" s="62">
        <f>IFERROR(aurora_data!P161,0)</f>
        <v>0</v>
      </c>
      <c r="R41" s="63">
        <f>IFERROR(aurora_data!Q161,0)</f>
        <v>0</v>
      </c>
      <c r="S41" s="62">
        <f>IFERROR(aurora_data!R161,0)</f>
        <v>0</v>
      </c>
      <c r="T41" s="62">
        <f>IFERROR(aurora_data!S161,0)</f>
        <v>0</v>
      </c>
      <c r="U41" s="63">
        <f>IFERROR(aurora_data!T161,0)</f>
        <v>0</v>
      </c>
      <c r="V41" s="64" t="s">
        <v>95</v>
      </c>
      <c r="W41" s="36">
        <f>IFERROR(aurora_data!U161,0)</f>
        <v>0</v>
      </c>
      <c r="X41" s="71">
        <f t="shared" si="3"/>
        <v>0</v>
      </c>
      <c r="Y41" s="2"/>
    </row>
    <row r="42" spans="1:25" customFormat="1" ht="16.5" thickBot="1">
      <c r="A42" s="2"/>
      <c r="B42" s="211"/>
      <c r="C42" s="213"/>
      <c r="D42" s="37" t="s">
        <v>64</v>
      </c>
      <c r="E42" s="59">
        <f>IFERROR(aurora_data!D162,0)</f>
        <v>0</v>
      </c>
      <c r="F42" s="65">
        <f>IFERROR(aurora_data!E162,0)</f>
        <v>0</v>
      </c>
      <c r="G42" s="65">
        <f>IFERROR(aurora_data!F162,0)</f>
        <v>0</v>
      </c>
      <c r="H42" s="65">
        <f>IFERROR(aurora_data!G162,0)</f>
        <v>0</v>
      </c>
      <c r="I42" s="66">
        <f>IFERROR(aurora_data!H162,0)</f>
        <v>0</v>
      </c>
      <c r="J42" s="59">
        <f>IFERROR(aurora_data!I162,0)</f>
        <v>0</v>
      </c>
      <c r="K42" s="65">
        <f>IFERROR(aurora_data!J162,0)</f>
        <v>0</v>
      </c>
      <c r="L42" s="65">
        <f>IFERROR(aurora_data!K162,0)</f>
        <v>0</v>
      </c>
      <c r="M42" s="65">
        <f>IFERROR(aurora_data!L162,0)</f>
        <v>0</v>
      </c>
      <c r="N42" s="66">
        <f>IFERROR(aurora_data!M162,0)</f>
        <v>0</v>
      </c>
      <c r="O42" s="59">
        <f>IFERROR(aurora_data!N162,0)</f>
        <v>0</v>
      </c>
      <c r="P42" s="65">
        <f>IFERROR(aurora_data!O162,0)</f>
        <v>0</v>
      </c>
      <c r="Q42" s="65">
        <f>IFERROR(aurora_data!P162,0)</f>
        <v>0</v>
      </c>
      <c r="R42" s="66">
        <f>IFERROR(aurora_data!Q162,0)</f>
        <v>0</v>
      </c>
      <c r="S42" s="65">
        <f>IFERROR(aurora_data!R162,0)</f>
        <v>0</v>
      </c>
      <c r="T42" s="65">
        <f>IFERROR(aurora_data!S162,0)</f>
        <v>0</v>
      </c>
      <c r="U42" s="66">
        <f>IFERROR(aurora_data!T162,0)</f>
        <v>0</v>
      </c>
      <c r="V42" s="67" t="s">
        <v>95</v>
      </c>
      <c r="W42" s="59">
        <f>IFERROR(aurora_data!U162,0)</f>
        <v>0</v>
      </c>
      <c r="X42" s="72">
        <f t="shared" si="3"/>
        <v>0</v>
      </c>
      <c r="Y42" s="2"/>
    </row>
    <row r="43" spans="1:25" customFormat="1" ht="16.5" thickBot="1">
      <c r="A43" s="2"/>
      <c r="B43" s="211"/>
      <c r="C43" s="213"/>
      <c r="D43" s="38" t="s">
        <v>100</v>
      </c>
      <c r="E43" s="60">
        <f>IFERROR(aurora_data!D163,0)</f>
        <v>0</v>
      </c>
      <c r="F43" s="68">
        <f>IFERROR(aurora_data!E163,0)</f>
        <v>0</v>
      </c>
      <c r="G43" s="68">
        <f>IFERROR(aurora_data!F163,0)</f>
        <v>0</v>
      </c>
      <c r="H43" s="68">
        <f>IFERROR(aurora_data!G163,0)</f>
        <v>0</v>
      </c>
      <c r="I43" s="69">
        <f>IFERROR(aurora_data!H163,0)</f>
        <v>0</v>
      </c>
      <c r="J43" s="60">
        <f>IFERROR(aurora_data!I163,0)</f>
        <v>0</v>
      </c>
      <c r="K43" s="68">
        <f>IFERROR(aurora_data!J163,0)</f>
        <v>0</v>
      </c>
      <c r="L43" s="68">
        <f>IFERROR(aurora_data!K163,0)</f>
        <v>0</v>
      </c>
      <c r="M43" s="68">
        <f>IFERROR(aurora_data!L163,0)</f>
        <v>0</v>
      </c>
      <c r="N43" s="69">
        <f>IFERROR(aurora_data!M163,0)</f>
        <v>0</v>
      </c>
      <c r="O43" s="60">
        <f>IFERROR(aurora_data!N163,0)</f>
        <v>0</v>
      </c>
      <c r="P43" s="68">
        <f>IFERROR(aurora_data!O163,0)</f>
        <v>0</v>
      </c>
      <c r="Q43" s="68">
        <f>IFERROR(aurora_data!P163,0)</f>
        <v>0</v>
      </c>
      <c r="R43" s="69">
        <f>IFERROR(aurora_data!Q163,0)</f>
        <v>0</v>
      </c>
      <c r="S43" s="68">
        <f>IFERROR(aurora_data!R163,0)</f>
        <v>0</v>
      </c>
      <c r="T43" s="68">
        <f>IFERROR(aurora_data!S163,0)</f>
        <v>0</v>
      </c>
      <c r="U43" s="74">
        <f>IFERROR(aurora_data!T163,0)</f>
        <v>0</v>
      </c>
      <c r="V43" s="75" t="s">
        <v>95</v>
      </c>
      <c r="W43" s="60">
        <f>IFERROR(aurora_data!U163,0)</f>
        <v>0</v>
      </c>
      <c r="X43" s="73">
        <f t="shared" si="3"/>
        <v>0</v>
      </c>
      <c r="Y43" s="2"/>
    </row>
    <row r="44" spans="1:25" customFormat="1">
      <c r="A44" s="2"/>
      <c r="B44" s="210" t="s">
        <v>94</v>
      </c>
      <c r="C44" s="212" t="str">
        <f>aurora_data!A164</f>
        <v>10.00.00-10.11.30</v>
      </c>
      <c r="D44" s="34" t="s">
        <v>71</v>
      </c>
      <c r="E44" s="39">
        <f>IFERROR(aurora_data!D164,0)</f>
        <v>0</v>
      </c>
      <c r="F44" s="40">
        <f>IFERROR(aurora_data!E164,0)</f>
        <v>0</v>
      </c>
      <c r="G44" s="40">
        <f>IFERROR(aurora_data!F164,0)</f>
        <v>0</v>
      </c>
      <c r="H44" s="40">
        <f>IFERROR(aurora_data!G164,0)</f>
        <v>0</v>
      </c>
      <c r="I44" s="41">
        <f>IFERROR(aurora_data!H164,0)</f>
        <v>0</v>
      </c>
      <c r="J44" s="39">
        <f>IFERROR(aurora_data!I164,0)</f>
        <v>0</v>
      </c>
      <c r="K44" s="40">
        <f>IFERROR(aurora_data!J164,0)</f>
        <v>0</v>
      </c>
      <c r="L44" s="40">
        <f>IFERROR(aurora_data!K164,0)</f>
        <v>0</v>
      </c>
      <c r="M44" s="40">
        <f>IFERROR(aurora_data!L164,0)</f>
        <v>0</v>
      </c>
      <c r="N44" s="41">
        <f>IFERROR(aurora_data!M164,0)</f>
        <v>0</v>
      </c>
      <c r="O44" s="39">
        <f>IFERROR(aurora_data!N164,0)</f>
        <v>0</v>
      </c>
      <c r="P44" s="40">
        <f>IFERROR(aurora_data!O164,0)</f>
        <v>0</v>
      </c>
      <c r="Q44" s="40">
        <f>IFERROR(aurora_data!P164,0)</f>
        <v>0</v>
      </c>
      <c r="R44" s="41">
        <f>IFERROR(aurora_data!Q164,0)</f>
        <v>0</v>
      </c>
      <c r="S44" s="40">
        <f>IFERROR(aurora_data!R164,0)</f>
        <v>0</v>
      </c>
      <c r="T44" s="40">
        <f>IFERROR(aurora_data!S164,0)</f>
        <v>0</v>
      </c>
      <c r="U44" s="76">
        <f>IFERROR(aurora_data!T164,0)</f>
        <v>0</v>
      </c>
      <c r="V44" s="61" t="s">
        <v>95</v>
      </c>
      <c r="W44" s="39">
        <f>IFERROR(aurora_data!U164,0)</f>
        <v>1</v>
      </c>
      <c r="X44" s="70">
        <f>IFERROR(W44/$W$12,0)</f>
        <v>1</v>
      </c>
      <c r="Y44" s="2"/>
    </row>
    <row r="45" spans="1:25" customFormat="1">
      <c r="A45" s="2"/>
      <c r="B45" s="211"/>
      <c r="C45" s="213"/>
      <c r="D45" s="35" t="s">
        <v>96</v>
      </c>
      <c r="E45" s="110">
        <f>IFERROR(aurora_data!D165,0)</f>
        <v>0</v>
      </c>
      <c r="F45" s="62">
        <f>IFERROR(aurora_data!E165,0)</f>
        <v>0</v>
      </c>
      <c r="G45" s="62">
        <f>IFERROR(aurora_data!F165,0)</f>
        <v>0</v>
      </c>
      <c r="H45" s="62">
        <f>IFERROR(aurora_data!G165,0)</f>
        <v>0</v>
      </c>
      <c r="I45" s="63">
        <f>IFERROR(aurora_data!H165,0)</f>
        <v>0</v>
      </c>
      <c r="J45" s="36">
        <f>IFERROR(aurora_data!I165,0)</f>
        <v>0</v>
      </c>
      <c r="K45" s="62">
        <f>IFERROR(aurora_data!J165,0)</f>
        <v>0</v>
      </c>
      <c r="L45" s="62">
        <f>IFERROR(aurora_data!K165,0)</f>
        <v>0</v>
      </c>
      <c r="M45" s="62">
        <f>IFERROR(aurora_data!L165,0)</f>
        <v>0</v>
      </c>
      <c r="N45" s="63">
        <f>IFERROR(aurora_data!M165,0)</f>
        <v>0</v>
      </c>
      <c r="O45" s="36">
        <f>IFERROR(aurora_data!N165,0)</f>
        <v>0</v>
      </c>
      <c r="P45" s="62">
        <f>IFERROR(aurora_data!O165,0)</f>
        <v>0</v>
      </c>
      <c r="Q45" s="62">
        <f>IFERROR(aurora_data!P165,0)</f>
        <v>0</v>
      </c>
      <c r="R45" s="63">
        <f>IFERROR(aurora_data!Q165,0)</f>
        <v>0</v>
      </c>
      <c r="S45" s="62">
        <f>IFERROR(aurora_data!R165,0)</f>
        <v>0</v>
      </c>
      <c r="T45" s="62">
        <f>IFERROR(aurora_data!S165,0)</f>
        <v>0</v>
      </c>
      <c r="U45" s="63">
        <f>IFERROR(aurora_data!T165,0)</f>
        <v>0</v>
      </c>
      <c r="V45" s="64" t="s">
        <v>95</v>
      </c>
      <c r="W45" s="36">
        <f>IFERROR(aurora_data!U165,0)</f>
        <v>0</v>
      </c>
      <c r="X45" s="71">
        <f t="shared" ref="X45:X51" si="4">IFERROR(W45/$W$12,0)</f>
        <v>0</v>
      </c>
      <c r="Y45" s="2"/>
    </row>
    <row r="46" spans="1:25" customFormat="1">
      <c r="A46" s="2"/>
      <c r="B46" s="211"/>
      <c r="C46" s="213"/>
      <c r="D46" s="35" t="s">
        <v>60</v>
      </c>
      <c r="E46" s="110">
        <f>IFERROR(aurora_data!D166,0)</f>
        <v>0</v>
      </c>
      <c r="F46" s="62">
        <f>IFERROR(aurora_data!E166,0)</f>
        <v>0</v>
      </c>
      <c r="G46" s="62">
        <f>IFERROR(aurora_data!F166,0)</f>
        <v>0</v>
      </c>
      <c r="H46" s="62">
        <f>IFERROR(aurora_data!G166,0)</f>
        <v>0</v>
      </c>
      <c r="I46" s="63">
        <f>IFERROR(aurora_data!H166,0)</f>
        <v>0</v>
      </c>
      <c r="J46" s="36">
        <f>IFERROR(aurora_data!I166,0)</f>
        <v>0</v>
      </c>
      <c r="K46" s="62">
        <f>IFERROR(aurora_data!J166,0)</f>
        <v>0</v>
      </c>
      <c r="L46" s="62">
        <f>IFERROR(aurora_data!K166,0)</f>
        <v>0</v>
      </c>
      <c r="M46" s="62">
        <f>IFERROR(aurora_data!L166,0)</f>
        <v>0</v>
      </c>
      <c r="N46" s="63">
        <f>IFERROR(aurora_data!M166,0)</f>
        <v>0</v>
      </c>
      <c r="O46" s="36">
        <f>IFERROR(aurora_data!N166,0)</f>
        <v>0</v>
      </c>
      <c r="P46" s="62">
        <f>IFERROR(aurora_data!O166,0)</f>
        <v>0</v>
      </c>
      <c r="Q46" s="62">
        <f>IFERROR(aurora_data!P166,0)</f>
        <v>0</v>
      </c>
      <c r="R46" s="63">
        <f>IFERROR(aurora_data!Q166,0)</f>
        <v>0</v>
      </c>
      <c r="S46" s="62">
        <f>IFERROR(aurora_data!R166,0)</f>
        <v>0</v>
      </c>
      <c r="T46" s="62">
        <f>IFERROR(aurora_data!S166,0)</f>
        <v>0</v>
      </c>
      <c r="U46" s="63">
        <f>IFERROR(aurora_data!T166,0)</f>
        <v>0</v>
      </c>
      <c r="V46" s="64" t="s">
        <v>95</v>
      </c>
      <c r="W46" s="36">
        <f>IFERROR(aurora_data!U166,0)</f>
        <v>0</v>
      </c>
      <c r="X46" s="71">
        <f t="shared" si="4"/>
        <v>0</v>
      </c>
      <c r="Y46" s="2"/>
    </row>
    <row r="47" spans="1:25" customFormat="1">
      <c r="A47" s="2"/>
      <c r="B47" s="211"/>
      <c r="C47" s="213"/>
      <c r="D47" s="35" t="s">
        <v>97</v>
      </c>
      <c r="E47" s="36">
        <f>IFERROR(aurora_data!D167,0)</f>
        <v>0</v>
      </c>
      <c r="F47" s="62">
        <f>IFERROR(aurora_data!E167,0)</f>
        <v>0</v>
      </c>
      <c r="G47" s="62">
        <f>IFERROR(aurora_data!F167,0)</f>
        <v>0</v>
      </c>
      <c r="H47" s="62">
        <f>IFERROR(aurora_data!G167,0)</f>
        <v>0</v>
      </c>
      <c r="I47" s="63">
        <f>IFERROR(aurora_data!H167,0)</f>
        <v>0</v>
      </c>
      <c r="J47" s="36">
        <f>IFERROR(aurora_data!I167,0)</f>
        <v>0</v>
      </c>
      <c r="K47" s="62">
        <f>IFERROR(aurora_data!J167,0)</f>
        <v>0</v>
      </c>
      <c r="L47" s="62">
        <f>IFERROR(aurora_data!K167,0)</f>
        <v>0</v>
      </c>
      <c r="M47" s="62">
        <f>IFERROR(aurora_data!L167,0)</f>
        <v>0</v>
      </c>
      <c r="N47" s="63">
        <f>IFERROR(aurora_data!M167,0)</f>
        <v>0</v>
      </c>
      <c r="O47" s="36">
        <f>IFERROR(aurora_data!N167,0)</f>
        <v>0</v>
      </c>
      <c r="P47" s="62">
        <f>IFERROR(aurora_data!O167,0)</f>
        <v>0</v>
      </c>
      <c r="Q47" s="62">
        <f>IFERROR(aurora_data!P167,0)</f>
        <v>0</v>
      </c>
      <c r="R47" s="63">
        <f>IFERROR(aurora_data!Q167,0)</f>
        <v>0</v>
      </c>
      <c r="S47" s="62">
        <f>IFERROR(aurora_data!R167,0)</f>
        <v>0</v>
      </c>
      <c r="T47" s="62">
        <f>IFERROR(aurora_data!S167,0)</f>
        <v>0</v>
      </c>
      <c r="U47" s="63">
        <f>IFERROR(aurora_data!T167,0)</f>
        <v>0</v>
      </c>
      <c r="V47" s="64" t="s">
        <v>95</v>
      </c>
      <c r="W47" s="36">
        <f>IFERROR(aurora_data!U167,0)</f>
        <v>0</v>
      </c>
      <c r="X47" s="71">
        <f t="shared" si="4"/>
        <v>0</v>
      </c>
      <c r="Y47" s="2"/>
    </row>
    <row r="48" spans="1:25" customFormat="1">
      <c r="A48" s="2"/>
      <c r="B48" s="211"/>
      <c r="C48" s="213"/>
      <c r="D48" s="35" t="s">
        <v>98</v>
      </c>
      <c r="E48" s="36">
        <f>IFERROR(aurora_data!D168,0)</f>
        <v>0</v>
      </c>
      <c r="F48" s="62">
        <f>IFERROR(aurora_data!E168,0)</f>
        <v>0</v>
      </c>
      <c r="G48" s="62">
        <f>IFERROR(aurora_data!F168,0)</f>
        <v>0</v>
      </c>
      <c r="H48" s="62">
        <f>IFERROR(aurora_data!G168,0)</f>
        <v>0</v>
      </c>
      <c r="I48" s="63">
        <f>IFERROR(aurora_data!H168,0)</f>
        <v>0</v>
      </c>
      <c r="J48" s="36">
        <f>IFERROR(aurora_data!I168,0)</f>
        <v>0</v>
      </c>
      <c r="K48" s="62">
        <f>IFERROR(aurora_data!J168,0)</f>
        <v>0</v>
      </c>
      <c r="L48" s="62">
        <f>IFERROR(aurora_data!K168,0)</f>
        <v>0</v>
      </c>
      <c r="M48" s="62">
        <f>IFERROR(aurora_data!L168,0)</f>
        <v>0</v>
      </c>
      <c r="N48" s="63">
        <f>IFERROR(aurora_data!M168,0)</f>
        <v>0</v>
      </c>
      <c r="O48" s="36">
        <f>IFERROR(aurora_data!N168,0)</f>
        <v>0</v>
      </c>
      <c r="P48" s="62">
        <f>IFERROR(aurora_data!O168,0)</f>
        <v>0</v>
      </c>
      <c r="Q48" s="62">
        <f>IFERROR(aurora_data!P168,0)</f>
        <v>0</v>
      </c>
      <c r="R48" s="63">
        <f>IFERROR(aurora_data!Q168,0)</f>
        <v>0</v>
      </c>
      <c r="S48" s="62">
        <f>IFERROR(aurora_data!R168,0)</f>
        <v>0</v>
      </c>
      <c r="T48" s="62">
        <f>IFERROR(aurora_data!S168,0)</f>
        <v>0</v>
      </c>
      <c r="U48" s="63">
        <f>IFERROR(aurora_data!T168,0)</f>
        <v>0</v>
      </c>
      <c r="V48" s="64" t="s">
        <v>95</v>
      </c>
      <c r="W48" s="36">
        <f>IFERROR(aurora_data!U168,0)</f>
        <v>0</v>
      </c>
      <c r="X48" s="71">
        <f t="shared" si="4"/>
        <v>0</v>
      </c>
      <c r="Y48" s="2"/>
    </row>
    <row r="49" spans="1:25" customFormat="1" ht="16.5" thickBot="1">
      <c r="A49" s="2"/>
      <c r="B49" s="211"/>
      <c r="C49" s="213"/>
      <c r="D49" s="35" t="s">
        <v>99</v>
      </c>
      <c r="E49" s="36">
        <f>IFERROR(aurora_data!D169,0)</f>
        <v>0</v>
      </c>
      <c r="F49" s="62">
        <f>IFERROR(aurora_data!E169,0)</f>
        <v>0</v>
      </c>
      <c r="G49" s="62">
        <f>IFERROR(aurora_data!F169,0)</f>
        <v>0</v>
      </c>
      <c r="H49" s="62">
        <f>IFERROR(aurora_data!G169,0)</f>
        <v>0</v>
      </c>
      <c r="I49" s="63">
        <f>IFERROR(aurora_data!H169,0)</f>
        <v>0</v>
      </c>
      <c r="J49" s="36">
        <f>IFERROR(aurora_data!I169,0)</f>
        <v>0</v>
      </c>
      <c r="K49" s="62">
        <f>IFERROR(aurora_data!J169,0)</f>
        <v>0</v>
      </c>
      <c r="L49" s="62">
        <f>IFERROR(aurora_data!K169,0)</f>
        <v>0</v>
      </c>
      <c r="M49" s="62">
        <f>IFERROR(aurora_data!L169,0)</f>
        <v>0</v>
      </c>
      <c r="N49" s="63">
        <f>IFERROR(aurora_data!M169,0)</f>
        <v>0</v>
      </c>
      <c r="O49" s="36">
        <f>IFERROR(aurora_data!N169,0)</f>
        <v>0</v>
      </c>
      <c r="P49" s="62">
        <f>IFERROR(aurora_data!O169,0)</f>
        <v>0</v>
      </c>
      <c r="Q49" s="62">
        <f>IFERROR(aurora_data!P169,0)</f>
        <v>0</v>
      </c>
      <c r="R49" s="63">
        <f>IFERROR(aurora_data!Q169,0)</f>
        <v>0</v>
      </c>
      <c r="S49" s="62">
        <f>IFERROR(aurora_data!R169,0)</f>
        <v>0</v>
      </c>
      <c r="T49" s="62">
        <f>IFERROR(aurora_data!S169,0)</f>
        <v>0</v>
      </c>
      <c r="U49" s="63">
        <f>IFERROR(aurora_data!T169,0)</f>
        <v>0</v>
      </c>
      <c r="V49" s="64" t="s">
        <v>95</v>
      </c>
      <c r="W49" s="36">
        <f>IFERROR(aurora_data!U169,0)</f>
        <v>0</v>
      </c>
      <c r="X49" s="71">
        <f t="shared" si="4"/>
        <v>0</v>
      </c>
      <c r="Y49" s="2"/>
    </row>
    <row r="50" spans="1:25" customFormat="1" ht="16.5" thickBot="1">
      <c r="A50" s="2"/>
      <c r="B50" s="211"/>
      <c r="C50" s="213"/>
      <c r="D50" s="37" t="s">
        <v>64</v>
      </c>
      <c r="E50" s="59">
        <f>IFERROR(aurora_data!D170,0)</f>
        <v>0</v>
      </c>
      <c r="F50" s="65">
        <f>IFERROR(aurora_data!E170,0)</f>
        <v>0</v>
      </c>
      <c r="G50" s="65">
        <f>IFERROR(aurora_data!F170,0)</f>
        <v>0</v>
      </c>
      <c r="H50" s="65">
        <f>IFERROR(aurora_data!G170,0)</f>
        <v>0</v>
      </c>
      <c r="I50" s="66">
        <f>IFERROR(aurora_data!H170,0)</f>
        <v>0</v>
      </c>
      <c r="J50" s="59">
        <f>IFERROR(aurora_data!I170,0)</f>
        <v>0</v>
      </c>
      <c r="K50" s="65">
        <f>IFERROR(aurora_data!J170,0)</f>
        <v>0</v>
      </c>
      <c r="L50" s="65">
        <f>IFERROR(aurora_data!K170,0)</f>
        <v>0</v>
      </c>
      <c r="M50" s="65">
        <f>IFERROR(aurora_data!L170,0)</f>
        <v>0</v>
      </c>
      <c r="N50" s="66">
        <f>IFERROR(aurora_data!M170,0)</f>
        <v>0</v>
      </c>
      <c r="O50" s="59">
        <f>IFERROR(aurora_data!N170,0)</f>
        <v>0</v>
      </c>
      <c r="P50" s="65">
        <f>IFERROR(aurora_data!O170,0)</f>
        <v>0</v>
      </c>
      <c r="Q50" s="65">
        <f>IFERROR(aurora_data!P170,0)</f>
        <v>0</v>
      </c>
      <c r="R50" s="66">
        <f>IFERROR(aurora_data!Q170,0)</f>
        <v>0</v>
      </c>
      <c r="S50" s="65">
        <f>IFERROR(aurora_data!R170,0)</f>
        <v>0</v>
      </c>
      <c r="T50" s="65">
        <f>IFERROR(aurora_data!S170,0)</f>
        <v>0</v>
      </c>
      <c r="U50" s="66">
        <f>IFERROR(aurora_data!T170,0)</f>
        <v>0</v>
      </c>
      <c r="V50" s="67" t="s">
        <v>95</v>
      </c>
      <c r="W50" s="59">
        <f>IFERROR(aurora_data!U170,0)</f>
        <v>0</v>
      </c>
      <c r="X50" s="72">
        <f t="shared" si="4"/>
        <v>0</v>
      </c>
      <c r="Y50" s="2"/>
    </row>
    <row r="51" spans="1:25" customFormat="1" ht="16.5" thickBot="1">
      <c r="A51" s="2"/>
      <c r="B51" s="211"/>
      <c r="C51" s="213"/>
      <c r="D51" s="38" t="s">
        <v>100</v>
      </c>
      <c r="E51" s="60">
        <f>IFERROR(aurora_data!D171,0)</f>
        <v>0</v>
      </c>
      <c r="F51" s="68">
        <f>IFERROR(aurora_data!E171,0)</f>
        <v>0</v>
      </c>
      <c r="G51" s="68">
        <f>IFERROR(aurora_data!F171,0)</f>
        <v>0</v>
      </c>
      <c r="H51" s="68">
        <f>IFERROR(aurora_data!G171,0)</f>
        <v>0</v>
      </c>
      <c r="I51" s="69">
        <f>IFERROR(aurora_data!H171,0)</f>
        <v>0</v>
      </c>
      <c r="J51" s="60">
        <f>IFERROR(aurora_data!I171,0)</f>
        <v>0</v>
      </c>
      <c r="K51" s="68">
        <f>IFERROR(aurora_data!J171,0)</f>
        <v>0</v>
      </c>
      <c r="L51" s="68">
        <f>IFERROR(aurora_data!K171,0)</f>
        <v>0</v>
      </c>
      <c r="M51" s="68">
        <f>IFERROR(aurora_data!L171,0)</f>
        <v>0</v>
      </c>
      <c r="N51" s="69">
        <f>IFERROR(aurora_data!M171,0)</f>
        <v>0</v>
      </c>
      <c r="O51" s="60">
        <f>IFERROR(aurora_data!N171,0)</f>
        <v>0</v>
      </c>
      <c r="P51" s="68">
        <f>IFERROR(aurora_data!O171,0)</f>
        <v>0</v>
      </c>
      <c r="Q51" s="68">
        <f>IFERROR(aurora_data!P171,0)</f>
        <v>0</v>
      </c>
      <c r="R51" s="69">
        <f>IFERROR(aurora_data!Q171,0)</f>
        <v>0</v>
      </c>
      <c r="S51" s="68">
        <f>IFERROR(aurora_data!R171,0)</f>
        <v>0</v>
      </c>
      <c r="T51" s="68">
        <f>IFERROR(aurora_data!S171,0)</f>
        <v>0</v>
      </c>
      <c r="U51" s="74">
        <f>IFERROR(aurora_data!T171,0)</f>
        <v>0</v>
      </c>
      <c r="V51" s="75" t="s">
        <v>95</v>
      </c>
      <c r="W51" s="60">
        <f>IFERROR(aurora_data!U171,0)</f>
        <v>0</v>
      </c>
      <c r="X51" s="73">
        <f t="shared" si="4"/>
        <v>0</v>
      </c>
      <c r="Y51" s="2"/>
    </row>
    <row r="52" spans="1:25" customFormat="1">
      <c r="A52" s="2"/>
      <c r="B52" s="210" t="s">
        <v>94</v>
      </c>
      <c r="C52" s="212" t="str">
        <f>aurora_data!A172</f>
        <v>11.00.00-11.11.30</v>
      </c>
      <c r="D52" s="34" t="s">
        <v>71</v>
      </c>
      <c r="E52" s="39">
        <f>IFERROR(aurora_data!D172,0)</f>
        <v>0</v>
      </c>
      <c r="F52" s="40">
        <f>IFERROR(aurora_data!E172,0)</f>
        <v>0</v>
      </c>
      <c r="G52" s="40">
        <f>IFERROR(aurora_data!F172,0)</f>
        <v>0</v>
      </c>
      <c r="H52" s="40">
        <f>IFERROR(aurora_data!G172,0)</f>
        <v>0</v>
      </c>
      <c r="I52" s="41">
        <f>IFERROR(aurora_data!H172,0)</f>
        <v>0</v>
      </c>
      <c r="J52" s="39">
        <f>IFERROR(aurora_data!I172,0)</f>
        <v>0</v>
      </c>
      <c r="K52" s="40">
        <f>IFERROR(aurora_data!J172,0)</f>
        <v>0</v>
      </c>
      <c r="L52" s="40">
        <f>IFERROR(aurora_data!K172,0)</f>
        <v>0</v>
      </c>
      <c r="M52" s="40">
        <f>IFERROR(aurora_data!L172,0)</f>
        <v>0</v>
      </c>
      <c r="N52" s="41">
        <f>IFERROR(aurora_data!M172,0)</f>
        <v>0</v>
      </c>
      <c r="O52" s="39">
        <f>IFERROR(aurora_data!N172,0)</f>
        <v>0</v>
      </c>
      <c r="P52" s="40">
        <f>IFERROR(aurora_data!O172,0)</f>
        <v>0</v>
      </c>
      <c r="Q52" s="40">
        <f>IFERROR(aurora_data!P172,0)</f>
        <v>0</v>
      </c>
      <c r="R52" s="41">
        <f>IFERROR(aurora_data!Q172,0)</f>
        <v>0</v>
      </c>
      <c r="S52" s="40">
        <f>IFERROR(aurora_data!R172,0)</f>
        <v>0</v>
      </c>
      <c r="T52" s="40">
        <f>IFERROR(aurora_data!S172,0)</f>
        <v>0</v>
      </c>
      <c r="U52" s="76">
        <f>IFERROR(aurora_data!T172,0)</f>
        <v>0</v>
      </c>
      <c r="V52" s="61" t="s">
        <v>95</v>
      </c>
      <c r="W52" s="39">
        <f>IFERROR(aurora_data!U172,0)</f>
        <v>1</v>
      </c>
      <c r="X52" s="70">
        <f>IFERROR(W52/$W$12,0)</f>
        <v>1</v>
      </c>
      <c r="Y52" s="2"/>
    </row>
    <row r="53" spans="1:25" customFormat="1">
      <c r="A53" s="2"/>
      <c r="B53" s="211"/>
      <c r="C53" s="213"/>
      <c r="D53" s="35" t="s">
        <v>96</v>
      </c>
      <c r="E53" s="110">
        <f>IFERROR(aurora_data!D173,0)</f>
        <v>0</v>
      </c>
      <c r="F53" s="62">
        <f>IFERROR(aurora_data!E173,0)</f>
        <v>0</v>
      </c>
      <c r="G53" s="62">
        <f>IFERROR(aurora_data!F173,0)</f>
        <v>0</v>
      </c>
      <c r="H53" s="62">
        <f>IFERROR(aurora_data!G173,0)</f>
        <v>0</v>
      </c>
      <c r="I53" s="63">
        <f>IFERROR(aurora_data!H173,0)</f>
        <v>0</v>
      </c>
      <c r="J53" s="36">
        <f>IFERROR(aurora_data!I173,0)</f>
        <v>0</v>
      </c>
      <c r="K53" s="62">
        <f>IFERROR(aurora_data!J173,0)</f>
        <v>0</v>
      </c>
      <c r="L53" s="62">
        <f>IFERROR(aurora_data!K173,0)</f>
        <v>0</v>
      </c>
      <c r="M53" s="62">
        <f>IFERROR(aurora_data!L173,0)</f>
        <v>0</v>
      </c>
      <c r="N53" s="63">
        <f>IFERROR(aurora_data!M173,0)</f>
        <v>0</v>
      </c>
      <c r="O53" s="36">
        <f>IFERROR(aurora_data!N173,0)</f>
        <v>0</v>
      </c>
      <c r="P53" s="62">
        <f>IFERROR(aurora_data!O173,0)</f>
        <v>0</v>
      </c>
      <c r="Q53" s="62">
        <f>IFERROR(aurora_data!P173,0)</f>
        <v>0</v>
      </c>
      <c r="R53" s="63">
        <f>IFERROR(aurora_data!Q173,0)</f>
        <v>0</v>
      </c>
      <c r="S53" s="62">
        <f>IFERROR(aurora_data!R173,0)</f>
        <v>0</v>
      </c>
      <c r="T53" s="62">
        <f>IFERROR(aurora_data!S173,0)</f>
        <v>0</v>
      </c>
      <c r="U53" s="63">
        <f>IFERROR(aurora_data!T173,0)</f>
        <v>0</v>
      </c>
      <c r="V53" s="64" t="s">
        <v>95</v>
      </c>
      <c r="W53" s="36">
        <f>IFERROR(aurora_data!U173,0)</f>
        <v>0</v>
      </c>
      <c r="X53" s="71">
        <f t="shared" ref="X53:X59" si="5">IFERROR(W53/$W$12,0)</f>
        <v>0</v>
      </c>
      <c r="Y53" s="2"/>
    </row>
    <row r="54" spans="1:25" customFormat="1">
      <c r="A54" s="2"/>
      <c r="B54" s="211"/>
      <c r="C54" s="213"/>
      <c r="D54" s="35" t="s">
        <v>60</v>
      </c>
      <c r="E54" s="110">
        <f>IFERROR(aurora_data!D174,0)</f>
        <v>0</v>
      </c>
      <c r="F54" s="62">
        <f>IFERROR(aurora_data!E174,0)</f>
        <v>0</v>
      </c>
      <c r="G54" s="62">
        <f>IFERROR(aurora_data!F174,0)</f>
        <v>0</v>
      </c>
      <c r="H54" s="62">
        <f>IFERROR(aurora_data!G174,0)</f>
        <v>0</v>
      </c>
      <c r="I54" s="63">
        <f>IFERROR(aurora_data!H174,0)</f>
        <v>0</v>
      </c>
      <c r="J54" s="36">
        <f>IFERROR(aurora_data!I174,0)</f>
        <v>0</v>
      </c>
      <c r="K54" s="62">
        <f>IFERROR(aurora_data!J174,0)</f>
        <v>0</v>
      </c>
      <c r="L54" s="62">
        <f>IFERROR(aurora_data!K174,0)</f>
        <v>0</v>
      </c>
      <c r="M54" s="62">
        <f>IFERROR(aurora_data!L174,0)</f>
        <v>0</v>
      </c>
      <c r="N54" s="63">
        <f>IFERROR(aurora_data!M174,0)</f>
        <v>0</v>
      </c>
      <c r="O54" s="36">
        <f>IFERROR(aurora_data!N174,0)</f>
        <v>0</v>
      </c>
      <c r="P54" s="62">
        <f>IFERROR(aurora_data!O174,0)</f>
        <v>0</v>
      </c>
      <c r="Q54" s="62">
        <f>IFERROR(aurora_data!P174,0)</f>
        <v>0</v>
      </c>
      <c r="R54" s="63">
        <f>IFERROR(aurora_data!Q174,0)</f>
        <v>0</v>
      </c>
      <c r="S54" s="62">
        <f>IFERROR(aurora_data!R174,0)</f>
        <v>0</v>
      </c>
      <c r="T54" s="62">
        <f>IFERROR(aurora_data!S174,0)</f>
        <v>0</v>
      </c>
      <c r="U54" s="63">
        <f>IFERROR(aurora_data!T174,0)</f>
        <v>0</v>
      </c>
      <c r="V54" s="64" t="s">
        <v>95</v>
      </c>
      <c r="W54" s="36">
        <f>IFERROR(aurora_data!U174,0)</f>
        <v>0</v>
      </c>
      <c r="X54" s="71">
        <f t="shared" si="5"/>
        <v>0</v>
      </c>
      <c r="Y54" s="2"/>
    </row>
    <row r="55" spans="1:25" customFormat="1">
      <c r="A55" s="2"/>
      <c r="B55" s="211"/>
      <c r="C55" s="213"/>
      <c r="D55" s="35" t="s">
        <v>97</v>
      </c>
      <c r="E55" s="36">
        <f>IFERROR(aurora_data!D175,0)</f>
        <v>0</v>
      </c>
      <c r="F55" s="62">
        <f>IFERROR(aurora_data!E175,0)</f>
        <v>0</v>
      </c>
      <c r="G55" s="62">
        <f>IFERROR(aurora_data!F175,0)</f>
        <v>0</v>
      </c>
      <c r="H55" s="62">
        <f>IFERROR(aurora_data!G175,0)</f>
        <v>0</v>
      </c>
      <c r="I55" s="63">
        <f>IFERROR(aurora_data!H175,0)</f>
        <v>0</v>
      </c>
      <c r="J55" s="36">
        <f>IFERROR(aurora_data!I175,0)</f>
        <v>0</v>
      </c>
      <c r="K55" s="62">
        <f>IFERROR(aurora_data!J175,0)</f>
        <v>0</v>
      </c>
      <c r="L55" s="62">
        <f>IFERROR(aurora_data!K175,0)</f>
        <v>0</v>
      </c>
      <c r="M55" s="62">
        <f>IFERROR(aurora_data!L175,0)</f>
        <v>0</v>
      </c>
      <c r="N55" s="63">
        <f>IFERROR(aurora_data!M175,0)</f>
        <v>0</v>
      </c>
      <c r="O55" s="36">
        <f>IFERROR(aurora_data!N175,0)</f>
        <v>0</v>
      </c>
      <c r="P55" s="62">
        <f>IFERROR(aurora_data!O175,0)</f>
        <v>0</v>
      </c>
      <c r="Q55" s="62">
        <f>IFERROR(aurora_data!P175,0)</f>
        <v>0</v>
      </c>
      <c r="R55" s="63">
        <f>IFERROR(aurora_data!Q175,0)</f>
        <v>0</v>
      </c>
      <c r="S55" s="62">
        <f>IFERROR(aurora_data!R175,0)</f>
        <v>0</v>
      </c>
      <c r="T55" s="62">
        <f>IFERROR(aurora_data!S175,0)</f>
        <v>0</v>
      </c>
      <c r="U55" s="63">
        <f>IFERROR(aurora_data!T175,0)</f>
        <v>0</v>
      </c>
      <c r="V55" s="64" t="s">
        <v>95</v>
      </c>
      <c r="W55" s="36">
        <f>IFERROR(aurora_data!U175,0)</f>
        <v>0</v>
      </c>
      <c r="X55" s="71">
        <f t="shared" si="5"/>
        <v>0</v>
      </c>
      <c r="Y55" s="2"/>
    </row>
    <row r="56" spans="1:25" customFormat="1">
      <c r="A56" s="2"/>
      <c r="B56" s="211"/>
      <c r="C56" s="213"/>
      <c r="D56" s="35" t="s">
        <v>98</v>
      </c>
      <c r="E56" s="36">
        <f>IFERROR(aurora_data!D176,0)</f>
        <v>0</v>
      </c>
      <c r="F56" s="62">
        <f>IFERROR(aurora_data!E176,0)</f>
        <v>0</v>
      </c>
      <c r="G56" s="62">
        <f>IFERROR(aurora_data!F176,0)</f>
        <v>0</v>
      </c>
      <c r="H56" s="62">
        <f>IFERROR(aurora_data!G176,0)</f>
        <v>0</v>
      </c>
      <c r="I56" s="63">
        <f>IFERROR(aurora_data!H176,0)</f>
        <v>0</v>
      </c>
      <c r="J56" s="36">
        <f>IFERROR(aurora_data!I176,0)</f>
        <v>0</v>
      </c>
      <c r="K56" s="62">
        <f>IFERROR(aurora_data!J176,0)</f>
        <v>0</v>
      </c>
      <c r="L56" s="62">
        <f>IFERROR(aurora_data!K176,0)</f>
        <v>0</v>
      </c>
      <c r="M56" s="62">
        <f>IFERROR(aurora_data!L176,0)</f>
        <v>0</v>
      </c>
      <c r="N56" s="63">
        <f>IFERROR(aurora_data!M176,0)</f>
        <v>0</v>
      </c>
      <c r="O56" s="36">
        <f>IFERROR(aurora_data!N176,0)</f>
        <v>0</v>
      </c>
      <c r="P56" s="62">
        <f>IFERROR(aurora_data!O176,0)</f>
        <v>0</v>
      </c>
      <c r="Q56" s="62">
        <f>IFERROR(aurora_data!P176,0)</f>
        <v>0</v>
      </c>
      <c r="R56" s="63">
        <f>IFERROR(aurora_data!Q176,0)</f>
        <v>0</v>
      </c>
      <c r="S56" s="62">
        <f>IFERROR(aurora_data!R176,0)</f>
        <v>0</v>
      </c>
      <c r="T56" s="62">
        <f>IFERROR(aurora_data!S176,0)</f>
        <v>0</v>
      </c>
      <c r="U56" s="63">
        <f>IFERROR(aurora_data!T176,0)</f>
        <v>0</v>
      </c>
      <c r="V56" s="64" t="s">
        <v>95</v>
      </c>
      <c r="W56" s="36">
        <f>IFERROR(aurora_data!U176,0)</f>
        <v>0</v>
      </c>
      <c r="X56" s="71">
        <f t="shared" si="5"/>
        <v>0</v>
      </c>
      <c r="Y56" s="2"/>
    </row>
    <row r="57" spans="1:25" customFormat="1" ht="16.5" thickBot="1">
      <c r="A57" s="2"/>
      <c r="B57" s="211"/>
      <c r="C57" s="213"/>
      <c r="D57" s="35" t="s">
        <v>99</v>
      </c>
      <c r="E57" s="36">
        <f>IFERROR(aurora_data!D177,0)</f>
        <v>0</v>
      </c>
      <c r="F57" s="62">
        <f>IFERROR(aurora_data!E177,0)</f>
        <v>0</v>
      </c>
      <c r="G57" s="62">
        <f>IFERROR(aurora_data!F177,0)</f>
        <v>0</v>
      </c>
      <c r="H57" s="62">
        <f>IFERROR(aurora_data!G177,0)</f>
        <v>0</v>
      </c>
      <c r="I57" s="63">
        <f>IFERROR(aurora_data!H177,0)</f>
        <v>0</v>
      </c>
      <c r="J57" s="36">
        <f>IFERROR(aurora_data!I177,0)</f>
        <v>0</v>
      </c>
      <c r="K57" s="62">
        <f>IFERROR(aurora_data!J177,0)</f>
        <v>0</v>
      </c>
      <c r="L57" s="62">
        <f>IFERROR(aurora_data!K177,0)</f>
        <v>0</v>
      </c>
      <c r="M57" s="62">
        <f>IFERROR(aurora_data!L177,0)</f>
        <v>0</v>
      </c>
      <c r="N57" s="63">
        <f>IFERROR(aurora_data!M177,0)</f>
        <v>0</v>
      </c>
      <c r="O57" s="36">
        <f>IFERROR(aurora_data!N177,0)</f>
        <v>0</v>
      </c>
      <c r="P57" s="62">
        <f>IFERROR(aurora_data!O177,0)</f>
        <v>0</v>
      </c>
      <c r="Q57" s="62">
        <f>IFERROR(aurora_data!P177,0)</f>
        <v>0</v>
      </c>
      <c r="R57" s="63">
        <f>IFERROR(aurora_data!Q177,0)</f>
        <v>0</v>
      </c>
      <c r="S57" s="62">
        <f>IFERROR(aurora_data!R177,0)</f>
        <v>0</v>
      </c>
      <c r="T57" s="62">
        <f>IFERROR(aurora_data!S177,0)</f>
        <v>0</v>
      </c>
      <c r="U57" s="63">
        <f>IFERROR(aurora_data!T177,0)</f>
        <v>0</v>
      </c>
      <c r="V57" s="64" t="s">
        <v>95</v>
      </c>
      <c r="W57" s="36">
        <f>IFERROR(aurora_data!U177,0)</f>
        <v>0</v>
      </c>
      <c r="X57" s="71">
        <f t="shared" si="5"/>
        <v>0</v>
      </c>
      <c r="Y57" s="2"/>
    </row>
    <row r="58" spans="1:25" customFormat="1" ht="16.5" thickBot="1">
      <c r="A58" s="2"/>
      <c r="B58" s="211"/>
      <c r="C58" s="213"/>
      <c r="D58" s="37" t="s">
        <v>64</v>
      </c>
      <c r="E58" s="59">
        <f>IFERROR(aurora_data!D178,0)</f>
        <v>0</v>
      </c>
      <c r="F58" s="65">
        <f>IFERROR(aurora_data!E178,0)</f>
        <v>0</v>
      </c>
      <c r="G58" s="65">
        <f>IFERROR(aurora_data!F178,0)</f>
        <v>0</v>
      </c>
      <c r="H58" s="65">
        <f>IFERROR(aurora_data!G178,0)</f>
        <v>0</v>
      </c>
      <c r="I58" s="66">
        <f>IFERROR(aurora_data!H178,0)</f>
        <v>0</v>
      </c>
      <c r="J58" s="59">
        <f>IFERROR(aurora_data!I178,0)</f>
        <v>0</v>
      </c>
      <c r="K58" s="65">
        <f>IFERROR(aurora_data!J178,0)</f>
        <v>0</v>
      </c>
      <c r="L58" s="65">
        <f>IFERROR(aurora_data!K178,0)</f>
        <v>0</v>
      </c>
      <c r="M58" s="65">
        <f>IFERROR(aurora_data!L178,0)</f>
        <v>0</v>
      </c>
      <c r="N58" s="66">
        <f>IFERROR(aurora_data!M178,0)</f>
        <v>0</v>
      </c>
      <c r="O58" s="59">
        <f>IFERROR(aurora_data!N178,0)</f>
        <v>0</v>
      </c>
      <c r="P58" s="65">
        <f>IFERROR(aurora_data!O178,0)</f>
        <v>0</v>
      </c>
      <c r="Q58" s="65">
        <f>IFERROR(aurora_data!P178,0)</f>
        <v>0</v>
      </c>
      <c r="R58" s="66">
        <f>IFERROR(aurora_data!Q178,0)</f>
        <v>0</v>
      </c>
      <c r="S58" s="65">
        <f>IFERROR(aurora_data!R178,0)</f>
        <v>0</v>
      </c>
      <c r="T58" s="65">
        <f>IFERROR(aurora_data!S178,0)</f>
        <v>0</v>
      </c>
      <c r="U58" s="66">
        <f>IFERROR(aurora_data!T178,0)</f>
        <v>0</v>
      </c>
      <c r="V58" s="67" t="s">
        <v>95</v>
      </c>
      <c r="W58" s="59">
        <f>IFERROR(aurora_data!U178,0)</f>
        <v>0</v>
      </c>
      <c r="X58" s="72">
        <f t="shared" si="5"/>
        <v>0</v>
      </c>
      <c r="Y58" s="2"/>
    </row>
    <row r="59" spans="1:25" customFormat="1" ht="16.5" thickBot="1">
      <c r="A59" s="2"/>
      <c r="B59" s="211"/>
      <c r="C59" s="213"/>
      <c r="D59" s="38" t="s">
        <v>100</v>
      </c>
      <c r="E59" s="60">
        <f>IFERROR(aurora_data!D179,0)</f>
        <v>0</v>
      </c>
      <c r="F59" s="68">
        <f>IFERROR(aurora_data!E179,0)</f>
        <v>0</v>
      </c>
      <c r="G59" s="68">
        <f>IFERROR(aurora_data!F179,0)</f>
        <v>0</v>
      </c>
      <c r="H59" s="68">
        <f>IFERROR(aurora_data!G179,0)</f>
        <v>0</v>
      </c>
      <c r="I59" s="69">
        <f>IFERROR(aurora_data!H179,0)</f>
        <v>0</v>
      </c>
      <c r="J59" s="60">
        <f>IFERROR(aurora_data!I179,0)</f>
        <v>0</v>
      </c>
      <c r="K59" s="68">
        <f>IFERROR(aurora_data!J179,0)</f>
        <v>0</v>
      </c>
      <c r="L59" s="68">
        <f>IFERROR(aurora_data!K179,0)</f>
        <v>0</v>
      </c>
      <c r="M59" s="68">
        <f>IFERROR(aurora_data!L179,0)</f>
        <v>0</v>
      </c>
      <c r="N59" s="69">
        <f>IFERROR(aurora_data!M179,0)</f>
        <v>0</v>
      </c>
      <c r="O59" s="60">
        <f>IFERROR(aurora_data!N179,0)</f>
        <v>0</v>
      </c>
      <c r="P59" s="68">
        <f>IFERROR(aurora_data!O179,0)</f>
        <v>0</v>
      </c>
      <c r="Q59" s="68">
        <f>IFERROR(aurora_data!P179,0)</f>
        <v>0</v>
      </c>
      <c r="R59" s="69">
        <f>IFERROR(aurora_data!Q179,0)</f>
        <v>0</v>
      </c>
      <c r="S59" s="68">
        <f>IFERROR(aurora_data!R179,0)</f>
        <v>0</v>
      </c>
      <c r="T59" s="68">
        <f>IFERROR(aurora_data!S179,0)</f>
        <v>0</v>
      </c>
      <c r="U59" s="74">
        <f>IFERROR(aurora_data!T179,0)</f>
        <v>0</v>
      </c>
      <c r="V59" s="75" t="s">
        <v>95</v>
      </c>
      <c r="W59" s="60">
        <f>IFERROR(aurora_data!U179,0)</f>
        <v>0</v>
      </c>
      <c r="X59" s="73">
        <f t="shared" si="5"/>
        <v>0</v>
      </c>
      <c r="Y59" s="2"/>
    </row>
    <row r="60" spans="1:25" customFormat="1">
      <c r="A60" s="2"/>
      <c r="B60" s="210" t="s">
        <v>94</v>
      </c>
      <c r="C60" s="212" t="str">
        <f>aurora_data!A180</f>
        <v>12.00.00-12.11.30</v>
      </c>
      <c r="D60" s="34" t="s">
        <v>71</v>
      </c>
      <c r="E60" s="39">
        <f>IFERROR(aurora_data!D180,0)</f>
        <v>0</v>
      </c>
      <c r="F60" s="40">
        <f>IFERROR(aurora_data!E180,0)</f>
        <v>0</v>
      </c>
      <c r="G60" s="40">
        <f>IFERROR(aurora_data!F180,0)</f>
        <v>0</v>
      </c>
      <c r="H60" s="40">
        <f>IFERROR(aurora_data!G180,0)</f>
        <v>0</v>
      </c>
      <c r="I60" s="41">
        <f>IFERROR(aurora_data!H180,0)</f>
        <v>0</v>
      </c>
      <c r="J60" s="39">
        <f>IFERROR(aurora_data!I180,0)</f>
        <v>0</v>
      </c>
      <c r="K60" s="40">
        <f>IFERROR(aurora_data!J180,0)</f>
        <v>0</v>
      </c>
      <c r="L60" s="40">
        <f>IFERROR(aurora_data!K180,0)</f>
        <v>0</v>
      </c>
      <c r="M60" s="40">
        <f>IFERROR(aurora_data!L180,0)</f>
        <v>0</v>
      </c>
      <c r="N60" s="41">
        <f>IFERROR(aurora_data!M180,0)</f>
        <v>0</v>
      </c>
      <c r="O60" s="39">
        <f>IFERROR(aurora_data!N180,0)</f>
        <v>0</v>
      </c>
      <c r="P60" s="40">
        <f>IFERROR(aurora_data!O180,0)</f>
        <v>0</v>
      </c>
      <c r="Q60" s="40">
        <f>IFERROR(aurora_data!P180,0)</f>
        <v>0</v>
      </c>
      <c r="R60" s="41">
        <f>IFERROR(aurora_data!Q180,0)</f>
        <v>0</v>
      </c>
      <c r="S60" s="40">
        <f>IFERROR(aurora_data!R180,0)</f>
        <v>0</v>
      </c>
      <c r="T60" s="40">
        <f>IFERROR(aurora_data!S180,0)</f>
        <v>0</v>
      </c>
      <c r="U60" s="76">
        <f>IFERROR(aurora_data!T180,0)</f>
        <v>0</v>
      </c>
      <c r="V60" s="61" t="s">
        <v>95</v>
      </c>
      <c r="W60" s="39">
        <f>IFERROR(aurora_data!U180,0)</f>
        <v>1</v>
      </c>
      <c r="X60" s="70">
        <f>IFERROR(W60/$W$12,0)</f>
        <v>1</v>
      </c>
      <c r="Y60" s="2"/>
    </row>
    <row r="61" spans="1:25" customFormat="1">
      <c r="A61" s="2"/>
      <c r="B61" s="211"/>
      <c r="C61" s="213"/>
      <c r="D61" s="35" t="s">
        <v>96</v>
      </c>
      <c r="E61" s="110">
        <f>IFERROR(aurora_data!D181,0)</f>
        <v>0</v>
      </c>
      <c r="F61" s="62">
        <f>IFERROR(aurora_data!E181,0)</f>
        <v>0</v>
      </c>
      <c r="G61" s="62">
        <f>IFERROR(aurora_data!F181,0)</f>
        <v>0</v>
      </c>
      <c r="H61" s="62">
        <f>IFERROR(aurora_data!G181,0)</f>
        <v>0</v>
      </c>
      <c r="I61" s="63">
        <f>IFERROR(aurora_data!H181,0)</f>
        <v>0</v>
      </c>
      <c r="J61" s="36">
        <f>IFERROR(aurora_data!I181,0)</f>
        <v>0</v>
      </c>
      <c r="K61" s="62">
        <f>IFERROR(aurora_data!J181,0)</f>
        <v>0</v>
      </c>
      <c r="L61" s="62">
        <f>IFERROR(aurora_data!K181,0)</f>
        <v>0</v>
      </c>
      <c r="M61" s="62">
        <f>IFERROR(aurora_data!L181,0)</f>
        <v>0</v>
      </c>
      <c r="N61" s="63">
        <f>IFERROR(aurora_data!M181,0)</f>
        <v>0</v>
      </c>
      <c r="O61" s="36">
        <f>IFERROR(aurora_data!N181,0)</f>
        <v>0</v>
      </c>
      <c r="P61" s="62">
        <f>IFERROR(aurora_data!O181,0)</f>
        <v>0</v>
      </c>
      <c r="Q61" s="62">
        <f>IFERROR(aurora_data!P181,0)</f>
        <v>0</v>
      </c>
      <c r="R61" s="63">
        <f>IFERROR(aurora_data!Q181,0)</f>
        <v>0</v>
      </c>
      <c r="S61" s="62">
        <f>IFERROR(aurora_data!R181,0)</f>
        <v>0</v>
      </c>
      <c r="T61" s="62">
        <f>IFERROR(aurora_data!S181,0)</f>
        <v>0</v>
      </c>
      <c r="U61" s="63">
        <f>IFERROR(aurora_data!T181,0)</f>
        <v>0</v>
      </c>
      <c r="V61" s="64" t="s">
        <v>95</v>
      </c>
      <c r="W61" s="36">
        <f>IFERROR(aurora_data!U181,0)</f>
        <v>0</v>
      </c>
      <c r="X61" s="71">
        <f t="shared" ref="X61:X67" si="6">IFERROR(W61/$W$12,0)</f>
        <v>0</v>
      </c>
      <c r="Y61" s="2"/>
    </row>
    <row r="62" spans="1:25" customFormat="1">
      <c r="A62" s="2"/>
      <c r="B62" s="211"/>
      <c r="C62" s="213"/>
      <c r="D62" s="35" t="s">
        <v>60</v>
      </c>
      <c r="E62" s="110">
        <f>IFERROR(aurora_data!D182,0)</f>
        <v>0</v>
      </c>
      <c r="F62" s="62">
        <f>IFERROR(aurora_data!E182,0)</f>
        <v>0</v>
      </c>
      <c r="G62" s="62">
        <f>IFERROR(aurora_data!F182,0)</f>
        <v>0</v>
      </c>
      <c r="H62" s="62">
        <f>IFERROR(aurora_data!G182,0)</f>
        <v>0</v>
      </c>
      <c r="I62" s="63">
        <f>IFERROR(aurora_data!H182,0)</f>
        <v>0</v>
      </c>
      <c r="J62" s="36">
        <f>IFERROR(aurora_data!I182,0)</f>
        <v>0</v>
      </c>
      <c r="K62" s="62">
        <f>IFERROR(aurora_data!J182,0)</f>
        <v>0</v>
      </c>
      <c r="L62" s="62">
        <f>IFERROR(aurora_data!K182,0)</f>
        <v>0</v>
      </c>
      <c r="M62" s="62">
        <f>IFERROR(aurora_data!L182,0)</f>
        <v>0</v>
      </c>
      <c r="N62" s="63">
        <f>IFERROR(aurora_data!M182,0)</f>
        <v>0</v>
      </c>
      <c r="O62" s="36">
        <f>IFERROR(aurora_data!N182,0)</f>
        <v>0</v>
      </c>
      <c r="P62" s="62">
        <f>IFERROR(aurora_data!O182,0)</f>
        <v>0</v>
      </c>
      <c r="Q62" s="62">
        <f>IFERROR(aurora_data!P182,0)</f>
        <v>0</v>
      </c>
      <c r="R62" s="63">
        <f>IFERROR(aurora_data!Q182,0)</f>
        <v>0</v>
      </c>
      <c r="S62" s="62">
        <f>IFERROR(aurora_data!R182,0)</f>
        <v>0</v>
      </c>
      <c r="T62" s="62">
        <f>IFERROR(aurora_data!S182,0)</f>
        <v>0</v>
      </c>
      <c r="U62" s="63">
        <f>IFERROR(aurora_data!T182,0)</f>
        <v>0</v>
      </c>
      <c r="V62" s="64" t="s">
        <v>95</v>
      </c>
      <c r="W62" s="36">
        <f>IFERROR(aurora_data!U182,0)</f>
        <v>0</v>
      </c>
      <c r="X62" s="71">
        <f t="shared" si="6"/>
        <v>0</v>
      </c>
      <c r="Y62" s="2"/>
    </row>
    <row r="63" spans="1:25" customFormat="1">
      <c r="A63" s="2"/>
      <c r="B63" s="211"/>
      <c r="C63" s="213"/>
      <c r="D63" s="35" t="s">
        <v>97</v>
      </c>
      <c r="E63" s="36">
        <f>IFERROR(aurora_data!D183,0)</f>
        <v>0</v>
      </c>
      <c r="F63" s="62">
        <f>IFERROR(aurora_data!E183,0)</f>
        <v>0</v>
      </c>
      <c r="G63" s="62">
        <f>IFERROR(aurora_data!F183,0)</f>
        <v>0</v>
      </c>
      <c r="H63" s="62">
        <f>IFERROR(aurora_data!G183,0)</f>
        <v>0</v>
      </c>
      <c r="I63" s="63">
        <f>IFERROR(aurora_data!H183,0)</f>
        <v>0</v>
      </c>
      <c r="J63" s="36">
        <f>IFERROR(aurora_data!I183,0)</f>
        <v>0</v>
      </c>
      <c r="K63" s="62">
        <f>IFERROR(aurora_data!J183,0)</f>
        <v>0</v>
      </c>
      <c r="L63" s="62">
        <f>IFERROR(aurora_data!K183,0)</f>
        <v>0</v>
      </c>
      <c r="M63" s="62">
        <f>IFERROR(aurora_data!L183,0)</f>
        <v>0</v>
      </c>
      <c r="N63" s="63">
        <f>IFERROR(aurora_data!M183,0)</f>
        <v>0</v>
      </c>
      <c r="O63" s="36">
        <f>IFERROR(aurora_data!N183,0)</f>
        <v>0</v>
      </c>
      <c r="P63" s="62">
        <f>IFERROR(aurora_data!O183,0)</f>
        <v>0</v>
      </c>
      <c r="Q63" s="62">
        <f>IFERROR(aurora_data!P183,0)</f>
        <v>0</v>
      </c>
      <c r="R63" s="63">
        <f>IFERROR(aurora_data!Q183,0)</f>
        <v>0</v>
      </c>
      <c r="S63" s="62">
        <f>IFERROR(aurora_data!R183,0)</f>
        <v>0</v>
      </c>
      <c r="T63" s="62">
        <f>IFERROR(aurora_data!S183,0)</f>
        <v>0</v>
      </c>
      <c r="U63" s="63">
        <f>IFERROR(aurora_data!T183,0)</f>
        <v>0</v>
      </c>
      <c r="V63" s="64" t="s">
        <v>95</v>
      </c>
      <c r="W63" s="36">
        <f>IFERROR(aurora_data!U183,0)</f>
        <v>0</v>
      </c>
      <c r="X63" s="71">
        <f t="shared" si="6"/>
        <v>0</v>
      </c>
      <c r="Y63" s="2"/>
    </row>
    <row r="64" spans="1:25" customFormat="1">
      <c r="A64" s="2"/>
      <c r="B64" s="211"/>
      <c r="C64" s="213"/>
      <c r="D64" s="35" t="s">
        <v>98</v>
      </c>
      <c r="E64" s="36">
        <f>IFERROR(aurora_data!D184,0)</f>
        <v>0</v>
      </c>
      <c r="F64" s="62">
        <f>IFERROR(aurora_data!E184,0)</f>
        <v>0</v>
      </c>
      <c r="G64" s="62">
        <f>IFERROR(aurora_data!F184,0)</f>
        <v>0</v>
      </c>
      <c r="H64" s="62">
        <f>IFERROR(aurora_data!G184,0)</f>
        <v>0</v>
      </c>
      <c r="I64" s="63">
        <f>IFERROR(aurora_data!H184,0)</f>
        <v>0</v>
      </c>
      <c r="J64" s="36">
        <f>IFERROR(aurora_data!I184,0)</f>
        <v>0</v>
      </c>
      <c r="K64" s="62">
        <f>IFERROR(aurora_data!J184,0)</f>
        <v>0</v>
      </c>
      <c r="L64" s="62">
        <f>IFERROR(aurora_data!K184,0)</f>
        <v>0</v>
      </c>
      <c r="M64" s="62">
        <f>IFERROR(aurora_data!L184,0)</f>
        <v>0</v>
      </c>
      <c r="N64" s="63">
        <f>IFERROR(aurora_data!M184,0)</f>
        <v>0</v>
      </c>
      <c r="O64" s="36">
        <f>IFERROR(aurora_data!N184,0)</f>
        <v>0</v>
      </c>
      <c r="P64" s="62">
        <f>IFERROR(aurora_data!O184,0)</f>
        <v>0</v>
      </c>
      <c r="Q64" s="62">
        <f>IFERROR(aurora_data!P184,0)</f>
        <v>0</v>
      </c>
      <c r="R64" s="63">
        <f>IFERROR(aurora_data!Q184,0)</f>
        <v>0</v>
      </c>
      <c r="S64" s="62">
        <f>IFERROR(aurora_data!R184,0)</f>
        <v>0</v>
      </c>
      <c r="T64" s="62">
        <f>IFERROR(aurora_data!S184,0)</f>
        <v>0</v>
      </c>
      <c r="U64" s="63">
        <f>IFERROR(aurora_data!T184,0)</f>
        <v>0</v>
      </c>
      <c r="V64" s="64" t="s">
        <v>95</v>
      </c>
      <c r="W64" s="36">
        <f>IFERROR(aurora_data!U184,0)</f>
        <v>0</v>
      </c>
      <c r="X64" s="71">
        <f t="shared" si="6"/>
        <v>0</v>
      </c>
      <c r="Y64" s="2"/>
    </row>
    <row r="65" spans="1:25" customFormat="1" ht="16.5" thickBot="1">
      <c r="A65" s="2"/>
      <c r="B65" s="211"/>
      <c r="C65" s="213"/>
      <c r="D65" s="35" t="s">
        <v>99</v>
      </c>
      <c r="E65" s="36">
        <f>IFERROR(aurora_data!D185,0)</f>
        <v>0</v>
      </c>
      <c r="F65" s="62">
        <f>IFERROR(aurora_data!E185,0)</f>
        <v>0</v>
      </c>
      <c r="G65" s="62">
        <f>IFERROR(aurora_data!F185,0)</f>
        <v>0</v>
      </c>
      <c r="H65" s="62">
        <f>IFERROR(aurora_data!G185,0)</f>
        <v>0</v>
      </c>
      <c r="I65" s="63">
        <f>IFERROR(aurora_data!H185,0)</f>
        <v>0</v>
      </c>
      <c r="J65" s="36">
        <f>IFERROR(aurora_data!I185,0)</f>
        <v>0</v>
      </c>
      <c r="K65" s="62">
        <f>IFERROR(aurora_data!J185,0)</f>
        <v>0</v>
      </c>
      <c r="L65" s="62">
        <f>IFERROR(aurora_data!K185,0)</f>
        <v>0</v>
      </c>
      <c r="M65" s="62">
        <f>IFERROR(aurora_data!L185,0)</f>
        <v>0</v>
      </c>
      <c r="N65" s="63">
        <f>IFERROR(aurora_data!M185,0)</f>
        <v>0</v>
      </c>
      <c r="O65" s="36">
        <f>IFERROR(aurora_data!N185,0)</f>
        <v>0</v>
      </c>
      <c r="P65" s="62">
        <f>IFERROR(aurora_data!O185,0)</f>
        <v>0</v>
      </c>
      <c r="Q65" s="62">
        <f>IFERROR(aurora_data!P185,0)</f>
        <v>0</v>
      </c>
      <c r="R65" s="63">
        <f>IFERROR(aurora_data!Q185,0)</f>
        <v>0</v>
      </c>
      <c r="S65" s="62">
        <f>IFERROR(aurora_data!R185,0)</f>
        <v>0</v>
      </c>
      <c r="T65" s="62">
        <f>IFERROR(aurora_data!S185,0)</f>
        <v>0</v>
      </c>
      <c r="U65" s="63">
        <f>IFERROR(aurora_data!T185,0)</f>
        <v>0</v>
      </c>
      <c r="V65" s="64" t="s">
        <v>95</v>
      </c>
      <c r="W65" s="36">
        <f>IFERROR(aurora_data!U185,0)</f>
        <v>0</v>
      </c>
      <c r="X65" s="71">
        <f t="shared" si="6"/>
        <v>0</v>
      </c>
      <c r="Y65" s="2"/>
    </row>
    <row r="66" spans="1:25" customFormat="1" ht="16.5" thickBot="1">
      <c r="A66" s="2"/>
      <c r="B66" s="211"/>
      <c r="C66" s="213"/>
      <c r="D66" s="37" t="s">
        <v>64</v>
      </c>
      <c r="E66" s="59">
        <f>IFERROR(aurora_data!D186,0)</f>
        <v>0</v>
      </c>
      <c r="F66" s="65">
        <f>IFERROR(aurora_data!E186,0)</f>
        <v>0</v>
      </c>
      <c r="G66" s="65">
        <f>IFERROR(aurora_data!F186,0)</f>
        <v>0</v>
      </c>
      <c r="H66" s="65">
        <f>IFERROR(aurora_data!G186,0)</f>
        <v>0</v>
      </c>
      <c r="I66" s="66">
        <f>IFERROR(aurora_data!H186,0)</f>
        <v>0</v>
      </c>
      <c r="J66" s="59">
        <f>IFERROR(aurora_data!I186,0)</f>
        <v>0</v>
      </c>
      <c r="K66" s="65">
        <f>IFERROR(aurora_data!J186,0)</f>
        <v>0</v>
      </c>
      <c r="L66" s="65">
        <f>IFERROR(aurora_data!K186,0)</f>
        <v>0</v>
      </c>
      <c r="M66" s="65">
        <f>IFERROR(aurora_data!L186,0)</f>
        <v>0</v>
      </c>
      <c r="N66" s="66">
        <f>IFERROR(aurora_data!M186,0)</f>
        <v>0</v>
      </c>
      <c r="O66" s="59">
        <f>IFERROR(aurora_data!N186,0)</f>
        <v>0</v>
      </c>
      <c r="P66" s="65">
        <f>IFERROR(aurora_data!O186,0)</f>
        <v>0</v>
      </c>
      <c r="Q66" s="65">
        <f>IFERROR(aurora_data!P186,0)</f>
        <v>0</v>
      </c>
      <c r="R66" s="66">
        <f>IFERROR(aurora_data!Q186,0)</f>
        <v>0</v>
      </c>
      <c r="S66" s="65">
        <f>IFERROR(aurora_data!R186,0)</f>
        <v>0</v>
      </c>
      <c r="T66" s="65">
        <f>IFERROR(aurora_data!S186,0)</f>
        <v>0</v>
      </c>
      <c r="U66" s="66">
        <f>IFERROR(aurora_data!T186,0)</f>
        <v>0</v>
      </c>
      <c r="V66" s="67" t="s">
        <v>95</v>
      </c>
      <c r="W66" s="59">
        <f>IFERROR(aurora_data!U186,0)</f>
        <v>0</v>
      </c>
      <c r="X66" s="72">
        <f t="shared" si="6"/>
        <v>0</v>
      </c>
      <c r="Y66" s="2"/>
    </row>
    <row r="67" spans="1:25" customFormat="1" ht="16.5" thickBot="1">
      <c r="A67" s="2"/>
      <c r="B67" s="211"/>
      <c r="C67" s="213"/>
      <c r="D67" s="38" t="s">
        <v>100</v>
      </c>
      <c r="E67" s="60">
        <f>IFERROR(aurora_data!D187,0)</f>
        <v>0</v>
      </c>
      <c r="F67" s="68">
        <f>IFERROR(aurora_data!E187,0)</f>
        <v>0</v>
      </c>
      <c r="G67" s="68">
        <f>IFERROR(aurora_data!F187,0)</f>
        <v>0</v>
      </c>
      <c r="H67" s="68">
        <f>IFERROR(aurora_data!G187,0)</f>
        <v>0</v>
      </c>
      <c r="I67" s="69">
        <f>IFERROR(aurora_data!H187,0)</f>
        <v>0</v>
      </c>
      <c r="J67" s="60">
        <f>IFERROR(aurora_data!I187,0)</f>
        <v>0</v>
      </c>
      <c r="K67" s="68">
        <f>IFERROR(aurora_data!J187,0)</f>
        <v>0</v>
      </c>
      <c r="L67" s="68">
        <f>IFERROR(aurora_data!K187,0)</f>
        <v>0</v>
      </c>
      <c r="M67" s="68">
        <f>IFERROR(aurora_data!L187,0)</f>
        <v>0</v>
      </c>
      <c r="N67" s="69">
        <f>IFERROR(aurora_data!M187,0)</f>
        <v>0</v>
      </c>
      <c r="O67" s="60">
        <f>IFERROR(aurora_data!N187,0)</f>
        <v>0</v>
      </c>
      <c r="P67" s="68">
        <f>IFERROR(aurora_data!O187,0)</f>
        <v>0</v>
      </c>
      <c r="Q67" s="68">
        <f>IFERROR(aurora_data!P187,0)</f>
        <v>0</v>
      </c>
      <c r="R67" s="69">
        <f>IFERROR(aurora_data!Q187,0)</f>
        <v>0</v>
      </c>
      <c r="S67" s="68">
        <f>IFERROR(aurora_data!R187,0)</f>
        <v>0</v>
      </c>
      <c r="T67" s="68">
        <f>IFERROR(aurora_data!S187,0)</f>
        <v>0</v>
      </c>
      <c r="U67" s="74">
        <f>IFERROR(aurora_data!T187,0)</f>
        <v>0</v>
      </c>
      <c r="V67" s="75" t="s">
        <v>95</v>
      </c>
      <c r="W67" s="60">
        <f>IFERROR(aurora_data!U187,0)</f>
        <v>0</v>
      </c>
      <c r="X67" s="73">
        <f t="shared" si="6"/>
        <v>0</v>
      </c>
      <c r="Y67" s="2"/>
    </row>
    <row r="68" spans="1:25" customFormat="1">
      <c r="A68" s="2"/>
      <c r="B68" s="210" t="s">
        <v>94</v>
      </c>
      <c r="C68" s="212" t="str">
        <f>aurora_data!A188</f>
        <v>13.00.00-13.11.30</v>
      </c>
      <c r="D68" s="34" t="s">
        <v>71</v>
      </c>
      <c r="E68" s="39">
        <f>IFERROR(aurora_data!D188,0)</f>
        <v>0</v>
      </c>
      <c r="F68" s="40">
        <f>IFERROR(aurora_data!E188,0)</f>
        <v>0</v>
      </c>
      <c r="G68" s="40">
        <f>IFERROR(aurora_data!F188,0)</f>
        <v>0</v>
      </c>
      <c r="H68" s="40">
        <f>IFERROR(aurora_data!G188,0)</f>
        <v>0</v>
      </c>
      <c r="I68" s="41">
        <f>IFERROR(aurora_data!H188,0)</f>
        <v>0</v>
      </c>
      <c r="J68" s="39">
        <f>IFERROR(aurora_data!I188,0)</f>
        <v>0</v>
      </c>
      <c r="K68" s="40">
        <f>IFERROR(aurora_data!J188,0)</f>
        <v>0</v>
      </c>
      <c r="L68" s="40">
        <f>IFERROR(aurora_data!K188,0)</f>
        <v>0</v>
      </c>
      <c r="M68" s="40">
        <f>IFERROR(aurora_data!L188,0)</f>
        <v>0</v>
      </c>
      <c r="N68" s="41">
        <f>IFERROR(aurora_data!M188,0)</f>
        <v>0</v>
      </c>
      <c r="O68" s="39">
        <f>IFERROR(aurora_data!N188,0)</f>
        <v>0</v>
      </c>
      <c r="P68" s="40">
        <f>IFERROR(aurora_data!O188,0)</f>
        <v>0</v>
      </c>
      <c r="Q68" s="40">
        <f>IFERROR(aurora_data!P188,0)</f>
        <v>0</v>
      </c>
      <c r="R68" s="41">
        <f>IFERROR(aurora_data!Q188,0)</f>
        <v>0</v>
      </c>
      <c r="S68" s="40">
        <f>IFERROR(aurora_data!R188,0)</f>
        <v>0</v>
      </c>
      <c r="T68" s="40">
        <f>IFERROR(aurora_data!S188,0)</f>
        <v>0</v>
      </c>
      <c r="U68" s="76">
        <f>IFERROR(aurora_data!T188,0)</f>
        <v>0</v>
      </c>
      <c r="V68" s="61" t="s">
        <v>95</v>
      </c>
      <c r="W68" s="39">
        <f>IFERROR(aurora_data!U188,0)</f>
        <v>1</v>
      </c>
      <c r="X68" s="70">
        <f>IFERROR(W68/$W$12,0)</f>
        <v>1</v>
      </c>
      <c r="Y68" s="2"/>
    </row>
    <row r="69" spans="1:25" customFormat="1">
      <c r="A69" s="2"/>
      <c r="B69" s="211"/>
      <c r="C69" s="213"/>
      <c r="D69" s="35" t="s">
        <v>96</v>
      </c>
      <c r="E69" s="110">
        <f>IFERROR(aurora_data!D189,0)</f>
        <v>0</v>
      </c>
      <c r="F69" s="62">
        <f>IFERROR(aurora_data!E189,0)</f>
        <v>0</v>
      </c>
      <c r="G69" s="62">
        <f>IFERROR(aurora_data!F189,0)</f>
        <v>0</v>
      </c>
      <c r="H69" s="62">
        <f>IFERROR(aurora_data!G189,0)</f>
        <v>0</v>
      </c>
      <c r="I69" s="63">
        <f>IFERROR(aurora_data!H189,0)</f>
        <v>0</v>
      </c>
      <c r="J69" s="36">
        <f>IFERROR(aurora_data!I189,0)</f>
        <v>0</v>
      </c>
      <c r="K69" s="62">
        <f>IFERROR(aurora_data!J189,0)</f>
        <v>0</v>
      </c>
      <c r="L69" s="62">
        <f>IFERROR(aurora_data!K189,0)</f>
        <v>0</v>
      </c>
      <c r="M69" s="62">
        <f>IFERROR(aurora_data!L189,0)</f>
        <v>0</v>
      </c>
      <c r="N69" s="63">
        <f>IFERROR(aurora_data!M189,0)</f>
        <v>0</v>
      </c>
      <c r="O69" s="36">
        <f>IFERROR(aurora_data!N189,0)</f>
        <v>0</v>
      </c>
      <c r="P69" s="62">
        <f>IFERROR(aurora_data!O189,0)</f>
        <v>0</v>
      </c>
      <c r="Q69" s="62">
        <f>IFERROR(aurora_data!P189,0)</f>
        <v>0</v>
      </c>
      <c r="R69" s="63">
        <f>IFERROR(aurora_data!Q189,0)</f>
        <v>0</v>
      </c>
      <c r="S69" s="62">
        <f>IFERROR(aurora_data!R189,0)</f>
        <v>0</v>
      </c>
      <c r="T69" s="62">
        <f>IFERROR(aurora_data!S189,0)</f>
        <v>0</v>
      </c>
      <c r="U69" s="63">
        <f>IFERROR(aurora_data!T189,0)</f>
        <v>0</v>
      </c>
      <c r="V69" s="64" t="s">
        <v>95</v>
      </c>
      <c r="W69" s="36">
        <f>IFERROR(aurora_data!U189,0)</f>
        <v>0</v>
      </c>
      <c r="X69" s="71">
        <f t="shared" ref="X69:X75" si="7">IFERROR(W69/$W$12,0)</f>
        <v>0</v>
      </c>
      <c r="Y69" s="2"/>
    </row>
    <row r="70" spans="1:25" customFormat="1">
      <c r="A70" s="2"/>
      <c r="B70" s="211"/>
      <c r="C70" s="213"/>
      <c r="D70" s="35" t="s">
        <v>60</v>
      </c>
      <c r="E70" s="110">
        <f>IFERROR(aurora_data!D190,0)</f>
        <v>0</v>
      </c>
      <c r="F70" s="62">
        <f>IFERROR(aurora_data!E190,0)</f>
        <v>0</v>
      </c>
      <c r="G70" s="62">
        <f>IFERROR(aurora_data!F190,0)</f>
        <v>0</v>
      </c>
      <c r="H70" s="62">
        <f>IFERROR(aurora_data!G190,0)</f>
        <v>0</v>
      </c>
      <c r="I70" s="63">
        <f>IFERROR(aurora_data!H190,0)</f>
        <v>0</v>
      </c>
      <c r="J70" s="36">
        <f>IFERROR(aurora_data!I190,0)</f>
        <v>0</v>
      </c>
      <c r="K70" s="62">
        <f>IFERROR(aurora_data!J190,0)</f>
        <v>0</v>
      </c>
      <c r="L70" s="62">
        <f>IFERROR(aurora_data!K190,0)</f>
        <v>0</v>
      </c>
      <c r="M70" s="62">
        <f>IFERROR(aurora_data!L190,0)</f>
        <v>0</v>
      </c>
      <c r="N70" s="63">
        <f>IFERROR(aurora_data!M190,0)</f>
        <v>0</v>
      </c>
      <c r="O70" s="36">
        <f>IFERROR(aurora_data!N190,0)</f>
        <v>0</v>
      </c>
      <c r="P70" s="62">
        <f>IFERROR(aurora_data!O190,0)</f>
        <v>0</v>
      </c>
      <c r="Q70" s="62">
        <f>IFERROR(aurora_data!P190,0)</f>
        <v>0</v>
      </c>
      <c r="R70" s="63">
        <f>IFERROR(aurora_data!Q190,0)</f>
        <v>0</v>
      </c>
      <c r="S70" s="62">
        <f>IFERROR(aurora_data!R190,0)</f>
        <v>0</v>
      </c>
      <c r="T70" s="62">
        <f>IFERROR(aurora_data!S190,0)</f>
        <v>0</v>
      </c>
      <c r="U70" s="63">
        <f>IFERROR(aurora_data!T190,0)</f>
        <v>0</v>
      </c>
      <c r="V70" s="64" t="s">
        <v>95</v>
      </c>
      <c r="W70" s="36">
        <f>IFERROR(aurora_data!U190,0)</f>
        <v>0</v>
      </c>
      <c r="X70" s="71">
        <f t="shared" si="7"/>
        <v>0</v>
      </c>
      <c r="Y70" s="2"/>
    </row>
    <row r="71" spans="1:25" customFormat="1">
      <c r="A71" s="2"/>
      <c r="B71" s="211"/>
      <c r="C71" s="213"/>
      <c r="D71" s="35" t="s">
        <v>97</v>
      </c>
      <c r="E71" s="36">
        <f>IFERROR(aurora_data!D191,0)</f>
        <v>0</v>
      </c>
      <c r="F71" s="62">
        <f>IFERROR(aurora_data!E191,0)</f>
        <v>0</v>
      </c>
      <c r="G71" s="62">
        <f>IFERROR(aurora_data!F191,0)</f>
        <v>0</v>
      </c>
      <c r="H71" s="62">
        <f>IFERROR(aurora_data!G191,0)</f>
        <v>0</v>
      </c>
      <c r="I71" s="63">
        <f>IFERROR(aurora_data!H191,0)</f>
        <v>0</v>
      </c>
      <c r="J71" s="36">
        <f>IFERROR(aurora_data!I191,0)</f>
        <v>0</v>
      </c>
      <c r="K71" s="62">
        <f>IFERROR(aurora_data!J191,0)</f>
        <v>0</v>
      </c>
      <c r="L71" s="62">
        <f>IFERROR(aurora_data!K191,0)</f>
        <v>0</v>
      </c>
      <c r="M71" s="62">
        <f>IFERROR(aurora_data!L191,0)</f>
        <v>0</v>
      </c>
      <c r="N71" s="63">
        <f>IFERROR(aurora_data!M191,0)</f>
        <v>0</v>
      </c>
      <c r="O71" s="36">
        <f>IFERROR(aurora_data!N191,0)</f>
        <v>0</v>
      </c>
      <c r="P71" s="62">
        <f>IFERROR(aurora_data!O191,0)</f>
        <v>0</v>
      </c>
      <c r="Q71" s="62">
        <f>IFERROR(aurora_data!P191,0)</f>
        <v>0</v>
      </c>
      <c r="R71" s="63">
        <f>IFERROR(aurora_data!Q191,0)</f>
        <v>0</v>
      </c>
      <c r="S71" s="62">
        <f>IFERROR(aurora_data!R191,0)</f>
        <v>0</v>
      </c>
      <c r="T71" s="62">
        <f>IFERROR(aurora_data!S191,0)</f>
        <v>0</v>
      </c>
      <c r="U71" s="63">
        <f>IFERROR(aurora_data!T191,0)</f>
        <v>0</v>
      </c>
      <c r="V71" s="64" t="s">
        <v>95</v>
      </c>
      <c r="W71" s="36">
        <f>IFERROR(aurora_data!U191,0)</f>
        <v>0</v>
      </c>
      <c r="X71" s="71">
        <f t="shared" si="7"/>
        <v>0</v>
      </c>
      <c r="Y71" s="2"/>
    </row>
    <row r="72" spans="1:25" customFormat="1">
      <c r="A72" s="2"/>
      <c r="B72" s="211"/>
      <c r="C72" s="213"/>
      <c r="D72" s="35" t="s">
        <v>98</v>
      </c>
      <c r="E72" s="36">
        <f>IFERROR(aurora_data!D192,0)</f>
        <v>0</v>
      </c>
      <c r="F72" s="62">
        <f>IFERROR(aurora_data!E192,0)</f>
        <v>0</v>
      </c>
      <c r="G72" s="62">
        <f>IFERROR(aurora_data!F192,0)</f>
        <v>0</v>
      </c>
      <c r="H72" s="62">
        <f>IFERROR(aurora_data!G192,0)</f>
        <v>0</v>
      </c>
      <c r="I72" s="63">
        <f>IFERROR(aurora_data!H192,0)</f>
        <v>0</v>
      </c>
      <c r="J72" s="36">
        <f>IFERROR(aurora_data!I192,0)</f>
        <v>0</v>
      </c>
      <c r="K72" s="62">
        <f>IFERROR(aurora_data!J192,0)</f>
        <v>0</v>
      </c>
      <c r="L72" s="62">
        <f>IFERROR(aurora_data!K192,0)</f>
        <v>0</v>
      </c>
      <c r="M72" s="62">
        <f>IFERROR(aurora_data!L192,0)</f>
        <v>0</v>
      </c>
      <c r="N72" s="63">
        <f>IFERROR(aurora_data!M192,0)</f>
        <v>0</v>
      </c>
      <c r="O72" s="36">
        <f>IFERROR(aurora_data!N192,0)</f>
        <v>0</v>
      </c>
      <c r="P72" s="62">
        <f>IFERROR(aurora_data!O192,0)</f>
        <v>0</v>
      </c>
      <c r="Q72" s="62">
        <f>IFERROR(aurora_data!P192,0)</f>
        <v>0</v>
      </c>
      <c r="R72" s="63">
        <f>IFERROR(aurora_data!Q192,0)</f>
        <v>0</v>
      </c>
      <c r="S72" s="62">
        <f>IFERROR(aurora_data!R192,0)</f>
        <v>0</v>
      </c>
      <c r="T72" s="62">
        <f>IFERROR(aurora_data!S192,0)</f>
        <v>0</v>
      </c>
      <c r="U72" s="63">
        <f>IFERROR(aurora_data!T192,0)</f>
        <v>0</v>
      </c>
      <c r="V72" s="64" t="s">
        <v>95</v>
      </c>
      <c r="W72" s="36">
        <f>IFERROR(aurora_data!U192,0)</f>
        <v>0</v>
      </c>
      <c r="X72" s="71">
        <f t="shared" si="7"/>
        <v>0</v>
      </c>
      <c r="Y72" s="2"/>
    </row>
    <row r="73" spans="1:25" customFormat="1" ht="16.5" thickBot="1">
      <c r="A73" s="2"/>
      <c r="B73" s="211"/>
      <c r="C73" s="213"/>
      <c r="D73" s="35" t="s">
        <v>99</v>
      </c>
      <c r="E73" s="36">
        <f>IFERROR(aurora_data!D193,0)</f>
        <v>0</v>
      </c>
      <c r="F73" s="62">
        <f>IFERROR(aurora_data!E193,0)</f>
        <v>0</v>
      </c>
      <c r="G73" s="62">
        <f>IFERROR(aurora_data!F193,0)</f>
        <v>0</v>
      </c>
      <c r="H73" s="62">
        <f>IFERROR(aurora_data!G193,0)</f>
        <v>0</v>
      </c>
      <c r="I73" s="63">
        <f>IFERROR(aurora_data!H193,0)</f>
        <v>0</v>
      </c>
      <c r="J73" s="36">
        <f>IFERROR(aurora_data!I193,0)</f>
        <v>0</v>
      </c>
      <c r="K73" s="62">
        <f>IFERROR(aurora_data!J193,0)</f>
        <v>0</v>
      </c>
      <c r="L73" s="62">
        <f>IFERROR(aurora_data!K193,0)</f>
        <v>0</v>
      </c>
      <c r="M73" s="62">
        <f>IFERROR(aurora_data!L193,0)</f>
        <v>0</v>
      </c>
      <c r="N73" s="63">
        <f>IFERROR(aurora_data!M193,0)</f>
        <v>0</v>
      </c>
      <c r="O73" s="36">
        <f>IFERROR(aurora_data!N193,0)</f>
        <v>0</v>
      </c>
      <c r="P73" s="62">
        <f>IFERROR(aurora_data!O193,0)</f>
        <v>0</v>
      </c>
      <c r="Q73" s="62">
        <f>IFERROR(aurora_data!P193,0)</f>
        <v>0</v>
      </c>
      <c r="R73" s="63">
        <f>IFERROR(aurora_data!Q193,0)</f>
        <v>0</v>
      </c>
      <c r="S73" s="62">
        <f>IFERROR(aurora_data!R193,0)</f>
        <v>0</v>
      </c>
      <c r="T73" s="62">
        <f>IFERROR(aurora_data!S193,0)</f>
        <v>0</v>
      </c>
      <c r="U73" s="63">
        <f>IFERROR(aurora_data!T193,0)</f>
        <v>0</v>
      </c>
      <c r="V73" s="64" t="s">
        <v>95</v>
      </c>
      <c r="W73" s="36">
        <f>IFERROR(aurora_data!U193,0)</f>
        <v>0</v>
      </c>
      <c r="X73" s="71">
        <f t="shared" si="7"/>
        <v>0</v>
      </c>
      <c r="Y73" s="2"/>
    </row>
    <row r="74" spans="1:25" customFormat="1" ht="16.5" thickBot="1">
      <c r="A74" s="2"/>
      <c r="B74" s="211"/>
      <c r="C74" s="213"/>
      <c r="D74" s="37" t="s">
        <v>64</v>
      </c>
      <c r="E74" s="59">
        <f>IFERROR(aurora_data!D194,0)</f>
        <v>0</v>
      </c>
      <c r="F74" s="65">
        <f>IFERROR(aurora_data!E194,0)</f>
        <v>0</v>
      </c>
      <c r="G74" s="65">
        <f>IFERROR(aurora_data!F194,0)</f>
        <v>0</v>
      </c>
      <c r="H74" s="65">
        <f>IFERROR(aurora_data!G194,0)</f>
        <v>0</v>
      </c>
      <c r="I74" s="66">
        <f>IFERROR(aurora_data!H194,0)</f>
        <v>0</v>
      </c>
      <c r="J74" s="59">
        <f>IFERROR(aurora_data!I194,0)</f>
        <v>0</v>
      </c>
      <c r="K74" s="65">
        <f>IFERROR(aurora_data!J194,0)</f>
        <v>0</v>
      </c>
      <c r="L74" s="65">
        <f>IFERROR(aurora_data!K194,0)</f>
        <v>0</v>
      </c>
      <c r="M74" s="65">
        <f>IFERROR(aurora_data!L194,0)</f>
        <v>0</v>
      </c>
      <c r="N74" s="66">
        <f>IFERROR(aurora_data!M194,0)</f>
        <v>0</v>
      </c>
      <c r="O74" s="59">
        <f>IFERROR(aurora_data!N194,0)</f>
        <v>0</v>
      </c>
      <c r="P74" s="65">
        <f>IFERROR(aurora_data!O194,0)</f>
        <v>0</v>
      </c>
      <c r="Q74" s="65">
        <f>IFERROR(aurora_data!P194,0)</f>
        <v>0</v>
      </c>
      <c r="R74" s="66">
        <f>IFERROR(aurora_data!Q194,0)</f>
        <v>0</v>
      </c>
      <c r="S74" s="65">
        <f>IFERROR(aurora_data!R194,0)</f>
        <v>0</v>
      </c>
      <c r="T74" s="65">
        <f>IFERROR(aurora_data!S194,0)</f>
        <v>0</v>
      </c>
      <c r="U74" s="66">
        <f>IFERROR(aurora_data!T194,0)</f>
        <v>0</v>
      </c>
      <c r="V74" s="67" t="s">
        <v>95</v>
      </c>
      <c r="W74" s="59">
        <f>IFERROR(aurora_data!U194,0)</f>
        <v>0</v>
      </c>
      <c r="X74" s="72">
        <f t="shared" si="7"/>
        <v>0</v>
      </c>
      <c r="Y74" s="2"/>
    </row>
    <row r="75" spans="1:25" customFormat="1" ht="16.5" thickBot="1">
      <c r="A75" s="2"/>
      <c r="B75" s="211"/>
      <c r="C75" s="213"/>
      <c r="D75" s="38" t="s">
        <v>100</v>
      </c>
      <c r="E75" s="60">
        <f>IFERROR(aurora_data!D195,0)</f>
        <v>0</v>
      </c>
      <c r="F75" s="68">
        <f>IFERROR(aurora_data!E195,0)</f>
        <v>0</v>
      </c>
      <c r="G75" s="68">
        <f>IFERROR(aurora_data!F195,0)</f>
        <v>0</v>
      </c>
      <c r="H75" s="68">
        <f>IFERROR(aurora_data!G195,0)</f>
        <v>0</v>
      </c>
      <c r="I75" s="69">
        <f>IFERROR(aurora_data!H195,0)</f>
        <v>0</v>
      </c>
      <c r="J75" s="60">
        <f>IFERROR(aurora_data!I195,0)</f>
        <v>0</v>
      </c>
      <c r="K75" s="68">
        <f>IFERROR(aurora_data!J195,0)</f>
        <v>0</v>
      </c>
      <c r="L75" s="68">
        <f>IFERROR(aurora_data!K195,0)</f>
        <v>0</v>
      </c>
      <c r="M75" s="68">
        <f>IFERROR(aurora_data!L195,0)</f>
        <v>0</v>
      </c>
      <c r="N75" s="69">
        <f>IFERROR(aurora_data!M195,0)</f>
        <v>0</v>
      </c>
      <c r="O75" s="60">
        <f>IFERROR(aurora_data!N195,0)</f>
        <v>0</v>
      </c>
      <c r="P75" s="68">
        <f>IFERROR(aurora_data!O195,0)</f>
        <v>0</v>
      </c>
      <c r="Q75" s="68">
        <f>IFERROR(aurora_data!P195,0)</f>
        <v>0</v>
      </c>
      <c r="R75" s="69">
        <f>IFERROR(aurora_data!Q195,0)</f>
        <v>0</v>
      </c>
      <c r="S75" s="68">
        <f>IFERROR(aurora_data!R195,0)</f>
        <v>0</v>
      </c>
      <c r="T75" s="68">
        <f>IFERROR(aurora_data!S195,0)</f>
        <v>0</v>
      </c>
      <c r="U75" s="74">
        <f>IFERROR(aurora_data!T195,0)</f>
        <v>0</v>
      </c>
      <c r="V75" s="75" t="s">
        <v>95</v>
      </c>
      <c r="W75" s="60">
        <f>IFERROR(aurora_data!U195,0)</f>
        <v>0</v>
      </c>
      <c r="X75" s="73">
        <f t="shared" si="7"/>
        <v>0</v>
      </c>
      <c r="Y75" s="2"/>
    </row>
    <row r="76" spans="1:25" customFormat="1">
      <c r="A76" s="2"/>
      <c r="B76" s="210" t="s">
        <v>94</v>
      </c>
      <c r="C76" s="212" t="str">
        <f>aurora_data!A196</f>
        <v>14.00.00-14.11.30</v>
      </c>
      <c r="D76" s="34" t="s">
        <v>71</v>
      </c>
      <c r="E76" s="39">
        <f>IFERROR(aurora_data!D196,0)</f>
        <v>0</v>
      </c>
      <c r="F76" s="40">
        <f>IFERROR(aurora_data!E196,0)</f>
        <v>0</v>
      </c>
      <c r="G76" s="40">
        <f>IFERROR(aurora_data!F196,0)</f>
        <v>0</v>
      </c>
      <c r="H76" s="40">
        <f>IFERROR(aurora_data!G196,0)</f>
        <v>0</v>
      </c>
      <c r="I76" s="41">
        <f>IFERROR(aurora_data!H196,0)</f>
        <v>0</v>
      </c>
      <c r="J76" s="39">
        <f>IFERROR(aurora_data!I196,0)</f>
        <v>0</v>
      </c>
      <c r="K76" s="40">
        <f>IFERROR(aurora_data!J196,0)</f>
        <v>0</v>
      </c>
      <c r="L76" s="40">
        <f>IFERROR(aurora_data!K196,0)</f>
        <v>0</v>
      </c>
      <c r="M76" s="40">
        <f>IFERROR(aurora_data!L196,0)</f>
        <v>0</v>
      </c>
      <c r="N76" s="41">
        <f>IFERROR(aurora_data!M196,0)</f>
        <v>0</v>
      </c>
      <c r="O76" s="39">
        <f>IFERROR(aurora_data!N196,0)</f>
        <v>0</v>
      </c>
      <c r="P76" s="40">
        <f>IFERROR(aurora_data!O196,0)</f>
        <v>0</v>
      </c>
      <c r="Q76" s="40">
        <f>IFERROR(aurora_data!P196,0)</f>
        <v>0</v>
      </c>
      <c r="R76" s="41">
        <f>IFERROR(aurora_data!Q196,0)</f>
        <v>0</v>
      </c>
      <c r="S76" s="40">
        <f>IFERROR(aurora_data!R196,0)</f>
        <v>0</v>
      </c>
      <c r="T76" s="40">
        <f>IFERROR(aurora_data!S196,0)</f>
        <v>0</v>
      </c>
      <c r="U76" s="76">
        <f>IFERROR(aurora_data!T196,0)</f>
        <v>0</v>
      </c>
      <c r="V76" s="61" t="s">
        <v>95</v>
      </c>
      <c r="W76" s="39">
        <f>IFERROR(aurora_data!U196,0)</f>
        <v>1</v>
      </c>
      <c r="X76" s="70">
        <f>IFERROR(W76/$W$12,0)</f>
        <v>1</v>
      </c>
      <c r="Y76" s="2"/>
    </row>
    <row r="77" spans="1:25" customFormat="1">
      <c r="A77" s="2"/>
      <c r="B77" s="211"/>
      <c r="C77" s="213"/>
      <c r="D77" s="35" t="s">
        <v>96</v>
      </c>
      <c r="E77" s="110">
        <f>IFERROR(aurora_data!D197,0)</f>
        <v>0</v>
      </c>
      <c r="F77" s="62">
        <f>IFERROR(aurora_data!E197,0)</f>
        <v>0</v>
      </c>
      <c r="G77" s="62">
        <f>IFERROR(aurora_data!F197,0)</f>
        <v>0</v>
      </c>
      <c r="H77" s="62">
        <f>IFERROR(aurora_data!G197,0)</f>
        <v>0</v>
      </c>
      <c r="I77" s="63">
        <f>IFERROR(aurora_data!H197,0)</f>
        <v>0</v>
      </c>
      <c r="J77" s="36">
        <f>IFERROR(aurora_data!I197,0)</f>
        <v>0</v>
      </c>
      <c r="K77" s="62">
        <f>IFERROR(aurora_data!J197,0)</f>
        <v>0</v>
      </c>
      <c r="L77" s="62">
        <f>IFERROR(aurora_data!K197,0)</f>
        <v>0</v>
      </c>
      <c r="M77" s="62">
        <f>IFERROR(aurora_data!L197,0)</f>
        <v>0</v>
      </c>
      <c r="N77" s="63">
        <f>IFERROR(aurora_data!M197,0)</f>
        <v>0</v>
      </c>
      <c r="O77" s="36">
        <f>IFERROR(aurora_data!N197,0)</f>
        <v>0</v>
      </c>
      <c r="P77" s="62">
        <f>IFERROR(aurora_data!O197,0)</f>
        <v>0</v>
      </c>
      <c r="Q77" s="62">
        <f>IFERROR(aurora_data!P197,0)</f>
        <v>0</v>
      </c>
      <c r="R77" s="63">
        <f>IFERROR(aurora_data!Q197,0)</f>
        <v>0</v>
      </c>
      <c r="S77" s="62">
        <f>IFERROR(aurora_data!R197,0)</f>
        <v>0</v>
      </c>
      <c r="T77" s="62">
        <f>IFERROR(aurora_data!S197,0)</f>
        <v>0</v>
      </c>
      <c r="U77" s="63">
        <f>IFERROR(aurora_data!T197,0)</f>
        <v>0</v>
      </c>
      <c r="V77" s="64" t="s">
        <v>95</v>
      </c>
      <c r="W77" s="36">
        <f>IFERROR(aurora_data!U197,0)</f>
        <v>0</v>
      </c>
      <c r="X77" s="71">
        <f t="shared" ref="X77:X83" si="8">IFERROR(W77/$W$12,0)</f>
        <v>0</v>
      </c>
      <c r="Y77" s="2"/>
    </row>
    <row r="78" spans="1:25" customFormat="1">
      <c r="A78" s="2"/>
      <c r="B78" s="211"/>
      <c r="C78" s="213"/>
      <c r="D78" s="35" t="s">
        <v>60</v>
      </c>
      <c r="E78" s="110">
        <f>IFERROR(aurora_data!D198,0)</f>
        <v>0</v>
      </c>
      <c r="F78" s="62">
        <f>IFERROR(aurora_data!E198,0)</f>
        <v>0</v>
      </c>
      <c r="G78" s="62">
        <f>IFERROR(aurora_data!F198,0)</f>
        <v>0</v>
      </c>
      <c r="H78" s="62">
        <f>IFERROR(aurora_data!G198,0)</f>
        <v>0</v>
      </c>
      <c r="I78" s="63">
        <f>IFERROR(aurora_data!H198,0)</f>
        <v>0</v>
      </c>
      <c r="J78" s="36">
        <f>IFERROR(aurora_data!I198,0)</f>
        <v>0</v>
      </c>
      <c r="K78" s="62">
        <f>IFERROR(aurora_data!J198,0)</f>
        <v>0</v>
      </c>
      <c r="L78" s="62">
        <f>IFERROR(aurora_data!K198,0)</f>
        <v>0</v>
      </c>
      <c r="M78" s="62">
        <f>IFERROR(aurora_data!L198,0)</f>
        <v>0</v>
      </c>
      <c r="N78" s="63">
        <f>IFERROR(aurora_data!M198,0)</f>
        <v>0</v>
      </c>
      <c r="O78" s="36">
        <f>IFERROR(aurora_data!N198,0)</f>
        <v>0</v>
      </c>
      <c r="P78" s="62">
        <f>IFERROR(aurora_data!O198,0)</f>
        <v>0</v>
      </c>
      <c r="Q78" s="62">
        <f>IFERROR(aurora_data!P198,0)</f>
        <v>0</v>
      </c>
      <c r="R78" s="63">
        <f>IFERROR(aurora_data!Q198,0)</f>
        <v>0</v>
      </c>
      <c r="S78" s="62">
        <f>IFERROR(aurora_data!R198,0)</f>
        <v>0</v>
      </c>
      <c r="T78" s="62">
        <f>IFERROR(aurora_data!S198,0)</f>
        <v>0</v>
      </c>
      <c r="U78" s="63">
        <f>IFERROR(aurora_data!T198,0)</f>
        <v>0</v>
      </c>
      <c r="V78" s="64" t="s">
        <v>95</v>
      </c>
      <c r="W78" s="36">
        <f>IFERROR(aurora_data!U198,0)</f>
        <v>0</v>
      </c>
      <c r="X78" s="71">
        <f t="shared" si="8"/>
        <v>0</v>
      </c>
      <c r="Y78" s="2"/>
    </row>
    <row r="79" spans="1:25" customFormat="1">
      <c r="A79" s="2"/>
      <c r="B79" s="211"/>
      <c r="C79" s="213"/>
      <c r="D79" s="35" t="s">
        <v>97</v>
      </c>
      <c r="E79" s="36">
        <f>IFERROR(aurora_data!D199,0)</f>
        <v>0</v>
      </c>
      <c r="F79" s="62">
        <f>IFERROR(aurora_data!E199,0)</f>
        <v>0</v>
      </c>
      <c r="G79" s="62">
        <f>IFERROR(aurora_data!F199,0)</f>
        <v>0</v>
      </c>
      <c r="H79" s="62">
        <f>IFERROR(aurora_data!G199,0)</f>
        <v>0</v>
      </c>
      <c r="I79" s="63">
        <f>IFERROR(aurora_data!H199,0)</f>
        <v>0</v>
      </c>
      <c r="J79" s="36">
        <f>IFERROR(aurora_data!I199,0)</f>
        <v>0</v>
      </c>
      <c r="K79" s="62">
        <f>IFERROR(aurora_data!J199,0)</f>
        <v>0</v>
      </c>
      <c r="L79" s="62">
        <f>IFERROR(aurora_data!K199,0)</f>
        <v>0</v>
      </c>
      <c r="M79" s="62">
        <f>IFERROR(aurora_data!L199,0)</f>
        <v>0</v>
      </c>
      <c r="N79" s="63">
        <f>IFERROR(aurora_data!M199,0)</f>
        <v>0</v>
      </c>
      <c r="O79" s="36">
        <f>IFERROR(aurora_data!N199,0)</f>
        <v>0</v>
      </c>
      <c r="P79" s="62">
        <f>IFERROR(aurora_data!O199,0)</f>
        <v>0</v>
      </c>
      <c r="Q79" s="62">
        <f>IFERROR(aurora_data!P199,0)</f>
        <v>0</v>
      </c>
      <c r="R79" s="63">
        <f>IFERROR(aurora_data!Q199,0)</f>
        <v>0</v>
      </c>
      <c r="S79" s="62">
        <f>IFERROR(aurora_data!R199,0)</f>
        <v>0</v>
      </c>
      <c r="T79" s="62">
        <f>IFERROR(aurora_data!S199,0)</f>
        <v>0</v>
      </c>
      <c r="U79" s="63">
        <f>IFERROR(aurora_data!T199,0)</f>
        <v>0</v>
      </c>
      <c r="V79" s="64" t="s">
        <v>95</v>
      </c>
      <c r="W79" s="36">
        <f>IFERROR(aurora_data!U199,0)</f>
        <v>0</v>
      </c>
      <c r="X79" s="71">
        <f t="shared" si="8"/>
        <v>0</v>
      </c>
      <c r="Y79" s="2"/>
    </row>
    <row r="80" spans="1:25" customFormat="1">
      <c r="A80" s="2"/>
      <c r="B80" s="211"/>
      <c r="C80" s="213"/>
      <c r="D80" s="35" t="s">
        <v>98</v>
      </c>
      <c r="E80" s="36">
        <f>IFERROR(aurora_data!D200,0)</f>
        <v>0</v>
      </c>
      <c r="F80" s="62">
        <f>IFERROR(aurora_data!E200,0)</f>
        <v>0</v>
      </c>
      <c r="G80" s="62">
        <f>IFERROR(aurora_data!F200,0)</f>
        <v>0</v>
      </c>
      <c r="H80" s="62">
        <f>IFERROR(aurora_data!G200,0)</f>
        <v>0</v>
      </c>
      <c r="I80" s="63">
        <f>IFERROR(aurora_data!H200,0)</f>
        <v>0</v>
      </c>
      <c r="J80" s="36">
        <f>IFERROR(aurora_data!I200,0)</f>
        <v>0</v>
      </c>
      <c r="K80" s="62">
        <f>IFERROR(aurora_data!J200,0)</f>
        <v>0</v>
      </c>
      <c r="L80" s="62">
        <f>IFERROR(aurora_data!K200,0)</f>
        <v>0</v>
      </c>
      <c r="M80" s="62">
        <f>IFERROR(aurora_data!L200,0)</f>
        <v>0</v>
      </c>
      <c r="N80" s="63">
        <f>IFERROR(aurora_data!M200,0)</f>
        <v>0</v>
      </c>
      <c r="O80" s="36">
        <f>IFERROR(aurora_data!N200,0)</f>
        <v>0</v>
      </c>
      <c r="P80" s="62">
        <f>IFERROR(aurora_data!O200,0)</f>
        <v>0</v>
      </c>
      <c r="Q80" s="62">
        <f>IFERROR(aurora_data!P200,0)</f>
        <v>0</v>
      </c>
      <c r="R80" s="63">
        <f>IFERROR(aurora_data!Q200,0)</f>
        <v>0</v>
      </c>
      <c r="S80" s="62">
        <f>IFERROR(aurora_data!R200,0)</f>
        <v>0</v>
      </c>
      <c r="T80" s="62">
        <f>IFERROR(aurora_data!S200,0)</f>
        <v>0</v>
      </c>
      <c r="U80" s="63">
        <f>IFERROR(aurora_data!T200,0)</f>
        <v>0</v>
      </c>
      <c r="V80" s="64" t="s">
        <v>95</v>
      </c>
      <c r="W80" s="36">
        <f>IFERROR(aurora_data!U200,0)</f>
        <v>0</v>
      </c>
      <c r="X80" s="71">
        <f t="shared" si="8"/>
        <v>0</v>
      </c>
      <c r="Y80" s="2"/>
    </row>
    <row r="81" spans="1:25" customFormat="1" ht="16.5" thickBot="1">
      <c r="A81" s="2"/>
      <c r="B81" s="211"/>
      <c r="C81" s="213"/>
      <c r="D81" s="35" t="s">
        <v>99</v>
      </c>
      <c r="E81" s="36">
        <f>IFERROR(aurora_data!D201,0)</f>
        <v>0</v>
      </c>
      <c r="F81" s="62">
        <f>IFERROR(aurora_data!E201,0)</f>
        <v>0</v>
      </c>
      <c r="G81" s="62">
        <f>IFERROR(aurora_data!F201,0)</f>
        <v>0</v>
      </c>
      <c r="H81" s="62">
        <f>IFERROR(aurora_data!G201,0)</f>
        <v>0</v>
      </c>
      <c r="I81" s="63">
        <f>IFERROR(aurora_data!H201,0)</f>
        <v>0</v>
      </c>
      <c r="J81" s="36">
        <f>IFERROR(aurora_data!I201,0)</f>
        <v>0</v>
      </c>
      <c r="K81" s="62">
        <f>IFERROR(aurora_data!J201,0)</f>
        <v>0</v>
      </c>
      <c r="L81" s="62">
        <f>IFERROR(aurora_data!K201,0)</f>
        <v>0</v>
      </c>
      <c r="M81" s="62">
        <f>IFERROR(aurora_data!L201,0)</f>
        <v>0</v>
      </c>
      <c r="N81" s="63">
        <f>IFERROR(aurora_data!M201,0)</f>
        <v>0</v>
      </c>
      <c r="O81" s="36">
        <f>IFERROR(aurora_data!N201,0)</f>
        <v>0</v>
      </c>
      <c r="P81" s="62">
        <f>IFERROR(aurora_data!O201,0)</f>
        <v>0</v>
      </c>
      <c r="Q81" s="62">
        <f>IFERROR(aurora_data!P201,0)</f>
        <v>0</v>
      </c>
      <c r="R81" s="63">
        <f>IFERROR(aurora_data!Q201,0)</f>
        <v>0</v>
      </c>
      <c r="S81" s="62">
        <f>IFERROR(aurora_data!R201,0)</f>
        <v>0</v>
      </c>
      <c r="T81" s="62">
        <f>IFERROR(aurora_data!S201,0)</f>
        <v>0</v>
      </c>
      <c r="U81" s="63">
        <f>IFERROR(aurora_data!T201,0)</f>
        <v>0</v>
      </c>
      <c r="V81" s="64" t="s">
        <v>95</v>
      </c>
      <c r="W81" s="36">
        <f>IFERROR(aurora_data!U201,0)</f>
        <v>0</v>
      </c>
      <c r="X81" s="71">
        <f t="shared" si="8"/>
        <v>0</v>
      </c>
      <c r="Y81" s="2"/>
    </row>
    <row r="82" spans="1:25" customFormat="1" ht="16.5" thickBot="1">
      <c r="A82" s="2"/>
      <c r="B82" s="211"/>
      <c r="C82" s="213"/>
      <c r="D82" s="37" t="s">
        <v>64</v>
      </c>
      <c r="E82" s="59">
        <f>IFERROR(aurora_data!D202,0)</f>
        <v>0</v>
      </c>
      <c r="F82" s="65">
        <f>IFERROR(aurora_data!E202,0)</f>
        <v>0</v>
      </c>
      <c r="G82" s="65">
        <f>IFERROR(aurora_data!F202,0)</f>
        <v>0</v>
      </c>
      <c r="H82" s="65">
        <f>IFERROR(aurora_data!G202,0)</f>
        <v>0</v>
      </c>
      <c r="I82" s="66">
        <f>IFERROR(aurora_data!H202,0)</f>
        <v>0</v>
      </c>
      <c r="J82" s="59">
        <f>IFERROR(aurora_data!I202,0)</f>
        <v>0</v>
      </c>
      <c r="K82" s="65">
        <f>IFERROR(aurora_data!J202,0)</f>
        <v>0</v>
      </c>
      <c r="L82" s="65">
        <f>IFERROR(aurora_data!K202,0)</f>
        <v>0</v>
      </c>
      <c r="M82" s="65">
        <f>IFERROR(aurora_data!L202,0)</f>
        <v>0</v>
      </c>
      <c r="N82" s="66">
        <f>IFERROR(aurora_data!M202,0)</f>
        <v>0</v>
      </c>
      <c r="O82" s="59">
        <f>IFERROR(aurora_data!N202,0)</f>
        <v>0</v>
      </c>
      <c r="P82" s="65">
        <f>IFERROR(aurora_data!O202,0)</f>
        <v>0</v>
      </c>
      <c r="Q82" s="65">
        <f>IFERROR(aurora_data!P202,0)</f>
        <v>0</v>
      </c>
      <c r="R82" s="66">
        <f>IFERROR(aurora_data!Q202,0)</f>
        <v>0</v>
      </c>
      <c r="S82" s="65">
        <f>IFERROR(aurora_data!R202,0)</f>
        <v>0</v>
      </c>
      <c r="T82" s="65">
        <f>IFERROR(aurora_data!S202,0)</f>
        <v>0</v>
      </c>
      <c r="U82" s="66">
        <f>IFERROR(aurora_data!T202,0)</f>
        <v>0</v>
      </c>
      <c r="V82" s="67" t="s">
        <v>95</v>
      </c>
      <c r="W82" s="59">
        <f>IFERROR(aurora_data!U202,0)</f>
        <v>0</v>
      </c>
      <c r="X82" s="72">
        <f t="shared" si="8"/>
        <v>0</v>
      </c>
      <c r="Y82" s="2"/>
    </row>
    <row r="83" spans="1:25" customFormat="1" ht="16.5" thickBot="1">
      <c r="A83" s="2"/>
      <c r="B83" s="211"/>
      <c r="C83" s="213"/>
      <c r="D83" s="38" t="s">
        <v>100</v>
      </c>
      <c r="E83" s="60">
        <f>IFERROR(aurora_data!D203,0)</f>
        <v>0</v>
      </c>
      <c r="F83" s="68">
        <f>IFERROR(aurora_data!E203,0)</f>
        <v>0</v>
      </c>
      <c r="G83" s="68">
        <f>IFERROR(aurora_data!F203,0)</f>
        <v>0</v>
      </c>
      <c r="H83" s="68">
        <f>IFERROR(aurora_data!G203,0)</f>
        <v>0</v>
      </c>
      <c r="I83" s="69">
        <f>IFERROR(aurora_data!H203,0)</f>
        <v>0</v>
      </c>
      <c r="J83" s="60">
        <f>IFERROR(aurora_data!I203,0)</f>
        <v>0</v>
      </c>
      <c r="K83" s="68">
        <f>IFERROR(aurora_data!J203,0)</f>
        <v>0</v>
      </c>
      <c r="L83" s="68">
        <f>IFERROR(aurora_data!K203,0)</f>
        <v>0</v>
      </c>
      <c r="M83" s="68">
        <f>IFERROR(aurora_data!L203,0)</f>
        <v>0</v>
      </c>
      <c r="N83" s="69">
        <f>IFERROR(aurora_data!M203,0)</f>
        <v>0</v>
      </c>
      <c r="O83" s="60">
        <f>IFERROR(aurora_data!N203,0)</f>
        <v>0</v>
      </c>
      <c r="P83" s="68">
        <f>IFERROR(aurora_data!O203,0)</f>
        <v>0</v>
      </c>
      <c r="Q83" s="68">
        <f>IFERROR(aurora_data!P203,0)</f>
        <v>0</v>
      </c>
      <c r="R83" s="69">
        <f>IFERROR(aurora_data!Q203,0)</f>
        <v>0</v>
      </c>
      <c r="S83" s="68">
        <f>IFERROR(aurora_data!R203,0)</f>
        <v>0</v>
      </c>
      <c r="T83" s="68">
        <f>IFERROR(aurora_data!S203,0)</f>
        <v>0</v>
      </c>
      <c r="U83" s="74">
        <f>IFERROR(aurora_data!T203,0)</f>
        <v>0</v>
      </c>
      <c r="V83" s="75" t="s">
        <v>95</v>
      </c>
      <c r="W83" s="60">
        <f>IFERROR(aurora_data!U203,0)</f>
        <v>0</v>
      </c>
      <c r="X83" s="73">
        <f t="shared" si="8"/>
        <v>0</v>
      </c>
      <c r="Y83" s="2"/>
    </row>
    <row r="84" spans="1:25" customFormat="1">
      <c r="A84" s="2"/>
      <c r="B84" s="210" t="s">
        <v>94</v>
      </c>
      <c r="C84" s="212" t="str">
        <f>aurora_data!A204</f>
        <v>15.00.00-15.11.30</v>
      </c>
      <c r="D84" s="34" t="s">
        <v>71</v>
      </c>
      <c r="E84" s="39">
        <f>IFERROR(aurora_data!D204,0)</f>
        <v>0</v>
      </c>
      <c r="F84" s="40">
        <f>IFERROR(aurora_data!E204,0)</f>
        <v>0</v>
      </c>
      <c r="G84" s="40">
        <f>IFERROR(aurora_data!F204,0)</f>
        <v>0</v>
      </c>
      <c r="H84" s="40">
        <f>IFERROR(aurora_data!G204,0)</f>
        <v>0</v>
      </c>
      <c r="I84" s="41">
        <f>IFERROR(aurora_data!H204,0)</f>
        <v>0</v>
      </c>
      <c r="J84" s="39">
        <f>IFERROR(aurora_data!I204,0)</f>
        <v>0</v>
      </c>
      <c r="K84" s="40">
        <f>IFERROR(aurora_data!J204,0)</f>
        <v>0</v>
      </c>
      <c r="L84" s="40">
        <f>IFERROR(aurora_data!K204,0)</f>
        <v>0</v>
      </c>
      <c r="M84" s="40">
        <f>IFERROR(aurora_data!L204,0)</f>
        <v>0</v>
      </c>
      <c r="N84" s="41">
        <f>IFERROR(aurora_data!M204,0)</f>
        <v>0</v>
      </c>
      <c r="O84" s="39">
        <f>IFERROR(aurora_data!N204,0)</f>
        <v>0</v>
      </c>
      <c r="P84" s="40">
        <f>IFERROR(aurora_data!O204,0)</f>
        <v>0</v>
      </c>
      <c r="Q84" s="40">
        <f>IFERROR(aurora_data!P204,0)</f>
        <v>0</v>
      </c>
      <c r="R84" s="41">
        <f>IFERROR(aurora_data!Q204,0)</f>
        <v>0</v>
      </c>
      <c r="S84" s="40">
        <f>IFERROR(aurora_data!R204,0)</f>
        <v>0</v>
      </c>
      <c r="T84" s="40">
        <f>IFERROR(aurora_data!S204,0)</f>
        <v>0</v>
      </c>
      <c r="U84" s="76">
        <f>IFERROR(aurora_data!T204,0)</f>
        <v>0</v>
      </c>
      <c r="V84" s="61" t="s">
        <v>95</v>
      </c>
      <c r="W84" s="39">
        <f>IFERROR(aurora_data!U204,0)</f>
        <v>1</v>
      </c>
      <c r="X84" s="70">
        <f>IFERROR(W84/$W$12,0)</f>
        <v>1</v>
      </c>
      <c r="Y84" s="2"/>
    </row>
    <row r="85" spans="1:25" customFormat="1">
      <c r="A85" s="2"/>
      <c r="B85" s="211"/>
      <c r="C85" s="213"/>
      <c r="D85" s="35" t="s">
        <v>96</v>
      </c>
      <c r="E85" s="110">
        <f>IFERROR(aurora_data!D205,0)</f>
        <v>0</v>
      </c>
      <c r="F85" s="62">
        <f>IFERROR(aurora_data!E205,0)</f>
        <v>0</v>
      </c>
      <c r="G85" s="62">
        <f>IFERROR(aurora_data!F205,0)</f>
        <v>1</v>
      </c>
      <c r="H85" s="62">
        <f>IFERROR(aurora_data!G205,0)</f>
        <v>0</v>
      </c>
      <c r="I85" s="63">
        <f>IFERROR(aurora_data!H205,0)</f>
        <v>0</v>
      </c>
      <c r="J85" s="36">
        <f>IFERROR(aurora_data!I205,0)</f>
        <v>0</v>
      </c>
      <c r="K85" s="62">
        <f>IFERROR(aurora_data!J205,0)</f>
        <v>0</v>
      </c>
      <c r="L85" s="62">
        <f>IFERROR(aurora_data!K205,0)</f>
        <v>0</v>
      </c>
      <c r="M85" s="62">
        <f>IFERROR(aurora_data!L205,0)</f>
        <v>1</v>
      </c>
      <c r="N85" s="63">
        <f>IFERROR(aurora_data!M205,0)</f>
        <v>0</v>
      </c>
      <c r="O85" s="36">
        <f>IFERROR(aurora_data!N205,0)</f>
        <v>0</v>
      </c>
      <c r="P85" s="62">
        <f>IFERROR(aurora_data!O205,0)</f>
        <v>0</v>
      </c>
      <c r="Q85" s="62">
        <f>IFERROR(aurora_data!P205,0)</f>
        <v>1</v>
      </c>
      <c r="R85" s="63">
        <f>IFERROR(aurora_data!Q205,0)</f>
        <v>0</v>
      </c>
      <c r="S85" s="62">
        <f>IFERROR(aurora_data!R205,0)</f>
        <v>1</v>
      </c>
      <c r="T85" s="62">
        <f>IFERROR(aurora_data!S205,0)</f>
        <v>0</v>
      </c>
      <c r="U85" s="63">
        <f>IFERROR(aurora_data!T205,0)</f>
        <v>0</v>
      </c>
      <c r="V85" s="64" t="s">
        <v>95</v>
      </c>
      <c r="W85" s="36">
        <f>IFERROR(aurora_data!U205,0)</f>
        <v>1</v>
      </c>
      <c r="X85" s="71">
        <f t="shared" ref="X85:X91" si="9">IFERROR(W85/$W$12,0)</f>
        <v>1</v>
      </c>
      <c r="Y85" s="2"/>
    </row>
    <row r="86" spans="1:25" customFormat="1">
      <c r="A86" s="2"/>
      <c r="B86" s="211"/>
      <c r="C86" s="213"/>
      <c r="D86" s="35" t="s">
        <v>60</v>
      </c>
      <c r="E86" s="110">
        <f>IFERROR(aurora_data!D206,0)</f>
        <v>0</v>
      </c>
      <c r="F86" s="62">
        <f>IFERROR(aurora_data!E206,0)</f>
        <v>0</v>
      </c>
      <c r="G86" s="62">
        <f>IFERROR(aurora_data!F206,0)</f>
        <v>0</v>
      </c>
      <c r="H86" s="62">
        <f>IFERROR(aurora_data!G206,0)</f>
        <v>0</v>
      </c>
      <c r="I86" s="63">
        <f>IFERROR(aurora_data!H206,0)</f>
        <v>0</v>
      </c>
      <c r="J86" s="36">
        <f>IFERROR(aurora_data!I206,0)</f>
        <v>0</v>
      </c>
      <c r="K86" s="62">
        <f>IFERROR(aurora_data!J206,0)</f>
        <v>0</v>
      </c>
      <c r="L86" s="62">
        <f>IFERROR(aurora_data!K206,0)</f>
        <v>0</v>
      </c>
      <c r="M86" s="62">
        <f>IFERROR(aurora_data!L206,0)</f>
        <v>0</v>
      </c>
      <c r="N86" s="63">
        <f>IFERROR(aurora_data!M206,0)</f>
        <v>0</v>
      </c>
      <c r="O86" s="36">
        <f>IFERROR(aurora_data!N206,0)</f>
        <v>0</v>
      </c>
      <c r="P86" s="62">
        <f>IFERROR(aurora_data!O206,0)</f>
        <v>0</v>
      </c>
      <c r="Q86" s="62">
        <f>IFERROR(aurora_data!P206,0)</f>
        <v>0</v>
      </c>
      <c r="R86" s="63">
        <f>IFERROR(aurora_data!Q206,0)</f>
        <v>0</v>
      </c>
      <c r="S86" s="62">
        <f>IFERROR(aurora_data!R206,0)</f>
        <v>0</v>
      </c>
      <c r="T86" s="62">
        <f>IFERROR(aurora_data!S206,0)</f>
        <v>0</v>
      </c>
      <c r="U86" s="63">
        <f>IFERROR(aurora_data!T206,0)</f>
        <v>0</v>
      </c>
      <c r="V86" s="64" t="s">
        <v>95</v>
      </c>
      <c r="W86" s="36">
        <f>IFERROR(aurora_data!U206,0)</f>
        <v>0</v>
      </c>
      <c r="X86" s="71">
        <f t="shared" si="9"/>
        <v>0</v>
      </c>
      <c r="Y86" s="2"/>
    </row>
    <row r="87" spans="1:25" customFormat="1">
      <c r="A87" s="2"/>
      <c r="B87" s="211"/>
      <c r="C87" s="213"/>
      <c r="D87" s="35" t="s">
        <v>97</v>
      </c>
      <c r="E87" s="36">
        <f>IFERROR(aurora_data!D207,0)</f>
        <v>0</v>
      </c>
      <c r="F87" s="62">
        <f>IFERROR(aurora_data!E207,0)</f>
        <v>0</v>
      </c>
      <c r="G87" s="62">
        <f>IFERROR(aurora_data!F207,0)</f>
        <v>0</v>
      </c>
      <c r="H87" s="62">
        <f>IFERROR(aurora_data!G207,0)</f>
        <v>0</v>
      </c>
      <c r="I87" s="63">
        <f>IFERROR(aurora_data!H207,0)</f>
        <v>0</v>
      </c>
      <c r="J87" s="36">
        <f>IFERROR(aurora_data!I207,0)</f>
        <v>0</v>
      </c>
      <c r="K87" s="62">
        <f>IFERROR(aurora_data!J207,0)</f>
        <v>0</v>
      </c>
      <c r="L87" s="62">
        <f>IFERROR(aurora_data!K207,0)</f>
        <v>0</v>
      </c>
      <c r="M87" s="62">
        <f>IFERROR(aurora_data!L207,0)</f>
        <v>0</v>
      </c>
      <c r="N87" s="63">
        <f>IFERROR(aurora_data!M207,0)</f>
        <v>0</v>
      </c>
      <c r="O87" s="36">
        <f>IFERROR(aurora_data!N207,0)</f>
        <v>0</v>
      </c>
      <c r="P87" s="62">
        <f>IFERROR(aurora_data!O207,0)</f>
        <v>0</v>
      </c>
      <c r="Q87" s="62">
        <f>IFERROR(aurora_data!P207,0)</f>
        <v>0</v>
      </c>
      <c r="R87" s="63">
        <f>IFERROR(aurora_data!Q207,0)</f>
        <v>0</v>
      </c>
      <c r="S87" s="62">
        <f>IFERROR(aurora_data!R207,0)</f>
        <v>0</v>
      </c>
      <c r="T87" s="62">
        <f>IFERROR(aurora_data!S207,0)</f>
        <v>0</v>
      </c>
      <c r="U87" s="63">
        <f>IFERROR(aurora_data!T207,0)</f>
        <v>0</v>
      </c>
      <c r="V87" s="64" t="s">
        <v>95</v>
      </c>
      <c r="W87" s="36">
        <f>IFERROR(aurora_data!U207,0)</f>
        <v>0</v>
      </c>
      <c r="X87" s="71">
        <f t="shared" si="9"/>
        <v>0</v>
      </c>
      <c r="Y87" s="2"/>
    </row>
    <row r="88" spans="1:25" customFormat="1">
      <c r="A88" s="2"/>
      <c r="B88" s="211"/>
      <c r="C88" s="213"/>
      <c r="D88" s="35" t="s">
        <v>98</v>
      </c>
      <c r="E88" s="36">
        <f>IFERROR(aurora_data!D208,0)</f>
        <v>0</v>
      </c>
      <c r="F88" s="62">
        <f>IFERROR(aurora_data!E208,0)</f>
        <v>0</v>
      </c>
      <c r="G88" s="62">
        <f>IFERROR(aurora_data!F208,0)</f>
        <v>0</v>
      </c>
      <c r="H88" s="62">
        <f>IFERROR(aurora_data!G208,0)</f>
        <v>0</v>
      </c>
      <c r="I88" s="63">
        <f>IFERROR(aurora_data!H208,0)</f>
        <v>0</v>
      </c>
      <c r="J88" s="36">
        <f>IFERROR(aurora_data!I208,0)</f>
        <v>0</v>
      </c>
      <c r="K88" s="62">
        <f>IFERROR(aurora_data!J208,0)</f>
        <v>0</v>
      </c>
      <c r="L88" s="62">
        <f>IFERROR(aurora_data!K208,0)</f>
        <v>0</v>
      </c>
      <c r="M88" s="62">
        <f>IFERROR(aurora_data!L208,0)</f>
        <v>0</v>
      </c>
      <c r="N88" s="63">
        <f>IFERROR(aurora_data!M208,0)</f>
        <v>0</v>
      </c>
      <c r="O88" s="36">
        <f>IFERROR(aurora_data!N208,0)</f>
        <v>0</v>
      </c>
      <c r="P88" s="62">
        <f>IFERROR(aurora_data!O208,0)</f>
        <v>0</v>
      </c>
      <c r="Q88" s="62">
        <f>IFERROR(aurora_data!P208,0)</f>
        <v>0</v>
      </c>
      <c r="R88" s="63">
        <f>IFERROR(aurora_data!Q208,0)</f>
        <v>0</v>
      </c>
      <c r="S88" s="62">
        <f>IFERROR(aurora_data!R208,0)</f>
        <v>0</v>
      </c>
      <c r="T88" s="62">
        <f>IFERROR(aurora_data!S208,0)</f>
        <v>0</v>
      </c>
      <c r="U88" s="63">
        <f>IFERROR(aurora_data!T208,0)</f>
        <v>0</v>
      </c>
      <c r="V88" s="64" t="s">
        <v>95</v>
      </c>
      <c r="W88" s="36">
        <f>IFERROR(aurora_data!U208,0)</f>
        <v>0</v>
      </c>
      <c r="X88" s="71">
        <f t="shared" si="9"/>
        <v>0</v>
      </c>
      <c r="Y88" s="2"/>
    </row>
    <row r="89" spans="1:25" customFormat="1" ht="16.5" thickBot="1">
      <c r="A89" s="2"/>
      <c r="B89" s="211"/>
      <c r="C89" s="213"/>
      <c r="D89" s="35" t="s">
        <v>99</v>
      </c>
      <c r="E89" s="36">
        <f>IFERROR(aurora_data!D209,0)</f>
        <v>0</v>
      </c>
      <c r="F89" s="62">
        <f>IFERROR(aurora_data!E209,0)</f>
        <v>0</v>
      </c>
      <c r="G89" s="62">
        <f>IFERROR(aurora_data!F209,0)</f>
        <v>0</v>
      </c>
      <c r="H89" s="62">
        <f>IFERROR(aurora_data!G209,0)</f>
        <v>0</v>
      </c>
      <c r="I89" s="63">
        <f>IFERROR(aurora_data!H209,0)</f>
        <v>0</v>
      </c>
      <c r="J89" s="36">
        <f>IFERROR(aurora_data!I209,0)</f>
        <v>0</v>
      </c>
      <c r="K89" s="62">
        <f>IFERROR(aurora_data!J209,0)</f>
        <v>0</v>
      </c>
      <c r="L89" s="62">
        <f>IFERROR(aurora_data!K209,0)</f>
        <v>0</v>
      </c>
      <c r="M89" s="62">
        <f>IFERROR(aurora_data!L209,0)</f>
        <v>0</v>
      </c>
      <c r="N89" s="63">
        <f>IFERROR(aurora_data!M209,0)</f>
        <v>0</v>
      </c>
      <c r="O89" s="36">
        <f>IFERROR(aurora_data!N209,0)</f>
        <v>0</v>
      </c>
      <c r="P89" s="62">
        <f>IFERROR(aurora_data!O209,0)</f>
        <v>0</v>
      </c>
      <c r="Q89" s="62">
        <f>IFERROR(aurora_data!P209,0)</f>
        <v>0</v>
      </c>
      <c r="R89" s="63">
        <f>IFERROR(aurora_data!Q209,0)</f>
        <v>0</v>
      </c>
      <c r="S89" s="62">
        <f>IFERROR(aurora_data!R209,0)</f>
        <v>0</v>
      </c>
      <c r="T89" s="62">
        <f>IFERROR(aurora_data!S209,0)</f>
        <v>0</v>
      </c>
      <c r="U89" s="63">
        <f>IFERROR(aurora_data!T209,0)</f>
        <v>0</v>
      </c>
      <c r="V89" s="64" t="s">
        <v>95</v>
      </c>
      <c r="W89" s="36">
        <f>IFERROR(aurora_data!U209,0)</f>
        <v>0</v>
      </c>
      <c r="X89" s="71">
        <f t="shared" si="9"/>
        <v>0</v>
      </c>
      <c r="Y89" s="2"/>
    </row>
    <row r="90" spans="1:25" customFormat="1" ht="16.5" thickBot="1">
      <c r="A90" s="2"/>
      <c r="B90" s="211"/>
      <c r="C90" s="213"/>
      <c r="D90" s="37" t="s">
        <v>64</v>
      </c>
      <c r="E90" s="59">
        <f>IFERROR(aurora_data!D210,0)</f>
        <v>0</v>
      </c>
      <c r="F90" s="65">
        <f>IFERROR(aurora_data!E210,0)</f>
        <v>0</v>
      </c>
      <c r="G90" s="65">
        <f>IFERROR(aurora_data!F210,0)</f>
        <v>1</v>
      </c>
      <c r="H90" s="65">
        <f>IFERROR(aurora_data!G210,0)</f>
        <v>0</v>
      </c>
      <c r="I90" s="66">
        <f>IFERROR(aurora_data!H210,0)</f>
        <v>0</v>
      </c>
      <c r="J90" s="59">
        <f>IFERROR(aurora_data!I210,0)</f>
        <v>0</v>
      </c>
      <c r="K90" s="65">
        <f>IFERROR(aurora_data!J210,0)</f>
        <v>0</v>
      </c>
      <c r="L90" s="65">
        <f>IFERROR(aurora_data!K210,0)</f>
        <v>0</v>
      </c>
      <c r="M90" s="65">
        <f>IFERROR(aurora_data!L210,0)</f>
        <v>1</v>
      </c>
      <c r="N90" s="66">
        <f>IFERROR(aurora_data!M210,0)</f>
        <v>0</v>
      </c>
      <c r="O90" s="59">
        <f>IFERROR(aurora_data!N210,0)</f>
        <v>0</v>
      </c>
      <c r="P90" s="65">
        <f>IFERROR(aurora_data!O210,0)</f>
        <v>0</v>
      </c>
      <c r="Q90" s="65">
        <f>IFERROR(aurora_data!P210,0)</f>
        <v>1</v>
      </c>
      <c r="R90" s="66">
        <f>IFERROR(aurora_data!Q210,0)</f>
        <v>0</v>
      </c>
      <c r="S90" s="65">
        <f>IFERROR(aurora_data!R210,0)</f>
        <v>1</v>
      </c>
      <c r="T90" s="65">
        <f>IFERROR(aurora_data!S210,0)</f>
        <v>0</v>
      </c>
      <c r="U90" s="66">
        <f>IFERROR(aurora_data!T210,0)</f>
        <v>0</v>
      </c>
      <c r="V90" s="67" t="s">
        <v>95</v>
      </c>
      <c r="W90" s="59">
        <f>IFERROR(aurora_data!U210,0)</f>
        <v>1</v>
      </c>
      <c r="X90" s="72">
        <f t="shared" si="9"/>
        <v>1</v>
      </c>
      <c r="Y90" s="2"/>
    </row>
    <row r="91" spans="1:25" customFormat="1" ht="16.5" thickBot="1">
      <c r="A91" s="2"/>
      <c r="B91" s="211"/>
      <c r="C91" s="213"/>
      <c r="D91" s="38" t="s">
        <v>100</v>
      </c>
      <c r="E91" s="60">
        <f>IFERROR(aurora_data!D211,0)</f>
        <v>0</v>
      </c>
      <c r="F91" s="68">
        <f>IFERROR(aurora_data!E211,0)</f>
        <v>0</v>
      </c>
      <c r="G91" s="68">
        <f>IFERROR(aurora_data!F211,0)</f>
        <v>0</v>
      </c>
      <c r="H91" s="68">
        <f>IFERROR(aurora_data!G211,0)</f>
        <v>0</v>
      </c>
      <c r="I91" s="69">
        <f>IFERROR(aurora_data!H211,0)</f>
        <v>0</v>
      </c>
      <c r="J91" s="60">
        <f>IFERROR(aurora_data!I211,0)</f>
        <v>0</v>
      </c>
      <c r="K91" s="68">
        <f>IFERROR(aurora_data!J211,0)</f>
        <v>0</v>
      </c>
      <c r="L91" s="68">
        <f>IFERROR(aurora_data!K211,0)</f>
        <v>0</v>
      </c>
      <c r="M91" s="68">
        <f>IFERROR(aurora_data!L211,0)</f>
        <v>0</v>
      </c>
      <c r="N91" s="69">
        <f>IFERROR(aurora_data!M211,0)</f>
        <v>0</v>
      </c>
      <c r="O91" s="60">
        <f>IFERROR(aurora_data!N211,0)</f>
        <v>0</v>
      </c>
      <c r="P91" s="68">
        <f>IFERROR(aurora_data!O211,0)</f>
        <v>0</v>
      </c>
      <c r="Q91" s="68">
        <f>IFERROR(aurora_data!P211,0)</f>
        <v>0</v>
      </c>
      <c r="R91" s="69">
        <f>IFERROR(aurora_data!Q211,0)</f>
        <v>0</v>
      </c>
      <c r="S91" s="68">
        <f>IFERROR(aurora_data!R211,0)</f>
        <v>0</v>
      </c>
      <c r="T91" s="68">
        <f>IFERROR(aurora_data!S211,0)</f>
        <v>0</v>
      </c>
      <c r="U91" s="74">
        <f>IFERROR(aurora_data!T211,0)</f>
        <v>0</v>
      </c>
      <c r="V91" s="75" t="s">
        <v>95</v>
      </c>
      <c r="W91" s="60">
        <f>IFERROR(aurora_data!U211,0)</f>
        <v>0</v>
      </c>
      <c r="X91" s="73">
        <f t="shared" si="9"/>
        <v>0</v>
      </c>
      <c r="Y91" s="2"/>
    </row>
    <row r="92" spans="1:25" customFormat="1">
      <c r="A92" s="2"/>
      <c r="B92" s="210" t="s">
        <v>94</v>
      </c>
      <c r="C92" s="212" t="str">
        <f>aurora_data!A212</f>
        <v>16.00.00-16.11.30</v>
      </c>
      <c r="D92" s="34" t="s">
        <v>71</v>
      </c>
      <c r="E92" s="39">
        <f>IFERROR(aurora_data!D212,0)</f>
        <v>0</v>
      </c>
      <c r="F92" s="40">
        <f>IFERROR(aurora_data!E212,0)</f>
        <v>0</v>
      </c>
      <c r="G92" s="40">
        <f>IFERROR(aurora_data!F212,0)</f>
        <v>0</v>
      </c>
      <c r="H92" s="40">
        <f>IFERROR(aurora_data!G212,0)</f>
        <v>0</v>
      </c>
      <c r="I92" s="41">
        <f>IFERROR(aurora_data!H212,0)</f>
        <v>0</v>
      </c>
      <c r="J92" s="39">
        <f>IFERROR(aurora_data!I212,0)</f>
        <v>0</v>
      </c>
      <c r="K92" s="40">
        <f>IFERROR(aurora_data!J212,0)</f>
        <v>0</v>
      </c>
      <c r="L92" s="40">
        <f>IFERROR(aurora_data!K212,0)</f>
        <v>0</v>
      </c>
      <c r="M92" s="40">
        <f>IFERROR(aurora_data!L212,0)</f>
        <v>0</v>
      </c>
      <c r="N92" s="41">
        <f>IFERROR(aurora_data!M212,0)</f>
        <v>0</v>
      </c>
      <c r="O92" s="39">
        <f>IFERROR(aurora_data!N212,0)</f>
        <v>0</v>
      </c>
      <c r="P92" s="40">
        <f>IFERROR(aurora_data!O212,0)</f>
        <v>0</v>
      </c>
      <c r="Q92" s="40">
        <f>IFERROR(aurora_data!P212,0)</f>
        <v>0</v>
      </c>
      <c r="R92" s="41">
        <f>IFERROR(aurora_data!Q212,0)</f>
        <v>0</v>
      </c>
      <c r="S92" s="40">
        <f>IFERROR(aurora_data!R212,0)</f>
        <v>0</v>
      </c>
      <c r="T92" s="40">
        <f>IFERROR(aurora_data!S212,0)</f>
        <v>0</v>
      </c>
      <c r="U92" s="76">
        <f>IFERROR(aurora_data!T212,0)</f>
        <v>0</v>
      </c>
      <c r="V92" s="61" t="s">
        <v>95</v>
      </c>
      <c r="W92" s="39">
        <f>IFERROR(aurora_data!U212,0)</f>
        <v>1</v>
      </c>
      <c r="X92" s="70">
        <f>IFERROR(W92/$W$12,0)</f>
        <v>1</v>
      </c>
      <c r="Y92" s="2"/>
    </row>
    <row r="93" spans="1:25" customFormat="1">
      <c r="A93" s="2"/>
      <c r="B93" s="211"/>
      <c r="C93" s="213"/>
      <c r="D93" s="35" t="s">
        <v>96</v>
      </c>
      <c r="E93" s="110">
        <f>IFERROR(aurora_data!D213,0)</f>
        <v>1</v>
      </c>
      <c r="F93" s="62">
        <f>IFERROR(aurora_data!E213,0)</f>
        <v>0</v>
      </c>
      <c r="G93" s="62">
        <f>IFERROR(aurora_data!F213,0)</f>
        <v>0</v>
      </c>
      <c r="H93" s="62">
        <f>IFERROR(aurora_data!G213,0)</f>
        <v>1</v>
      </c>
      <c r="I93" s="63">
        <f>IFERROR(aurora_data!H213,0)</f>
        <v>0</v>
      </c>
      <c r="J93" s="36">
        <f>IFERROR(aurora_data!I213,0)</f>
        <v>0</v>
      </c>
      <c r="K93" s="62">
        <f>IFERROR(aurora_data!J213,0)</f>
        <v>0</v>
      </c>
      <c r="L93" s="62">
        <f>IFERROR(aurora_data!K213,0)</f>
        <v>1</v>
      </c>
      <c r="M93" s="62">
        <f>IFERROR(aurora_data!L213,0)</f>
        <v>0</v>
      </c>
      <c r="N93" s="63">
        <f>IFERROR(aurora_data!M213,0)</f>
        <v>1</v>
      </c>
      <c r="O93" s="36">
        <f>IFERROR(aurora_data!N213,0)</f>
        <v>1</v>
      </c>
      <c r="P93" s="62">
        <f>IFERROR(aurora_data!O213,0)</f>
        <v>0</v>
      </c>
      <c r="Q93" s="62">
        <f>IFERROR(aurora_data!P213,0)</f>
        <v>0</v>
      </c>
      <c r="R93" s="63">
        <f>IFERROR(aurora_data!Q213,0)</f>
        <v>1</v>
      </c>
      <c r="S93" s="62">
        <f>IFERROR(aurora_data!R213,0)</f>
        <v>0</v>
      </c>
      <c r="T93" s="62">
        <f>IFERROR(aurora_data!S213,0)</f>
        <v>2</v>
      </c>
      <c r="U93" s="63">
        <f>IFERROR(aurora_data!T213,0)</f>
        <v>0</v>
      </c>
      <c r="V93" s="64" t="s">
        <v>95</v>
      </c>
      <c r="W93" s="36">
        <f>IFERROR(aurora_data!U213,0)</f>
        <v>2</v>
      </c>
      <c r="X93" s="71">
        <f t="shared" ref="X93:X99" si="10">IFERROR(W93/$W$12,0)</f>
        <v>2</v>
      </c>
      <c r="Y93" s="2"/>
    </row>
    <row r="94" spans="1:25" customFormat="1">
      <c r="A94" s="2"/>
      <c r="B94" s="211"/>
      <c r="C94" s="213"/>
      <c r="D94" s="35" t="s">
        <v>60</v>
      </c>
      <c r="E94" s="110">
        <f>IFERROR(aurora_data!D214,0)</f>
        <v>0</v>
      </c>
      <c r="F94" s="62">
        <f>IFERROR(aurora_data!E214,0)</f>
        <v>0</v>
      </c>
      <c r="G94" s="62">
        <f>IFERROR(aurora_data!F214,0)</f>
        <v>0</v>
      </c>
      <c r="H94" s="62">
        <f>IFERROR(aurora_data!G214,0)</f>
        <v>0</v>
      </c>
      <c r="I94" s="63">
        <f>IFERROR(aurora_data!H214,0)</f>
        <v>0</v>
      </c>
      <c r="J94" s="36">
        <f>IFERROR(aurora_data!I214,0)</f>
        <v>0</v>
      </c>
      <c r="K94" s="62">
        <f>IFERROR(aurora_data!J214,0)</f>
        <v>0</v>
      </c>
      <c r="L94" s="62">
        <f>IFERROR(aurora_data!K214,0)</f>
        <v>0</v>
      </c>
      <c r="M94" s="62">
        <f>IFERROR(aurora_data!L214,0)</f>
        <v>0</v>
      </c>
      <c r="N94" s="63">
        <f>IFERROR(aurora_data!M214,0)</f>
        <v>0</v>
      </c>
      <c r="O94" s="36">
        <f>IFERROR(aurora_data!N214,0)</f>
        <v>0</v>
      </c>
      <c r="P94" s="62">
        <f>IFERROR(aurora_data!O214,0)</f>
        <v>0</v>
      </c>
      <c r="Q94" s="62">
        <f>IFERROR(aurora_data!P214,0)</f>
        <v>0</v>
      </c>
      <c r="R94" s="63">
        <f>IFERROR(aurora_data!Q214,0)</f>
        <v>0</v>
      </c>
      <c r="S94" s="62">
        <f>IFERROR(aurora_data!R214,0)</f>
        <v>0</v>
      </c>
      <c r="T94" s="62">
        <f>IFERROR(aurora_data!S214,0)</f>
        <v>0</v>
      </c>
      <c r="U94" s="63">
        <f>IFERROR(aurora_data!T214,0)</f>
        <v>0</v>
      </c>
      <c r="V94" s="64" t="s">
        <v>95</v>
      </c>
      <c r="W94" s="36">
        <f>IFERROR(aurora_data!U214,0)</f>
        <v>0</v>
      </c>
      <c r="X94" s="71">
        <f t="shared" si="10"/>
        <v>0</v>
      </c>
      <c r="Y94" s="2"/>
    </row>
    <row r="95" spans="1:25" customFormat="1">
      <c r="A95" s="2"/>
      <c r="B95" s="211"/>
      <c r="C95" s="213"/>
      <c r="D95" s="35" t="s">
        <v>97</v>
      </c>
      <c r="E95" s="36">
        <f>IFERROR(aurora_data!D215,0)</f>
        <v>0</v>
      </c>
      <c r="F95" s="62">
        <f>IFERROR(aurora_data!E215,0)</f>
        <v>0</v>
      </c>
      <c r="G95" s="62">
        <f>IFERROR(aurora_data!F215,0)</f>
        <v>0</v>
      </c>
      <c r="H95" s="62">
        <f>IFERROR(aurora_data!G215,0)</f>
        <v>1</v>
      </c>
      <c r="I95" s="63">
        <f>IFERROR(aurora_data!H215,0)</f>
        <v>0</v>
      </c>
      <c r="J95" s="36">
        <f>IFERROR(aurora_data!I215,0)</f>
        <v>0</v>
      </c>
      <c r="K95" s="62">
        <f>IFERROR(aurora_data!J215,0)</f>
        <v>0</v>
      </c>
      <c r="L95" s="62">
        <f>IFERROR(aurora_data!K215,0)</f>
        <v>0</v>
      </c>
      <c r="M95" s="62">
        <f>IFERROR(aurora_data!L215,0)</f>
        <v>0</v>
      </c>
      <c r="N95" s="63">
        <f>IFERROR(aurora_data!M215,0)</f>
        <v>1</v>
      </c>
      <c r="O95" s="36">
        <f>IFERROR(aurora_data!N215,0)</f>
        <v>0</v>
      </c>
      <c r="P95" s="62">
        <f>IFERROR(aurora_data!O215,0)</f>
        <v>1</v>
      </c>
      <c r="Q95" s="62">
        <f>IFERROR(aurora_data!P215,0)</f>
        <v>0</v>
      </c>
      <c r="R95" s="63">
        <f>IFERROR(aurora_data!Q215,0)</f>
        <v>0</v>
      </c>
      <c r="S95" s="62">
        <f>IFERROR(aurora_data!R215,0)</f>
        <v>1</v>
      </c>
      <c r="T95" s="62">
        <f>IFERROR(aurora_data!S215,0)</f>
        <v>0</v>
      </c>
      <c r="U95" s="63">
        <f>IFERROR(aurora_data!T215,0)</f>
        <v>0</v>
      </c>
      <c r="V95" s="64" t="s">
        <v>95</v>
      </c>
      <c r="W95" s="36">
        <f>IFERROR(aurora_data!U215,0)</f>
        <v>1</v>
      </c>
      <c r="X95" s="71">
        <f t="shared" si="10"/>
        <v>1</v>
      </c>
      <c r="Y95" s="2"/>
    </row>
    <row r="96" spans="1:25" customFormat="1">
      <c r="A96" s="2"/>
      <c r="B96" s="211"/>
      <c r="C96" s="213"/>
      <c r="D96" s="35" t="s">
        <v>98</v>
      </c>
      <c r="E96" s="36">
        <f>IFERROR(aurora_data!D216,0)</f>
        <v>0</v>
      </c>
      <c r="F96" s="62">
        <f>IFERROR(aurora_data!E216,0)</f>
        <v>0</v>
      </c>
      <c r="G96" s="62">
        <f>IFERROR(aurora_data!F216,0)</f>
        <v>0</v>
      </c>
      <c r="H96" s="62">
        <f>IFERROR(aurora_data!G216,0)</f>
        <v>0</v>
      </c>
      <c r="I96" s="63">
        <f>IFERROR(aurora_data!H216,0)</f>
        <v>0</v>
      </c>
      <c r="J96" s="36">
        <f>IFERROR(aurora_data!I216,0)</f>
        <v>0</v>
      </c>
      <c r="K96" s="62">
        <f>IFERROR(aurora_data!J216,0)</f>
        <v>0</v>
      </c>
      <c r="L96" s="62">
        <f>IFERROR(aurora_data!K216,0)</f>
        <v>0</v>
      </c>
      <c r="M96" s="62">
        <f>IFERROR(aurora_data!L216,0)</f>
        <v>0</v>
      </c>
      <c r="N96" s="63">
        <f>IFERROR(aurora_data!M216,0)</f>
        <v>0</v>
      </c>
      <c r="O96" s="36">
        <f>IFERROR(aurora_data!N216,0)</f>
        <v>0</v>
      </c>
      <c r="P96" s="62">
        <f>IFERROR(aurora_data!O216,0)</f>
        <v>0</v>
      </c>
      <c r="Q96" s="62">
        <f>IFERROR(aurora_data!P216,0)</f>
        <v>0</v>
      </c>
      <c r="R96" s="63">
        <f>IFERROR(aurora_data!Q216,0)</f>
        <v>0</v>
      </c>
      <c r="S96" s="62">
        <f>IFERROR(aurora_data!R216,0)</f>
        <v>0</v>
      </c>
      <c r="T96" s="62">
        <f>IFERROR(aurora_data!S216,0)</f>
        <v>0</v>
      </c>
      <c r="U96" s="63">
        <f>IFERROR(aurora_data!T216,0)</f>
        <v>0</v>
      </c>
      <c r="V96" s="64" t="s">
        <v>95</v>
      </c>
      <c r="W96" s="36">
        <f>IFERROR(aurora_data!U216,0)</f>
        <v>0</v>
      </c>
      <c r="X96" s="71">
        <f t="shared" si="10"/>
        <v>0</v>
      </c>
      <c r="Y96" s="2"/>
    </row>
    <row r="97" spans="1:25" customFormat="1" ht="16.5" thickBot="1">
      <c r="A97" s="2"/>
      <c r="B97" s="211"/>
      <c r="C97" s="213"/>
      <c r="D97" s="35" t="s">
        <v>99</v>
      </c>
      <c r="E97" s="36">
        <f>IFERROR(aurora_data!D217,0)</f>
        <v>0</v>
      </c>
      <c r="F97" s="62">
        <f>IFERROR(aurora_data!E217,0)</f>
        <v>0</v>
      </c>
      <c r="G97" s="62">
        <f>IFERROR(aurora_data!F217,0)</f>
        <v>0</v>
      </c>
      <c r="H97" s="62">
        <f>IFERROR(aurora_data!G217,0)</f>
        <v>0</v>
      </c>
      <c r="I97" s="63">
        <f>IFERROR(aurora_data!H217,0)</f>
        <v>0</v>
      </c>
      <c r="J97" s="36">
        <f>IFERROR(aurora_data!I217,0)</f>
        <v>0</v>
      </c>
      <c r="K97" s="62">
        <f>IFERROR(aurora_data!J217,0)</f>
        <v>0</v>
      </c>
      <c r="L97" s="62">
        <f>IFERROR(aurora_data!K217,0)</f>
        <v>0</v>
      </c>
      <c r="M97" s="62">
        <f>IFERROR(aurora_data!L217,0)</f>
        <v>0</v>
      </c>
      <c r="N97" s="63">
        <f>IFERROR(aurora_data!M217,0)</f>
        <v>0</v>
      </c>
      <c r="O97" s="36">
        <f>IFERROR(aurora_data!N217,0)</f>
        <v>0</v>
      </c>
      <c r="P97" s="62">
        <f>IFERROR(aurora_data!O217,0)</f>
        <v>0</v>
      </c>
      <c r="Q97" s="62">
        <f>IFERROR(aurora_data!P217,0)</f>
        <v>0</v>
      </c>
      <c r="R97" s="63">
        <f>IFERROR(aurora_data!Q217,0)</f>
        <v>0</v>
      </c>
      <c r="S97" s="62">
        <f>IFERROR(aurora_data!R217,0)</f>
        <v>0</v>
      </c>
      <c r="T97" s="62">
        <f>IFERROR(aurora_data!S217,0)</f>
        <v>0</v>
      </c>
      <c r="U97" s="63">
        <f>IFERROR(aurora_data!T217,0)</f>
        <v>0</v>
      </c>
      <c r="V97" s="64" t="s">
        <v>95</v>
      </c>
      <c r="W97" s="36">
        <f>IFERROR(aurora_data!U217,0)</f>
        <v>0</v>
      </c>
      <c r="X97" s="71">
        <f t="shared" si="10"/>
        <v>0</v>
      </c>
      <c r="Y97" s="2"/>
    </row>
    <row r="98" spans="1:25" customFormat="1" ht="16.5" thickBot="1">
      <c r="A98" s="2"/>
      <c r="B98" s="211"/>
      <c r="C98" s="213"/>
      <c r="D98" s="37" t="s">
        <v>64</v>
      </c>
      <c r="E98" s="59">
        <f>IFERROR(aurora_data!D218,0)</f>
        <v>1</v>
      </c>
      <c r="F98" s="65">
        <f>IFERROR(aurora_data!E218,0)</f>
        <v>0</v>
      </c>
      <c r="G98" s="65">
        <f>IFERROR(aurora_data!F218,0)</f>
        <v>0</v>
      </c>
      <c r="H98" s="65">
        <f>IFERROR(aurora_data!G218,0)</f>
        <v>2</v>
      </c>
      <c r="I98" s="66">
        <f>IFERROR(aurora_data!H218,0)</f>
        <v>0</v>
      </c>
      <c r="J98" s="59">
        <f>IFERROR(aurora_data!I218,0)</f>
        <v>0</v>
      </c>
      <c r="K98" s="65">
        <f>IFERROR(aurora_data!J218,0)</f>
        <v>0</v>
      </c>
      <c r="L98" s="65">
        <f>IFERROR(aurora_data!K218,0)</f>
        <v>1</v>
      </c>
      <c r="M98" s="65">
        <f>IFERROR(aurora_data!L218,0)</f>
        <v>0</v>
      </c>
      <c r="N98" s="66">
        <f>IFERROR(aurora_data!M218,0)</f>
        <v>2</v>
      </c>
      <c r="O98" s="59">
        <f>IFERROR(aurora_data!N218,0)</f>
        <v>1</v>
      </c>
      <c r="P98" s="65">
        <f>IFERROR(aurora_data!O218,0)</f>
        <v>1</v>
      </c>
      <c r="Q98" s="65">
        <f>IFERROR(aurora_data!P218,0)</f>
        <v>0</v>
      </c>
      <c r="R98" s="66">
        <f>IFERROR(aurora_data!Q218,0)</f>
        <v>1</v>
      </c>
      <c r="S98" s="65">
        <f>IFERROR(aurora_data!R218,0)</f>
        <v>1</v>
      </c>
      <c r="T98" s="65">
        <f>IFERROR(aurora_data!S218,0)</f>
        <v>2</v>
      </c>
      <c r="U98" s="66">
        <f>IFERROR(aurora_data!T218,0)</f>
        <v>0</v>
      </c>
      <c r="V98" s="67" t="s">
        <v>95</v>
      </c>
      <c r="W98" s="59">
        <f>IFERROR(aurora_data!U218,0)</f>
        <v>3</v>
      </c>
      <c r="X98" s="72">
        <f t="shared" si="10"/>
        <v>3</v>
      </c>
      <c r="Y98" s="2"/>
    </row>
    <row r="99" spans="1:25" customFormat="1" ht="16.5" thickBot="1">
      <c r="A99" s="2"/>
      <c r="B99" s="211"/>
      <c r="C99" s="213"/>
      <c r="D99" s="38" t="s">
        <v>100</v>
      </c>
      <c r="E99" s="60">
        <f>IFERROR(aurora_data!D219,0)</f>
        <v>0</v>
      </c>
      <c r="F99" s="68">
        <f>IFERROR(aurora_data!E219,0)</f>
        <v>0</v>
      </c>
      <c r="G99" s="68">
        <f>IFERROR(aurora_data!F219,0)</f>
        <v>0</v>
      </c>
      <c r="H99" s="68">
        <f>IFERROR(aurora_data!G219,0)</f>
        <v>0</v>
      </c>
      <c r="I99" s="69">
        <f>IFERROR(aurora_data!H219,0)</f>
        <v>0</v>
      </c>
      <c r="J99" s="60">
        <f>IFERROR(aurora_data!I219,0)</f>
        <v>0</v>
      </c>
      <c r="K99" s="68">
        <f>IFERROR(aurora_data!J219,0)</f>
        <v>0</v>
      </c>
      <c r="L99" s="68">
        <f>IFERROR(aurora_data!K219,0)</f>
        <v>0</v>
      </c>
      <c r="M99" s="68">
        <f>IFERROR(aurora_data!L219,0)</f>
        <v>0</v>
      </c>
      <c r="N99" s="69">
        <f>IFERROR(aurora_data!M219,0)</f>
        <v>0</v>
      </c>
      <c r="O99" s="60">
        <f>IFERROR(aurora_data!N219,0)</f>
        <v>0</v>
      </c>
      <c r="P99" s="68">
        <f>IFERROR(aurora_data!O219,0)</f>
        <v>0</v>
      </c>
      <c r="Q99" s="68">
        <f>IFERROR(aurora_data!P219,0)</f>
        <v>0</v>
      </c>
      <c r="R99" s="69">
        <f>IFERROR(aurora_data!Q219,0)</f>
        <v>0</v>
      </c>
      <c r="S99" s="68">
        <f>IFERROR(aurora_data!R219,0)</f>
        <v>0</v>
      </c>
      <c r="T99" s="68">
        <f>IFERROR(aurora_data!S219,0)</f>
        <v>0</v>
      </c>
      <c r="U99" s="74">
        <f>IFERROR(aurora_data!T219,0)</f>
        <v>0</v>
      </c>
      <c r="V99" s="75" t="s">
        <v>95</v>
      </c>
      <c r="W99" s="60">
        <f>IFERROR(aurora_data!U219,0)</f>
        <v>0</v>
      </c>
      <c r="X99" s="73">
        <f t="shared" si="10"/>
        <v>0</v>
      </c>
      <c r="Y99" s="2"/>
    </row>
    <row r="100" spans="1:25" customFormat="1" ht="15.75" customHeight="1">
      <c r="A100" s="2"/>
      <c r="B100" s="206" t="s">
        <v>94</v>
      </c>
      <c r="C100" s="208" t="s">
        <v>55</v>
      </c>
      <c r="D100" s="34" t="s">
        <v>71</v>
      </c>
      <c r="E100" s="39">
        <f>IFERROR(aurora_data!D220,0)</f>
        <v>0</v>
      </c>
      <c r="F100" s="40">
        <f>IFERROR(aurora_data!E220,0)</f>
        <v>0</v>
      </c>
      <c r="G100" s="40">
        <f>IFERROR(aurora_data!F220,0)</f>
        <v>0</v>
      </c>
      <c r="H100" s="40">
        <f>IFERROR(aurora_data!G220,0)</f>
        <v>0</v>
      </c>
      <c r="I100" s="41">
        <f>IFERROR(aurora_data!H220,0)</f>
        <v>0</v>
      </c>
      <c r="J100" s="39">
        <f>IFERROR(aurora_data!I220,0)</f>
        <v>0</v>
      </c>
      <c r="K100" s="40">
        <f>IFERROR(aurora_data!J220,0)</f>
        <v>0</v>
      </c>
      <c r="L100" s="40">
        <f>IFERROR(aurora_data!K220,0)</f>
        <v>0</v>
      </c>
      <c r="M100" s="40">
        <f>IFERROR(aurora_data!L220,0)</f>
        <v>0</v>
      </c>
      <c r="N100" s="41">
        <f>IFERROR(aurora_data!M220,0)</f>
        <v>0</v>
      </c>
      <c r="O100" s="39">
        <f>IFERROR(aurora_data!N220,0)</f>
        <v>0</v>
      </c>
      <c r="P100" s="40">
        <f>IFERROR(aurora_data!O220,0)</f>
        <v>0</v>
      </c>
      <c r="Q100" s="40">
        <f>IFERROR(aurora_data!P220,0)</f>
        <v>0</v>
      </c>
      <c r="R100" s="41">
        <f>IFERROR(aurora_data!Q220,0)</f>
        <v>0</v>
      </c>
      <c r="S100" s="40">
        <f>IFERROR(aurora_data!R220,0)</f>
        <v>0</v>
      </c>
      <c r="T100" s="40">
        <f>IFERROR(aurora_data!S220,0)</f>
        <v>0</v>
      </c>
      <c r="U100" s="41">
        <f>IFERROR(aurora_data!T220,0)</f>
        <v>0</v>
      </c>
      <c r="V100" s="61" t="s">
        <v>95</v>
      </c>
      <c r="W100" s="39">
        <f>IFERROR(aurora_data!U220,0)</f>
        <v>11</v>
      </c>
      <c r="X100" s="70">
        <f>IFERROR(W100/$W$100,0)</f>
        <v>1</v>
      </c>
      <c r="Y100" s="2"/>
    </row>
    <row r="101" spans="1:25" customFormat="1" ht="15.75" customHeight="1">
      <c r="A101" s="2"/>
      <c r="B101" s="207"/>
      <c r="C101" s="209"/>
      <c r="D101" s="35" t="s">
        <v>96</v>
      </c>
      <c r="E101" s="36">
        <f>IFERROR(aurora_data!D221,0)</f>
        <v>1</v>
      </c>
      <c r="F101" s="62">
        <f>IFERROR(aurora_data!E221,0)</f>
        <v>0</v>
      </c>
      <c r="G101" s="62">
        <f>IFERROR(aurora_data!F221,0)</f>
        <v>1</v>
      </c>
      <c r="H101" s="62">
        <f>IFERROR(aurora_data!G221,0)</f>
        <v>1</v>
      </c>
      <c r="I101" s="63">
        <f>IFERROR(aurora_data!H221,0)</f>
        <v>0</v>
      </c>
      <c r="J101" s="36">
        <f>IFERROR(aurora_data!I221,0)</f>
        <v>0</v>
      </c>
      <c r="K101" s="62">
        <f>IFERROR(aurora_data!J221,0)</f>
        <v>0</v>
      </c>
      <c r="L101" s="62">
        <f>IFERROR(aurora_data!K221,0)</f>
        <v>1</v>
      </c>
      <c r="M101" s="62">
        <f>IFERROR(aurora_data!L221,0)</f>
        <v>1</v>
      </c>
      <c r="N101" s="63">
        <f>IFERROR(aurora_data!M221,0)</f>
        <v>1</v>
      </c>
      <c r="O101" s="36">
        <f>IFERROR(aurora_data!N221,0)</f>
        <v>1</v>
      </c>
      <c r="P101" s="62">
        <f>IFERROR(aurora_data!O221,0)</f>
        <v>0</v>
      </c>
      <c r="Q101" s="62">
        <f>IFERROR(aurora_data!P221,0)</f>
        <v>1</v>
      </c>
      <c r="R101" s="63">
        <f>IFERROR(aurora_data!Q221,0)</f>
        <v>1</v>
      </c>
      <c r="S101" s="62">
        <f>IFERROR(aurora_data!R221,0)</f>
        <v>1</v>
      </c>
      <c r="T101" s="62">
        <f>IFERROR(aurora_data!S221,0)</f>
        <v>2</v>
      </c>
      <c r="U101" s="63">
        <f>IFERROR(aurora_data!T221,0)</f>
        <v>0</v>
      </c>
      <c r="V101" s="64" t="s">
        <v>95</v>
      </c>
      <c r="W101" s="36">
        <f>IFERROR(aurora_data!U221,0)</f>
        <v>3</v>
      </c>
      <c r="X101" s="71">
        <f t="shared" ref="X101:X107" si="11">IFERROR(W101/$W$100,0)</f>
        <v>0.27272727272727271</v>
      </c>
      <c r="Y101" s="2"/>
    </row>
    <row r="102" spans="1:25" customFormat="1" ht="15.75" customHeight="1">
      <c r="A102" s="2"/>
      <c r="B102" s="207"/>
      <c r="C102" s="209"/>
      <c r="D102" s="35" t="s">
        <v>60</v>
      </c>
      <c r="E102" s="36">
        <f>IFERROR(aurora_data!D222,0)</f>
        <v>0</v>
      </c>
      <c r="F102" s="62">
        <f>IFERROR(aurora_data!E222,0)</f>
        <v>0</v>
      </c>
      <c r="G102" s="62">
        <f>IFERROR(aurora_data!F222,0)</f>
        <v>0</v>
      </c>
      <c r="H102" s="62">
        <f>IFERROR(aurora_data!G222,0)</f>
        <v>0</v>
      </c>
      <c r="I102" s="63">
        <f>IFERROR(aurora_data!H222,0)</f>
        <v>0</v>
      </c>
      <c r="J102" s="36">
        <f>IFERROR(aurora_data!I222,0)</f>
        <v>0</v>
      </c>
      <c r="K102" s="62">
        <f>IFERROR(aurora_data!J222,0)</f>
        <v>0</v>
      </c>
      <c r="L102" s="62">
        <f>IFERROR(aurora_data!K222,0)</f>
        <v>0</v>
      </c>
      <c r="M102" s="62">
        <f>IFERROR(aurora_data!L222,0)</f>
        <v>0</v>
      </c>
      <c r="N102" s="63">
        <f>IFERROR(aurora_data!M222,0)</f>
        <v>0</v>
      </c>
      <c r="O102" s="36">
        <f>IFERROR(aurora_data!N222,0)</f>
        <v>0</v>
      </c>
      <c r="P102" s="62">
        <f>IFERROR(aurora_data!O222,0)</f>
        <v>0</v>
      </c>
      <c r="Q102" s="62">
        <f>IFERROR(aurora_data!P222,0)</f>
        <v>0</v>
      </c>
      <c r="R102" s="63">
        <f>IFERROR(aurora_data!Q222,0)</f>
        <v>0</v>
      </c>
      <c r="S102" s="62">
        <f>IFERROR(aurora_data!R222,0)</f>
        <v>0</v>
      </c>
      <c r="T102" s="62">
        <f>IFERROR(aurora_data!S222,0)</f>
        <v>0</v>
      </c>
      <c r="U102" s="63">
        <f>IFERROR(aurora_data!T222,0)</f>
        <v>0</v>
      </c>
      <c r="V102" s="64" t="s">
        <v>95</v>
      </c>
      <c r="W102" s="36">
        <f>IFERROR(aurora_data!U222,0)</f>
        <v>0</v>
      </c>
      <c r="X102" s="71">
        <f t="shared" si="11"/>
        <v>0</v>
      </c>
      <c r="Y102" s="2"/>
    </row>
    <row r="103" spans="1:25" customFormat="1" ht="15.75" customHeight="1">
      <c r="A103" s="2"/>
      <c r="B103" s="207"/>
      <c r="C103" s="209"/>
      <c r="D103" s="35" t="s">
        <v>97</v>
      </c>
      <c r="E103" s="36">
        <f>IFERROR(aurora_data!D223,0)</f>
        <v>0</v>
      </c>
      <c r="F103" s="62">
        <f>IFERROR(aurora_data!E223,0)</f>
        <v>0</v>
      </c>
      <c r="G103" s="62">
        <f>IFERROR(aurora_data!F223,0)</f>
        <v>0</v>
      </c>
      <c r="H103" s="62">
        <f>IFERROR(aurora_data!G223,0)</f>
        <v>1</v>
      </c>
      <c r="I103" s="63">
        <f>IFERROR(aurora_data!H223,0)</f>
        <v>0</v>
      </c>
      <c r="J103" s="36">
        <f>IFERROR(aurora_data!I223,0)</f>
        <v>0</v>
      </c>
      <c r="K103" s="62">
        <f>IFERROR(aurora_data!J223,0)</f>
        <v>0</v>
      </c>
      <c r="L103" s="62">
        <f>IFERROR(aurora_data!K223,0)</f>
        <v>0</v>
      </c>
      <c r="M103" s="62">
        <f>IFERROR(aurora_data!L223,0)</f>
        <v>0</v>
      </c>
      <c r="N103" s="63">
        <f>IFERROR(aurora_data!M223,0)</f>
        <v>1</v>
      </c>
      <c r="O103" s="36">
        <f>IFERROR(aurora_data!N223,0)</f>
        <v>0</v>
      </c>
      <c r="P103" s="62">
        <f>IFERROR(aurora_data!O223,0)</f>
        <v>1</v>
      </c>
      <c r="Q103" s="62">
        <f>IFERROR(aurora_data!P223,0)</f>
        <v>0</v>
      </c>
      <c r="R103" s="63">
        <f>IFERROR(aurora_data!Q223,0)</f>
        <v>0</v>
      </c>
      <c r="S103" s="62">
        <f>IFERROR(aurora_data!R223,0)</f>
        <v>1</v>
      </c>
      <c r="T103" s="62">
        <f>IFERROR(aurora_data!S223,0)</f>
        <v>0</v>
      </c>
      <c r="U103" s="63">
        <f>IFERROR(aurora_data!T223,0)</f>
        <v>0</v>
      </c>
      <c r="V103" s="64" t="s">
        <v>95</v>
      </c>
      <c r="W103" s="36">
        <f>IFERROR(aurora_data!U223,0)</f>
        <v>1</v>
      </c>
      <c r="X103" s="71">
        <f t="shared" si="11"/>
        <v>9.0909090909090912E-2</v>
      </c>
      <c r="Y103" s="2"/>
    </row>
    <row r="104" spans="1:25" customFormat="1" ht="16.5" customHeight="1">
      <c r="A104" s="2"/>
      <c r="B104" s="207"/>
      <c r="C104" s="209"/>
      <c r="D104" s="35" t="s">
        <v>98</v>
      </c>
      <c r="E104" s="36">
        <f>IFERROR(aurora_data!D224,0)</f>
        <v>0</v>
      </c>
      <c r="F104" s="62">
        <f>IFERROR(aurora_data!E224,0)</f>
        <v>0</v>
      </c>
      <c r="G104" s="62">
        <f>IFERROR(aurora_data!F224,0)</f>
        <v>0</v>
      </c>
      <c r="H104" s="62">
        <f>IFERROR(aurora_data!G224,0)</f>
        <v>1</v>
      </c>
      <c r="I104" s="63">
        <f>IFERROR(aurora_data!H224,0)</f>
        <v>1</v>
      </c>
      <c r="J104" s="36">
        <f>IFERROR(aurora_data!I224,0)</f>
        <v>0</v>
      </c>
      <c r="K104" s="62">
        <f>IFERROR(aurora_data!J224,0)</f>
        <v>0</v>
      </c>
      <c r="L104" s="62">
        <f>IFERROR(aurora_data!K224,0)</f>
        <v>1</v>
      </c>
      <c r="M104" s="62">
        <f>IFERROR(aurora_data!L224,0)</f>
        <v>1</v>
      </c>
      <c r="N104" s="63">
        <f>IFERROR(aurora_data!M224,0)</f>
        <v>0</v>
      </c>
      <c r="O104" s="36">
        <f>IFERROR(aurora_data!N224,0)</f>
        <v>0</v>
      </c>
      <c r="P104" s="62">
        <f>IFERROR(aurora_data!O224,0)</f>
        <v>0</v>
      </c>
      <c r="Q104" s="62">
        <f>IFERROR(aurora_data!P224,0)</f>
        <v>2</v>
      </c>
      <c r="R104" s="63">
        <f>IFERROR(aurora_data!Q224,0)</f>
        <v>0</v>
      </c>
      <c r="S104" s="62">
        <f>IFERROR(aurora_data!R224,0)</f>
        <v>0</v>
      </c>
      <c r="T104" s="62">
        <f>IFERROR(aurora_data!S224,0)</f>
        <v>2</v>
      </c>
      <c r="U104" s="63">
        <f>IFERROR(aurora_data!T224,0)</f>
        <v>0</v>
      </c>
      <c r="V104" s="64" t="s">
        <v>95</v>
      </c>
      <c r="W104" s="36">
        <f>IFERROR(aurora_data!U224,0)</f>
        <v>2</v>
      </c>
      <c r="X104" s="71">
        <f t="shared" si="11"/>
        <v>0.18181818181818182</v>
      </c>
      <c r="Y104" s="2"/>
    </row>
    <row r="105" spans="1:25" customFormat="1" ht="16.5" customHeight="1" thickBot="1">
      <c r="A105" s="2"/>
      <c r="B105" s="207"/>
      <c r="C105" s="209"/>
      <c r="D105" s="35" t="s">
        <v>99</v>
      </c>
      <c r="E105" s="36">
        <f>IFERROR(aurora_data!D225,0)</f>
        <v>0</v>
      </c>
      <c r="F105" s="62">
        <f>IFERROR(aurora_data!E225,0)</f>
        <v>0</v>
      </c>
      <c r="G105" s="62">
        <f>IFERROR(aurora_data!F225,0)</f>
        <v>0</v>
      </c>
      <c r="H105" s="62">
        <f>IFERROR(aurora_data!G225,0)</f>
        <v>0</v>
      </c>
      <c r="I105" s="63">
        <f>IFERROR(aurora_data!H225,0)</f>
        <v>0</v>
      </c>
      <c r="J105" s="36">
        <f>IFERROR(aurora_data!I225,0)</f>
        <v>0</v>
      </c>
      <c r="K105" s="62">
        <f>IFERROR(aurora_data!J225,0)</f>
        <v>0</v>
      </c>
      <c r="L105" s="62">
        <f>IFERROR(aurora_data!K225,0)</f>
        <v>0</v>
      </c>
      <c r="M105" s="62">
        <f>IFERROR(aurora_data!L225,0)</f>
        <v>0</v>
      </c>
      <c r="N105" s="63">
        <f>IFERROR(aurora_data!M225,0)</f>
        <v>0</v>
      </c>
      <c r="O105" s="36">
        <f>IFERROR(aurora_data!N225,0)</f>
        <v>0</v>
      </c>
      <c r="P105" s="62">
        <f>IFERROR(aurora_data!O225,0)</f>
        <v>0</v>
      </c>
      <c r="Q105" s="62">
        <f>IFERROR(aurora_data!P225,0)</f>
        <v>0</v>
      </c>
      <c r="R105" s="63">
        <f>IFERROR(aurora_data!Q225,0)</f>
        <v>0</v>
      </c>
      <c r="S105" s="62">
        <f>IFERROR(aurora_data!R225,0)</f>
        <v>0</v>
      </c>
      <c r="T105" s="62">
        <f>IFERROR(aurora_data!S225,0)</f>
        <v>0</v>
      </c>
      <c r="U105" s="63">
        <f>IFERROR(aurora_data!T225,0)</f>
        <v>0</v>
      </c>
      <c r="V105" s="64" t="s">
        <v>95</v>
      </c>
      <c r="W105" s="36">
        <f>IFERROR(aurora_data!U225,0)</f>
        <v>0</v>
      </c>
      <c r="X105" s="71">
        <f t="shared" si="11"/>
        <v>0</v>
      </c>
      <c r="Y105" s="2"/>
    </row>
    <row r="106" spans="1:25" customFormat="1" ht="16.5" customHeight="1" thickBot="1">
      <c r="A106" s="2"/>
      <c r="B106" s="207"/>
      <c r="C106" s="209"/>
      <c r="D106" s="37" t="s">
        <v>64</v>
      </c>
      <c r="E106" s="59">
        <f>IFERROR(aurora_data!D226,0)</f>
        <v>1</v>
      </c>
      <c r="F106" s="65">
        <f>IFERROR(aurora_data!E226,0)</f>
        <v>0</v>
      </c>
      <c r="G106" s="65">
        <f>IFERROR(aurora_data!F226,0)</f>
        <v>1</v>
      </c>
      <c r="H106" s="65">
        <f>IFERROR(aurora_data!G226,0)</f>
        <v>3</v>
      </c>
      <c r="I106" s="66">
        <f>IFERROR(aurora_data!H226,0)</f>
        <v>1</v>
      </c>
      <c r="J106" s="59">
        <f>IFERROR(aurora_data!I226,0)</f>
        <v>0</v>
      </c>
      <c r="K106" s="65">
        <f>IFERROR(aurora_data!J226,0)</f>
        <v>0</v>
      </c>
      <c r="L106" s="65">
        <f>IFERROR(aurora_data!K226,0)</f>
        <v>2</v>
      </c>
      <c r="M106" s="65">
        <f>IFERROR(aurora_data!L226,0)</f>
        <v>2</v>
      </c>
      <c r="N106" s="66">
        <f>IFERROR(aurora_data!M226,0)</f>
        <v>2</v>
      </c>
      <c r="O106" s="59">
        <f>IFERROR(aurora_data!N226,0)</f>
        <v>1</v>
      </c>
      <c r="P106" s="65">
        <f>IFERROR(aurora_data!O226,0)</f>
        <v>1</v>
      </c>
      <c r="Q106" s="65">
        <f>IFERROR(aurora_data!P226,0)</f>
        <v>3</v>
      </c>
      <c r="R106" s="66">
        <f>IFERROR(aurora_data!Q226,0)</f>
        <v>1</v>
      </c>
      <c r="S106" s="65">
        <f>IFERROR(aurora_data!R226,0)</f>
        <v>2</v>
      </c>
      <c r="T106" s="65">
        <f>IFERROR(aurora_data!S226,0)</f>
        <v>4</v>
      </c>
      <c r="U106" s="66">
        <f>IFERROR(aurora_data!T226,0)</f>
        <v>0</v>
      </c>
      <c r="V106" s="67" t="s">
        <v>95</v>
      </c>
      <c r="W106" s="59">
        <f>IFERROR(aurora_data!U226,0)</f>
        <v>6</v>
      </c>
      <c r="X106" s="72">
        <f t="shared" si="11"/>
        <v>0.54545454545454541</v>
      </c>
      <c r="Y106" s="2"/>
    </row>
    <row r="107" spans="1:25" customFormat="1" ht="16.5" customHeight="1" thickBot="1">
      <c r="A107" s="2"/>
      <c r="B107" s="207"/>
      <c r="C107" s="209"/>
      <c r="D107" s="38" t="s">
        <v>100</v>
      </c>
      <c r="E107" s="60">
        <f>IFERROR(aurora_data!D227,0)</f>
        <v>0</v>
      </c>
      <c r="F107" s="68">
        <f>IFERROR(aurora_data!E227,0)</f>
        <v>0</v>
      </c>
      <c r="G107" s="68">
        <f>IFERROR(aurora_data!F227,0)</f>
        <v>0</v>
      </c>
      <c r="H107" s="68">
        <f>IFERROR(aurora_data!G227,0)</f>
        <v>0</v>
      </c>
      <c r="I107" s="69">
        <f>IFERROR(aurora_data!H227,0)</f>
        <v>0</v>
      </c>
      <c r="J107" s="60">
        <f>IFERROR(aurora_data!I227,0)</f>
        <v>0</v>
      </c>
      <c r="K107" s="68">
        <f>IFERROR(aurora_data!J227,0)</f>
        <v>0</v>
      </c>
      <c r="L107" s="68">
        <f>IFERROR(aurora_data!K227,0)</f>
        <v>0</v>
      </c>
      <c r="M107" s="68">
        <f>IFERROR(aurora_data!L227,0)</f>
        <v>0</v>
      </c>
      <c r="N107" s="69">
        <f>IFERROR(aurora_data!M227,0)</f>
        <v>0</v>
      </c>
      <c r="O107" s="60">
        <f>IFERROR(aurora_data!N227,0)</f>
        <v>0</v>
      </c>
      <c r="P107" s="68">
        <f>IFERROR(aurora_data!O227,0)</f>
        <v>0</v>
      </c>
      <c r="Q107" s="68">
        <f>IFERROR(aurora_data!P227,0)</f>
        <v>0</v>
      </c>
      <c r="R107" s="69">
        <f>IFERROR(aurora_data!Q227,0)</f>
        <v>0</v>
      </c>
      <c r="S107" s="68">
        <f>IFERROR(aurora_data!R227,0)</f>
        <v>0</v>
      </c>
      <c r="T107" s="68">
        <f>IFERROR(aurora_data!S227,0)</f>
        <v>0</v>
      </c>
      <c r="U107" s="74">
        <f>IFERROR(aurora_data!T227,0)</f>
        <v>0</v>
      </c>
      <c r="V107" s="75" t="s">
        <v>95</v>
      </c>
      <c r="W107" s="60">
        <f>IFERROR(aurora_data!U227,0)</f>
        <v>0</v>
      </c>
      <c r="X107" s="73">
        <f t="shared" si="11"/>
        <v>0</v>
      </c>
      <c r="Y107" s="2"/>
    </row>
    <row r="108" spans="1:25" ht="16.5" customHeight="1">
      <c r="B108" s="97"/>
      <c r="C108" s="97"/>
    </row>
  </sheetData>
  <mergeCells count="46">
    <mergeCell ref="B68:B75"/>
    <mergeCell ref="C68:C75"/>
    <mergeCell ref="B100:B107"/>
    <mergeCell ref="C100:C107"/>
    <mergeCell ref="B76:B83"/>
    <mergeCell ref="C76:C83"/>
    <mergeCell ref="B84:B91"/>
    <mergeCell ref="C84:C91"/>
    <mergeCell ref="B92:B99"/>
    <mergeCell ref="C92:C99"/>
    <mergeCell ref="B44:B51"/>
    <mergeCell ref="C44:C51"/>
    <mergeCell ref="B52:B59"/>
    <mergeCell ref="C52:C59"/>
    <mergeCell ref="B60:B67"/>
    <mergeCell ref="C60:C67"/>
    <mergeCell ref="C12:C19"/>
    <mergeCell ref="B28:B35"/>
    <mergeCell ref="C28:C35"/>
    <mergeCell ref="B36:B43"/>
    <mergeCell ref="C36:C43"/>
    <mergeCell ref="B20:B27"/>
    <mergeCell ref="C20:C27"/>
    <mergeCell ref="B12:B19"/>
    <mergeCell ref="B8:D8"/>
    <mergeCell ref="E8:U8"/>
    <mergeCell ref="W8:X11"/>
    <mergeCell ref="B9:C9"/>
    <mergeCell ref="E9:I9"/>
    <mergeCell ref="J9:N9"/>
    <mergeCell ref="O9:R9"/>
    <mergeCell ref="S9:U9"/>
    <mergeCell ref="B10:B11"/>
    <mergeCell ref="E10:I10"/>
    <mergeCell ref="J10:N10"/>
    <mergeCell ref="O10:R10"/>
    <mergeCell ref="S10:U10"/>
    <mergeCell ref="A1:C1"/>
    <mergeCell ref="D1:H1"/>
    <mergeCell ref="A2:C2"/>
    <mergeCell ref="D2:H2"/>
    <mergeCell ref="K2:X6"/>
    <mergeCell ref="D3:E3"/>
    <mergeCell ref="F3:H3"/>
    <mergeCell ref="D5:G5"/>
    <mergeCell ref="D6:H6"/>
  </mergeCells>
  <conditionalFormatting sqref="E13:W13">
    <cfRule type="expression" dxfId="287" priority="22">
      <formula>ROUND(E$13,0) &gt;= ROUND(E$12,0)</formula>
    </cfRule>
  </conditionalFormatting>
  <conditionalFormatting sqref="E18:W18">
    <cfRule type="expression" dxfId="286" priority="23">
      <formula>ROUND(E$18,0) &lt; ROUND(E$12,0)</formula>
    </cfRule>
  </conditionalFormatting>
  <conditionalFormatting sqref="E21:W21">
    <cfRule type="expression" dxfId="285" priority="19">
      <formula>ROUND(E$13,0) &gt;= ROUND(E$12,0)</formula>
    </cfRule>
  </conditionalFormatting>
  <conditionalFormatting sqref="E26:W26">
    <cfRule type="expression" dxfId="284" priority="20">
      <formula>ROUND(E$18,0) &lt; ROUND(E$12,0)</formula>
    </cfRule>
  </conditionalFormatting>
  <conditionalFormatting sqref="E29:W29">
    <cfRule type="expression" dxfId="283" priority="17">
      <formula>ROUND(E$13,0) &gt;= ROUND(E$12,0)</formula>
    </cfRule>
  </conditionalFormatting>
  <conditionalFormatting sqref="E34:W34">
    <cfRule type="expression" dxfId="282" priority="18">
      <formula>ROUND(E$18,0) &lt; ROUND(E$12,0)</formula>
    </cfRule>
  </conditionalFormatting>
  <conditionalFormatting sqref="E37:W37">
    <cfRule type="expression" dxfId="281" priority="15">
      <formula>ROUND(E$13,0) &gt;= ROUND(E$12,0)</formula>
    </cfRule>
  </conditionalFormatting>
  <conditionalFormatting sqref="E42:W42">
    <cfRule type="expression" dxfId="280" priority="16">
      <formula>ROUND(E$18,0) &lt; ROUND(E$12,0)</formula>
    </cfRule>
  </conditionalFormatting>
  <conditionalFormatting sqref="E45:W45">
    <cfRule type="expression" dxfId="279" priority="13">
      <formula>ROUND(E$13,0) &gt;= ROUND(E$12,0)</formula>
    </cfRule>
  </conditionalFormatting>
  <conditionalFormatting sqref="E50:W50">
    <cfRule type="expression" dxfId="278" priority="14">
      <formula>ROUND(E$18,0) &lt; ROUND(E$12,0)</formula>
    </cfRule>
  </conditionalFormatting>
  <conditionalFormatting sqref="E53:W53">
    <cfRule type="expression" dxfId="277" priority="11">
      <formula>ROUND(E$13,0) &gt;= ROUND(E$12,0)</formula>
    </cfRule>
  </conditionalFormatting>
  <conditionalFormatting sqref="E58:W58">
    <cfRule type="expression" dxfId="276" priority="12">
      <formula>ROUND(E$18,0) &lt; ROUND(E$12,0)</formula>
    </cfRule>
  </conditionalFormatting>
  <conditionalFormatting sqref="E61:W61">
    <cfRule type="expression" dxfId="275" priority="9">
      <formula>ROUND(E$13,0) &gt;= ROUND(E$12,0)</formula>
    </cfRule>
  </conditionalFormatting>
  <conditionalFormatting sqref="E66:W66">
    <cfRule type="expression" dxfId="274" priority="10">
      <formula>ROUND(E$18,0) &lt; ROUND(E$12,0)</formula>
    </cfRule>
  </conditionalFormatting>
  <conditionalFormatting sqref="E69:W69">
    <cfRule type="expression" dxfId="273" priority="7">
      <formula>ROUND(E$13,0) &gt;= ROUND(E$12,0)</formula>
    </cfRule>
  </conditionalFormatting>
  <conditionalFormatting sqref="E74:W74">
    <cfRule type="expression" dxfId="272" priority="8">
      <formula>ROUND(E$18,0) &lt; ROUND(E$12,0)</formula>
    </cfRule>
  </conditionalFormatting>
  <conditionalFormatting sqref="E77:W77">
    <cfRule type="expression" dxfId="271" priority="5">
      <formula>ROUND(E$13,0) &gt;= ROUND(E$12,0)</formula>
    </cfRule>
  </conditionalFormatting>
  <conditionalFormatting sqref="E82:W82">
    <cfRule type="expression" dxfId="270" priority="6">
      <formula>ROUND(E$18,0) &lt; ROUND(E$12,0)</formula>
    </cfRule>
  </conditionalFormatting>
  <conditionalFormatting sqref="E85:W85">
    <cfRule type="expression" dxfId="269" priority="3">
      <formula>ROUND(E$13,0) &gt;= ROUND(E$12,0)</formula>
    </cfRule>
  </conditionalFormatting>
  <conditionalFormatting sqref="E90:W90">
    <cfRule type="expression" dxfId="268" priority="4">
      <formula>ROUND(E$18,0) &lt; ROUND(E$12,0)</formula>
    </cfRule>
  </conditionalFormatting>
  <conditionalFormatting sqref="E93:W93">
    <cfRule type="expression" dxfId="267" priority="1">
      <formula>ROUND(E$13,0) &gt;= ROUND(E$12,0)</formula>
    </cfRule>
  </conditionalFormatting>
  <conditionalFormatting sqref="E98:W98">
    <cfRule type="expression" dxfId="266" priority="2">
      <formula>ROUND(E$18,0) &lt; ROUND(E$12,0)</formula>
    </cfRule>
  </conditionalFormatting>
  <conditionalFormatting sqref="E101:W101">
    <cfRule type="expression" dxfId="265" priority="21">
      <formula>ROUND(E$101,0) &gt;= ROUND(E$100,0)</formula>
    </cfRule>
  </conditionalFormatting>
  <conditionalFormatting sqref="E106:W106">
    <cfRule type="expression" dxfId="264" priority="24">
      <formula>ROUND(E$106,0) &lt; ROUND(E$100,0)</formula>
    </cfRule>
  </conditionalFormatting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361362-331F-405A-901E-B1973C54EA32}">
  <sheetPr codeName="Sheet24">
    <tabColor rgb="FF92D050"/>
  </sheetPr>
  <dimension ref="A1:Y52"/>
  <sheetViews>
    <sheetView zoomScale="85" zoomScaleNormal="85" workbookViewId="0">
      <selection sqref="A1:C1"/>
    </sheetView>
  </sheetViews>
  <sheetFormatPr defaultColWidth="2.625" defaultRowHeight="15.75"/>
  <cols>
    <col min="1" max="1" width="1.375" style="2" customWidth="1"/>
    <col min="2" max="2" width="10.875" style="2" customWidth="1"/>
    <col min="3" max="3" width="15.625" style="2" customWidth="1"/>
    <col min="4" max="4" width="22.625" style="4" customWidth="1"/>
    <col min="5" max="8" width="7.625" style="4" customWidth="1"/>
    <col min="9" max="9" width="6.625" style="4" hidden="1" customWidth="1"/>
    <col min="10" max="21" width="7.625" style="4" customWidth="1"/>
    <col min="22" max="22" width="0.625" style="2" customWidth="1"/>
    <col min="23" max="24" width="5.875" style="2" customWidth="1"/>
    <col min="25" max="25" width="12.5" style="2" customWidth="1"/>
    <col min="26" max="26" width="2.625" style="2" customWidth="1"/>
    <col min="27" max="64" width="7.625" style="2" customWidth="1"/>
    <col min="65" max="16323" width="2.625" style="2"/>
    <col min="16324" max="16324" width="1.375" style="2" customWidth="1"/>
    <col min="16325" max="16325" width="2.625" style="2" customWidth="1"/>
    <col min="16326" max="16326" width="3.5" style="2" customWidth="1"/>
    <col min="16327" max="16327" width="1" style="2" customWidth="1"/>
    <col min="16328" max="16328" width="0.875" style="2" customWidth="1"/>
    <col min="16329" max="16329" width="2.375" style="2" customWidth="1"/>
    <col min="16330" max="16384" width="20.375" style="2" customWidth="1"/>
  </cols>
  <sheetData>
    <row r="1" spans="1:25" customFormat="1" ht="25.5" customHeight="1">
      <c r="A1" s="151" t="s">
        <v>77</v>
      </c>
      <c r="B1" s="152"/>
      <c r="C1" s="153"/>
      <c r="D1" s="154" t="s">
        <v>78</v>
      </c>
      <c r="E1" s="155"/>
      <c r="F1" s="155"/>
      <c r="G1" s="155"/>
      <c r="H1" s="156"/>
      <c r="I1" s="98"/>
      <c r="J1" s="88"/>
      <c r="K1" s="100"/>
      <c r="L1" s="100"/>
      <c r="M1" s="100"/>
      <c r="N1" s="100" t="s">
        <v>79</v>
      </c>
      <c r="O1" s="100"/>
      <c r="P1" s="100"/>
      <c r="Q1" s="100"/>
      <c r="R1" s="100"/>
      <c r="S1" s="100"/>
      <c r="T1" s="100"/>
      <c r="U1" s="100"/>
      <c r="V1" s="100"/>
      <c r="W1" s="100"/>
      <c r="X1" s="106"/>
      <c r="Y1" s="108"/>
    </row>
    <row r="2" spans="1:25" customFormat="1" ht="31.5" customHeight="1">
      <c r="A2" s="157" t="s">
        <v>80</v>
      </c>
      <c r="B2" s="157"/>
      <c r="C2" s="158"/>
      <c r="D2" s="159" t="str">
        <f>_xlfn.CONCAT("Study Name: ","
OSEP – Developmental Delay - Paper")</f>
        <v>Study Name: 
OSEP – Developmental Delay - Paper</v>
      </c>
      <c r="E2" s="160"/>
      <c r="F2" s="160"/>
      <c r="G2" s="160"/>
      <c r="H2" s="161"/>
      <c r="I2" s="4"/>
      <c r="J2" s="4"/>
      <c r="K2" s="162" t="s">
        <v>81</v>
      </c>
      <c r="L2" s="163"/>
      <c r="M2" s="163"/>
      <c r="N2" s="163"/>
      <c r="O2" s="163"/>
      <c r="P2" s="163"/>
      <c r="Q2" s="163"/>
      <c r="R2" s="163"/>
      <c r="S2" s="163"/>
      <c r="T2" s="163"/>
      <c r="U2" s="163"/>
      <c r="V2" s="163"/>
      <c r="W2" s="163"/>
      <c r="X2" s="164"/>
      <c r="Y2" s="103"/>
    </row>
    <row r="3" spans="1:25" customFormat="1" ht="30.75" customHeight="1" thickBot="1">
      <c r="A3" s="2"/>
      <c r="B3" s="2"/>
      <c r="C3" s="2"/>
      <c r="D3" s="169" t="str">
        <f>_xlfn.CONCAT("Study Acronym: ","
OSEP_DD_P")</f>
        <v>Study Acronym: 
OSEP_DD_P</v>
      </c>
      <c r="E3" s="170"/>
      <c r="F3" s="171" t="s">
        <v>263</v>
      </c>
      <c r="G3" s="172"/>
      <c r="H3" s="173"/>
      <c r="I3" s="4"/>
      <c r="J3" s="4"/>
      <c r="K3" s="165"/>
      <c r="L3" s="163"/>
      <c r="M3" s="163"/>
      <c r="N3" s="163"/>
      <c r="O3" s="163"/>
      <c r="P3" s="163"/>
      <c r="Q3" s="163"/>
      <c r="R3" s="163"/>
      <c r="S3" s="163"/>
      <c r="T3" s="163"/>
      <c r="U3" s="163"/>
      <c r="V3" s="163"/>
      <c r="W3" s="163"/>
      <c r="X3" s="164"/>
      <c r="Y3" s="103"/>
    </row>
    <row r="4" spans="1:25" customFormat="1" ht="16.5" customHeight="1">
      <c r="A4" s="2"/>
      <c r="B4" s="24"/>
      <c r="C4" s="2"/>
      <c r="D4" s="2"/>
      <c r="E4" s="25"/>
      <c r="F4" s="25"/>
      <c r="G4" s="25"/>
      <c r="H4" s="25"/>
      <c r="I4" s="25"/>
      <c r="J4" s="25"/>
      <c r="K4" s="165"/>
      <c r="L4" s="163"/>
      <c r="M4" s="163"/>
      <c r="N4" s="163"/>
      <c r="O4" s="163"/>
      <c r="P4" s="163"/>
      <c r="Q4" s="163"/>
      <c r="R4" s="163"/>
      <c r="S4" s="163"/>
      <c r="T4" s="163"/>
      <c r="U4" s="163"/>
      <c r="V4" s="163"/>
      <c r="W4" s="163"/>
      <c r="X4" s="164"/>
      <c r="Y4" s="104"/>
    </row>
    <row r="5" spans="1:25" customFormat="1" ht="21.95" customHeight="1" thickBot="1">
      <c r="A5" s="2"/>
      <c r="B5" s="2"/>
      <c r="C5" s="102"/>
      <c r="D5" s="154" t="s">
        <v>82</v>
      </c>
      <c r="E5" s="155"/>
      <c r="F5" s="155"/>
      <c r="G5" s="155"/>
      <c r="H5" s="101"/>
      <c r="I5" s="98"/>
      <c r="J5" s="98"/>
      <c r="K5" s="165"/>
      <c r="L5" s="163"/>
      <c r="M5" s="163"/>
      <c r="N5" s="163"/>
      <c r="O5" s="163"/>
      <c r="P5" s="163"/>
      <c r="Q5" s="163"/>
      <c r="R5" s="163"/>
      <c r="S5" s="163"/>
      <c r="T5" s="163"/>
      <c r="U5" s="163"/>
      <c r="V5" s="163"/>
      <c r="W5" s="163"/>
      <c r="X5" s="164"/>
      <c r="Y5" s="105"/>
    </row>
    <row r="6" spans="1:25" customFormat="1" ht="60.95" customHeight="1" thickBot="1">
      <c r="A6" s="2"/>
      <c r="B6" s="2"/>
      <c r="C6" s="99"/>
      <c r="D6" s="214" t="s">
        <v>101</v>
      </c>
      <c r="E6" s="215"/>
      <c r="F6" s="215"/>
      <c r="G6" s="215"/>
      <c r="H6" s="216"/>
      <c r="I6" s="124"/>
      <c r="J6" s="125"/>
      <c r="K6" s="166"/>
      <c r="L6" s="167"/>
      <c r="M6" s="167"/>
      <c r="N6" s="167"/>
      <c r="O6" s="167"/>
      <c r="P6" s="167"/>
      <c r="Q6" s="167"/>
      <c r="R6" s="167"/>
      <c r="S6" s="167"/>
      <c r="T6" s="167"/>
      <c r="U6" s="167"/>
      <c r="V6" s="167"/>
      <c r="W6" s="167"/>
      <c r="X6" s="168"/>
      <c r="Y6" s="107"/>
    </row>
    <row r="7" spans="1:25" customFormat="1" ht="16.5" customHeight="1" thickBot="1">
      <c r="A7" s="2"/>
      <c r="B7" s="3"/>
      <c r="C7" s="26"/>
      <c r="D7" s="27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8"/>
      <c r="W7" s="3"/>
      <c r="X7" s="3"/>
      <c r="Y7" s="2"/>
    </row>
    <row r="8" spans="1:25" customFormat="1">
      <c r="A8" s="2"/>
      <c r="B8" s="177" t="str">
        <f>_xlfn.CONCAT("Last Refreshed at: ",aurora_data!V232)</f>
        <v>Last Refreshed at: 09/17/2026 @ 7:20 AM</v>
      </c>
      <c r="C8" s="178"/>
      <c r="D8" s="178"/>
      <c r="E8" s="179" t="s">
        <v>83</v>
      </c>
      <c r="F8" s="180"/>
      <c r="G8" s="180"/>
      <c r="H8" s="180"/>
      <c r="I8" s="180"/>
      <c r="J8" s="180"/>
      <c r="K8" s="180"/>
      <c r="L8" s="180"/>
      <c r="M8" s="180"/>
      <c r="N8" s="180"/>
      <c r="O8" s="180"/>
      <c r="P8" s="180"/>
      <c r="Q8" s="180"/>
      <c r="R8" s="180"/>
      <c r="S8" s="180"/>
      <c r="T8" s="180"/>
      <c r="U8" s="181"/>
      <c r="V8" s="44"/>
      <c r="W8" s="182" t="s">
        <v>84</v>
      </c>
      <c r="X8" s="183"/>
      <c r="Y8" s="2"/>
    </row>
    <row r="9" spans="1:25" customFormat="1" ht="16.5" customHeight="1" thickBot="1">
      <c r="A9" s="2"/>
      <c r="B9" s="188"/>
      <c r="C9" s="189"/>
      <c r="D9" s="29" t="s">
        <v>85</v>
      </c>
      <c r="E9" s="190" t="s">
        <v>86</v>
      </c>
      <c r="F9" s="191"/>
      <c r="G9" s="191"/>
      <c r="H9" s="191"/>
      <c r="I9" s="191"/>
      <c r="J9" s="192" t="s">
        <v>86</v>
      </c>
      <c r="K9" s="193"/>
      <c r="L9" s="193"/>
      <c r="M9" s="193"/>
      <c r="N9" s="193"/>
      <c r="O9" s="194" t="s">
        <v>86</v>
      </c>
      <c r="P9" s="195"/>
      <c r="Q9" s="195"/>
      <c r="R9" s="195"/>
      <c r="S9" s="196" t="s">
        <v>86</v>
      </c>
      <c r="T9" s="197"/>
      <c r="U9" s="197"/>
      <c r="V9" s="28"/>
      <c r="W9" s="184"/>
      <c r="X9" s="185"/>
      <c r="Y9" s="2"/>
    </row>
    <row r="10" spans="1:25" customFormat="1" ht="17.25" thickTop="1" thickBot="1">
      <c r="A10" s="2"/>
      <c r="B10" s="198" t="s">
        <v>87</v>
      </c>
      <c r="C10" s="30"/>
      <c r="D10" s="31"/>
      <c r="E10" s="199" t="s">
        <v>88</v>
      </c>
      <c r="F10" s="200"/>
      <c r="G10" s="200"/>
      <c r="H10" s="200"/>
      <c r="I10" s="201"/>
      <c r="J10" s="200" t="s">
        <v>89</v>
      </c>
      <c r="K10" s="200"/>
      <c r="L10" s="200"/>
      <c r="M10" s="200"/>
      <c r="N10" s="201"/>
      <c r="O10" s="202" t="s">
        <v>90</v>
      </c>
      <c r="P10" s="202"/>
      <c r="Q10" s="202"/>
      <c r="R10" s="202"/>
      <c r="S10" s="203" t="s">
        <v>91</v>
      </c>
      <c r="T10" s="204"/>
      <c r="U10" s="205"/>
      <c r="V10" s="32"/>
      <c r="W10" s="184"/>
      <c r="X10" s="185"/>
      <c r="Y10" s="2"/>
    </row>
    <row r="11" spans="1:25" customFormat="1" ht="17.25" thickTop="1" thickBot="1">
      <c r="A11" s="2"/>
      <c r="B11" s="198"/>
      <c r="C11" s="30" t="s">
        <v>35</v>
      </c>
      <c r="D11" s="33" t="s">
        <v>37</v>
      </c>
      <c r="E11" s="96">
        <v>1</v>
      </c>
      <c r="F11" s="94">
        <v>2</v>
      </c>
      <c r="G11" s="95" t="s">
        <v>40</v>
      </c>
      <c r="H11" s="95">
        <v>4</v>
      </c>
      <c r="I11" s="95">
        <v>5</v>
      </c>
      <c r="J11" s="89" t="s">
        <v>43</v>
      </c>
      <c r="K11" s="89" t="s">
        <v>44</v>
      </c>
      <c r="L11" s="89" t="s">
        <v>45</v>
      </c>
      <c r="M11" s="93" t="s">
        <v>92</v>
      </c>
      <c r="N11" s="93" t="s">
        <v>47</v>
      </c>
      <c r="O11" s="89" t="s">
        <v>48</v>
      </c>
      <c r="P11" s="89" t="s">
        <v>49</v>
      </c>
      <c r="Q11" s="89" t="s">
        <v>50</v>
      </c>
      <c r="R11" s="89" t="s">
        <v>51</v>
      </c>
      <c r="S11" s="90" t="s">
        <v>52</v>
      </c>
      <c r="T11" s="91" t="s">
        <v>53</v>
      </c>
      <c r="U11" s="92" t="s">
        <v>93</v>
      </c>
      <c r="V11" s="28"/>
      <c r="W11" s="186"/>
      <c r="X11" s="187"/>
      <c r="Y11" s="2"/>
    </row>
    <row r="12" spans="1:25" customFormat="1">
      <c r="A12" s="2"/>
      <c r="B12" s="210" t="s">
        <v>94</v>
      </c>
      <c r="C12" s="212" t="str">
        <f>aurora_data!A232</f>
        <v>06.00.00-06.11.30</v>
      </c>
      <c r="D12" s="34" t="s">
        <v>71</v>
      </c>
      <c r="E12" s="39">
        <f>IFERROR(aurora_data!D232,0)</f>
        <v>0</v>
      </c>
      <c r="F12" s="40">
        <f>IFERROR(aurora_data!E232,0)</f>
        <v>0</v>
      </c>
      <c r="G12" s="40">
        <f>IFERROR(aurora_data!F232,0)</f>
        <v>0</v>
      </c>
      <c r="H12" s="40">
        <f>IFERROR(aurora_data!G232,0)</f>
        <v>0</v>
      </c>
      <c r="I12" s="41">
        <f>IFERROR(aurora_data!H232,0)</f>
        <v>0</v>
      </c>
      <c r="J12" s="39">
        <f>IFERROR(aurora_data!I232,0)</f>
        <v>0</v>
      </c>
      <c r="K12" s="40">
        <f>IFERROR(aurora_data!J232,0)</f>
        <v>0</v>
      </c>
      <c r="L12" s="40">
        <f>IFERROR(aurora_data!K232,0)</f>
        <v>0</v>
      </c>
      <c r="M12" s="40">
        <f>IFERROR(aurora_data!L232,0)</f>
        <v>0</v>
      </c>
      <c r="N12" s="41">
        <f>IFERROR(aurora_data!M232,0)</f>
        <v>0</v>
      </c>
      <c r="O12" s="39">
        <f>IFERROR(aurora_data!N232,0)</f>
        <v>0</v>
      </c>
      <c r="P12" s="40">
        <f>IFERROR(aurora_data!O232,0)</f>
        <v>0</v>
      </c>
      <c r="Q12" s="40">
        <f>IFERROR(aurora_data!P232,0)</f>
        <v>0</v>
      </c>
      <c r="R12" s="41">
        <f>IFERROR(aurora_data!Q232,0)</f>
        <v>0</v>
      </c>
      <c r="S12" s="40">
        <f>IFERROR(aurora_data!R232,0)</f>
        <v>0</v>
      </c>
      <c r="T12" s="40">
        <f>IFERROR(aurora_data!S232,0)</f>
        <v>0</v>
      </c>
      <c r="U12" s="76">
        <f>IFERROR(aurora_data!T232,0)</f>
        <v>0</v>
      </c>
      <c r="V12" s="61">
        <f>IFERROR(aurora_data!U232,0)</f>
        <v>7</v>
      </c>
      <c r="W12" s="39">
        <f>IFERROR(aurora_data!U232,0)</f>
        <v>7</v>
      </c>
      <c r="X12" s="70">
        <f>IFERROR(W12/$W$12,0)</f>
        <v>1</v>
      </c>
      <c r="Y12" s="2"/>
    </row>
    <row r="13" spans="1:25" customFormat="1">
      <c r="A13" s="2"/>
      <c r="B13" s="211"/>
      <c r="C13" s="213"/>
      <c r="D13" s="35" t="s">
        <v>96</v>
      </c>
      <c r="E13" s="110">
        <f>IFERROR(aurora_data!D233,0)</f>
        <v>0</v>
      </c>
      <c r="F13" s="62">
        <f>IFERROR(aurora_data!E233,0)</f>
        <v>0</v>
      </c>
      <c r="G13" s="62">
        <f>IFERROR(aurora_data!F233,0)</f>
        <v>0</v>
      </c>
      <c r="H13" s="62">
        <f>IFERROR(aurora_data!G233,0)</f>
        <v>0</v>
      </c>
      <c r="I13" s="63">
        <f>IFERROR(aurora_data!H233,0)</f>
        <v>0</v>
      </c>
      <c r="J13" s="36">
        <f>IFERROR(aurora_data!I233,0)</f>
        <v>0</v>
      </c>
      <c r="K13" s="62">
        <f>IFERROR(aurora_data!J233,0)</f>
        <v>0</v>
      </c>
      <c r="L13" s="62">
        <f>IFERROR(aurora_data!K233,0)</f>
        <v>0</v>
      </c>
      <c r="M13" s="62">
        <f>IFERROR(aurora_data!L233,0)</f>
        <v>0</v>
      </c>
      <c r="N13" s="63">
        <f>IFERROR(aurora_data!M233,0)</f>
        <v>0</v>
      </c>
      <c r="O13" s="36">
        <f>IFERROR(aurora_data!N233,0)</f>
        <v>0</v>
      </c>
      <c r="P13" s="62">
        <f>IFERROR(aurora_data!O233,0)</f>
        <v>0</v>
      </c>
      <c r="Q13" s="62">
        <f>IFERROR(aurora_data!P233,0)</f>
        <v>0</v>
      </c>
      <c r="R13" s="63">
        <f>IFERROR(aurora_data!Q233,0)</f>
        <v>0</v>
      </c>
      <c r="S13" s="62">
        <f>IFERROR(aurora_data!R233,0)</f>
        <v>0</v>
      </c>
      <c r="T13" s="62">
        <f>IFERROR(aurora_data!S233,0)</f>
        <v>0</v>
      </c>
      <c r="U13" s="63">
        <f>IFERROR(aurora_data!T233,0)</f>
        <v>0</v>
      </c>
      <c r="V13" s="64">
        <f>IFERROR(aurora_data!U233,0)</f>
        <v>0</v>
      </c>
      <c r="W13" s="36">
        <f>IFERROR(aurora_data!U233,0)</f>
        <v>0</v>
      </c>
      <c r="X13" s="71">
        <f t="shared" ref="X13:X19" si="0">IFERROR(W13/$W$12,0)</f>
        <v>0</v>
      </c>
      <c r="Y13" s="2"/>
    </row>
    <row r="14" spans="1:25" customFormat="1">
      <c r="A14" s="2"/>
      <c r="B14" s="211"/>
      <c r="C14" s="213"/>
      <c r="D14" s="35" t="s">
        <v>60</v>
      </c>
      <c r="E14" s="110">
        <f>IFERROR(aurora_data!D234,0)</f>
        <v>0</v>
      </c>
      <c r="F14" s="62">
        <f>IFERROR(aurora_data!E234,0)</f>
        <v>0</v>
      </c>
      <c r="G14" s="62">
        <f>IFERROR(aurora_data!F234,0)</f>
        <v>0</v>
      </c>
      <c r="H14" s="62">
        <f>IFERROR(aurora_data!G234,0)</f>
        <v>0</v>
      </c>
      <c r="I14" s="63">
        <f>IFERROR(aurora_data!H234,0)</f>
        <v>0</v>
      </c>
      <c r="J14" s="36">
        <f>IFERROR(aurora_data!I234,0)</f>
        <v>0</v>
      </c>
      <c r="K14" s="62">
        <f>IFERROR(aurora_data!J234,0)</f>
        <v>0</v>
      </c>
      <c r="L14" s="62">
        <f>IFERROR(aurora_data!K234,0)</f>
        <v>0</v>
      </c>
      <c r="M14" s="62">
        <f>IFERROR(aurora_data!L234,0)</f>
        <v>0</v>
      </c>
      <c r="N14" s="63">
        <f>IFERROR(aurora_data!M234,0)</f>
        <v>0</v>
      </c>
      <c r="O14" s="36">
        <f>IFERROR(aurora_data!N234,0)</f>
        <v>0</v>
      </c>
      <c r="P14" s="62">
        <f>IFERROR(aurora_data!O234,0)</f>
        <v>0</v>
      </c>
      <c r="Q14" s="62">
        <f>IFERROR(aurora_data!P234,0)</f>
        <v>0</v>
      </c>
      <c r="R14" s="63">
        <f>IFERROR(aurora_data!Q234,0)</f>
        <v>0</v>
      </c>
      <c r="S14" s="62">
        <f>IFERROR(aurora_data!R234,0)</f>
        <v>0</v>
      </c>
      <c r="T14" s="62">
        <f>IFERROR(aurora_data!S234,0)</f>
        <v>0</v>
      </c>
      <c r="U14" s="63">
        <f>IFERROR(aurora_data!T234,0)</f>
        <v>0</v>
      </c>
      <c r="V14" s="64">
        <f>IFERROR(aurora_data!U234,0)</f>
        <v>0</v>
      </c>
      <c r="W14" s="36">
        <f>IFERROR(aurora_data!U234,0)</f>
        <v>0</v>
      </c>
      <c r="X14" s="71">
        <f t="shared" si="0"/>
        <v>0</v>
      </c>
      <c r="Y14" s="2"/>
    </row>
    <row r="15" spans="1:25" customFormat="1">
      <c r="A15" s="2"/>
      <c r="B15" s="211"/>
      <c r="C15" s="213"/>
      <c r="D15" s="35" t="s">
        <v>97</v>
      </c>
      <c r="E15" s="36">
        <f>IFERROR(aurora_data!D235,0)</f>
        <v>0</v>
      </c>
      <c r="F15" s="62">
        <f>IFERROR(aurora_data!E235,0)</f>
        <v>0</v>
      </c>
      <c r="G15" s="62">
        <f>IFERROR(aurora_data!F235,0)</f>
        <v>0</v>
      </c>
      <c r="H15" s="62">
        <f>IFERROR(aurora_data!G235,0)</f>
        <v>0</v>
      </c>
      <c r="I15" s="63">
        <f>IFERROR(aurora_data!H235,0)</f>
        <v>0</v>
      </c>
      <c r="J15" s="36">
        <f>IFERROR(aurora_data!I235,0)</f>
        <v>0</v>
      </c>
      <c r="K15" s="62">
        <f>IFERROR(aurora_data!J235,0)</f>
        <v>0</v>
      </c>
      <c r="L15" s="62">
        <f>IFERROR(aurora_data!K235,0)</f>
        <v>0</v>
      </c>
      <c r="M15" s="62">
        <f>IFERROR(aurora_data!L235,0)</f>
        <v>0</v>
      </c>
      <c r="N15" s="63">
        <f>IFERROR(aurora_data!M235,0)</f>
        <v>0</v>
      </c>
      <c r="O15" s="36">
        <f>IFERROR(aurora_data!N235,0)</f>
        <v>0</v>
      </c>
      <c r="P15" s="62">
        <f>IFERROR(aurora_data!O235,0)</f>
        <v>0</v>
      </c>
      <c r="Q15" s="62">
        <f>IFERROR(aurora_data!P235,0)</f>
        <v>0</v>
      </c>
      <c r="R15" s="63">
        <f>IFERROR(aurora_data!Q235,0)</f>
        <v>0</v>
      </c>
      <c r="S15" s="62">
        <f>IFERROR(aurora_data!R235,0)</f>
        <v>0</v>
      </c>
      <c r="T15" s="62">
        <f>IFERROR(aurora_data!S235,0)</f>
        <v>0</v>
      </c>
      <c r="U15" s="63">
        <f>IFERROR(aurora_data!T235,0)</f>
        <v>0</v>
      </c>
      <c r="V15" s="64">
        <f>IFERROR(aurora_data!U235,0)</f>
        <v>0</v>
      </c>
      <c r="W15" s="36">
        <f>IFERROR(aurora_data!U235,0)</f>
        <v>0</v>
      </c>
      <c r="X15" s="71">
        <f t="shared" si="0"/>
        <v>0</v>
      </c>
      <c r="Y15" s="2"/>
    </row>
    <row r="16" spans="1:25" customFormat="1">
      <c r="A16" s="2"/>
      <c r="B16" s="211"/>
      <c r="C16" s="213"/>
      <c r="D16" s="35" t="s">
        <v>98</v>
      </c>
      <c r="E16" s="36">
        <f>IFERROR(aurora_data!D236,0)</f>
        <v>0</v>
      </c>
      <c r="F16" s="62">
        <f>IFERROR(aurora_data!E236,0)</f>
        <v>0</v>
      </c>
      <c r="G16" s="62">
        <f>IFERROR(aurora_data!F236,0)</f>
        <v>0</v>
      </c>
      <c r="H16" s="62">
        <f>IFERROR(aurora_data!G236,0)</f>
        <v>0</v>
      </c>
      <c r="I16" s="63">
        <f>IFERROR(aurora_data!H236,0)</f>
        <v>0</v>
      </c>
      <c r="J16" s="36">
        <f>IFERROR(aurora_data!I236,0)</f>
        <v>0</v>
      </c>
      <c r="K16" s="62">
        <f>IFERROR(aurora_data!J236,0)</f>
        <v>0</v>
      </c>
      <c r="L16" s="62">
        <f>IFERROR(aurora_data!K236,0)</f>
        <v>0</v>
      </c>
      <c r="M16" s="62">
        <f>IFERROR(aurora_data!L236,0)</f>
        <v>0</v>
      </c>
      <c r="N16" s="63">
        <f>IFERROR(aurora_data!M236,0)</f>
        <v>0</v>
      </c>
      <c r="O16" s="36">
        <f>IFERROR(aurora_data!N236,0)</f>
        <v>0</v>
      </c>
      <c r="P16" s="62">
        <f>IFERROR(aurora_data!O236,0)</f>
        <v>0</v>
      </c>
      <c r="Q16" s="62">
        <f>IFERROR(aurora_data!P236,0)</f>
        <v>0</v>
      </c>
      <c r="R16" s="63">
        <f>IFERROR(aurora_data!Q236,0)</f>
        <v>0</v>
      </c>
      <c r="S16" s="62">
        <f>IFERROR(aurora_data!R236,0)</f>
        <v>0</v>
      </c>
      <c r="T16" s="62">
        <f>IFERROR(aurora_data!S236,0)</f>
        <v>0</v>
      </c>
      <c r="U16" s="63">
        <f>IFERROR(aurora_data!T236,0)</f>
        <v>0</v>
      </c>
      <c r="V16" s="64">
        <f>IFERROR(aurora_data!U236,0)</f>
        <v>0</v>
      </c>
      <c r="W16" s="36">
        <f>IFERROR(aurora_data!U236,0)</f>
        <v>0</v>
      </c>
      <c r="X16" s="71">
        <f t="shared" si="0"/>
        <v>0</v>
      </c>
      <c r="Y16" s="2"/>
    </row>
    <row r="17" spans="1:25" customFormat="1" ht="16.5" thickBot="1">
      <c r="A17" s="2"/>
      <c r="B17" s="211"/>
      <c r="C17" s="213"/>
      <c r="D17" s="35" t="s">
        <v>99</v>
      </c>
      <c r="E17" s="36">
        <f>IFERROR(aurora_data!D237,0)</f>
        <v>0</v>
      </c>
      <c r="F17" s="62">
        <f>IFERROR(aurora_data!E237,0)</f>
        <v>0</v>
      </c>
      <c r="G17" s="62">
        <f>IFERROR(aurora_data!F237,0)</f>
        <v>0</v>
      </c>
      <c r="H17" s="62">
        <f>IFERROR(aurora_data!G237,0)</f>
        <v>0</v>
      </c>
      <c r="I17" s="63">
        <f>IFERROR(aurora_data!H237,0)</f>
        <v>0</v>
      </c>
      <c r="J17" s="36">
        <f>IFERROR(aurora_data!I237,0)</f>
        <v>0</v>
      </c>
      <c r="K17" s="62">
        <f>IFERROR(aurora_data!J237,0)</f>
        <v>0</v>
      </c>
      <c r="L17" s="62">
        <f>IFERROR(aurora_data!K237,0)</f>
        <v>0</v>
      </c>
      <c r="M17" s="62">
        <f>IFERROR(aurora_data!L237,0)</f>
        <v>0</v>
      </c>
      <c r="N17" s="63">
        <f>IFERROR(aurora_data!M237,0)</f>
        <v>0</v>
      </c>
      <c r="O17" s="36">
        <f>IFERROR(aurora_data!N237,0)</f>
        <v>0</v>
      </c>
      <c r="P17" s="62">
        <f>IFERROR(aurora_data!O237,0)</f>
        <v>0</v>
      </c>
      <c r="Q17" s="62">
        <f>IFERROR(aurora_data!P237,0)</f>
        <v>0</v>
      </c>
      <c r="R17" s="63">
        <f>IFERROR(aurora_data!Q237,0)</f>
        <v>0</v>
      </c>
      <c r="S17" s="62">
        <f>IFERROR(aurora_data!R237,0)</f>
        <v>0</v>
      </c>
      <c r="T17" s="62">
        <f>IFERROR(aurora_data!S237,0)</f>
        <v>0</v>
      </c>
      <c r="U17" s="63">
        <f>IFERROR(aurora_data!T237,0)</f>
        <v>0</v>
      </c>
      <c r="V17" s="64">
        <f>IFERROR(aurora_data!U237,0)</f>
        <v>0</v>
      </c>
      <c r="W17" s="36">
        <f>IFERROR(aurora_data!U237,0)</f>
        <v>0</v>
      </c>
      <c r="X17" s="71">
        <f t="shared" si="0"/>
        <v>0</v>
      </c>
      <c r="Y17" s="2"/>
    </row>
    <row r="18" spans="1:25" customFormat="1" ht="16.5" thickBot="1">
      <c r="A18" s="2"/>
      <c r="B18" s="211"/>
      <c r="C18" s="213"/>
      <c r="D18" s="37" t="s">
        <v>64</v>
      </c>
      <c r="E18" s="59">
        <f>IFERROR(aurora_data!D238,0)</f>
        <v>0</v>
      </c>
      <c r="F18" s="65">
        <f>IFERROR(aurora_data!E238,0)</f>
        <v>0</v>
      </c>
      <c r="G18" s="65">
        <f>IFERROR(aurora_data!F238,0)</f>
        <v>0</v>
      </c>
      <c r="H18" s="65">
        <f>IFERROR(aurora_data!G238,0)</f>
        <v>0</v>
      </c>
      <c r="I18" s="66">
        <f>IFERROR(aurora_data!H238,0)</f>
        <v>0</v>
      </c>
      <c r="J18" s="59">
        <f>IFERROR(aurora_data!I238,0)</f>
        <v>0</v>
      </c>
      <c r="K18" s="65">
        <f>IFERROR(aurora_data!J238,0)</f>
        <v>0</v>
      </c>
      <c r="L18" s="65">
        <f>IFERROR(aurora_data!K238,0)</f>
        <v>0</v>
      </c>
      <c r="M18" s="65">
        <f>IFERROR(aurora_data!L238,0)</f>
        <v>0</v>
      </c>
      <c r="N18" s="66">
        <f>IFERROR(aurora_data!M238,0)</f>
        <v>0</v>
      </c>
      <c r="O18" s="59">
        <f>IFERROR(aurora_data!N238,0)</f>
        <v>0</v>
      </c>
      <c r="P18" s="65">
        <f>IFERROR(aurora_data!O238,0)</f>
        <v>0</v>
      </c>
      <c r="Q18" s="65">
        <f>IFERROR(aurora_data!P238,0)</f>
        <v>0</v>
      </c>
      <c r="R18" s="66">
        <f>IFERROR(aurora_data!Q238,0)</f>
        <v>0</v>
      </c>
      <c r="S18" s="65">
        <f>IFERROR(aurora_data!R238,0)</f>
        <v>0</v>
      </c>
      <c r="T18" s="65">
        <f>IFERROR(aurora_data!S238,0)</f>
        <v>0</v>
      </c>
      <c r="U18" s="66">
        <f>IFERROR(aurora_data!T238,0)</f>
        <v>0</v>
      </c>
      <c r="V18" s="67">
        <f>IFERROR(aurora_data!U238,0)</f>
        <v>0</v>
      </c>
      <c r="W18" s="59">
        <f>IFERROR(aurora_data!U238,0)</f>
        <v>0</v>
      </c>
      <c r="X18" s="72">
        <f t="shared" si="0"/>
        <v>0</v>
      </c>
      <c r="Y18" s="2"/>
    </row>
    <row r="19" spans="1:25" customFormat="1" ht="16.5" thickBot="1">
      <c r="A19" s="2"/>
      <c r="B19" s="211"/>
      <c r="C19" s="213"/>
      <c r="D19" s="38" t="s">
        <v>100</v>
      </c>
      <c r="E19" s="60">
        <f>IFERROR(aurora_data!D239,0)</f>
        <v>0</v>
      </c>
      <c r="F19" s="68">
        <f>IFERROR(aurora_data!E239,0)</f>
        <v>0</v>
      </c>
      <c r="G19" s="68">
        <f>IFERROR(aurora_data!F239,0)</f>
        <v>0</v>
      </c>
      <c r="H19" s="68">
        <f>IFERROR(aurora_data!G239,0)</f>
        <v>0</v>
      </c>
      <c r="I19" s="69">
        <f>IFERROR(aurora_data!H239,0)</f>
        <v>0</v>
      </c>
      <c r="J19" s="60">
        <f>IFERROR(aurora_data!I239,0)</f>
        <v>0</v>
      </c>
      <c r="K19" s="68">
        <f>IFERROR(aurora_data!J239,0)</f>
        <v>0</v>
      </c>
      <c r="L19" s="68">
        <f>IFERROR(aurora_data!K239,0)</f>
        <v>0</v>
      </c>
      <c r="M19" s="68">
        <f>IFERROR(aurora_data!L239,0)</f>
        <v>0</v>
      </c>
      <c r="N19" s="69">
        <f>IFERROR(aurora_data!M239,0)</f>
        <v>0</v>
      </c>
      <c r="O19" s="60">
        <f>IFERROR(aurora_data!N239,0)</f>
        <v>0</v>
      </c>
      <c r="P19" s="68">
        <f>IFERROR(aurora_data!O239,0)</f>
        <v>0</v>
      </c>
      <c r="Q19" s="68">
        <f>IFERROR(aurora_data!P239,0)</f>
        <v>0</v>
      </c>
      <c r="R19" s="69">
        <f>IFERROR(aurora_data!Q239,0)</f>
        <v>0</v>
      </c>
      <c r="S19" s="68">
        <f>IFERROR(aurora_data!R239,0)</f>
        <v>0</v>
      </c>
      <c r="T19" s="68">
        <f>IFERROR(aurora_data!S239,0)</f>
        <v>0</v>
      </c>
      <c r="U19" s="74">
        <f>IFERROR(aurora_data!T239,0)</f>
        <v>0</v>
      </c>
      <c r="V19" s="75">
        <f>IFERROR(aurora_data!U239,0)</f>
        <v>0</v>
      </c>
      <c r="W19" s="60">
        <f>IFERROR(aurora_data!U239,0)</f>
        <v>0</v>
      </c>
      <c r="X19" s="73">
        <f t="shared" si="0"/>
        <v>0</v>
      </c>
      <c r="Y19" s="2"/>
    </row>
    <row r="20" spans="1:25" customFormat="1">
      <c r="A20" s="2"/>
      <c r="B20" s="210" t="s">
        <v>94</v>
      </c>
      <c r="C20" s="212" t="str">
        <f>aurora_data!A240</f>
        <v>07.00.00-07.11.30</v>
      </c>
      <c r="D20" s="34" t="s">
        <v>71</v>
      </c>
      <c r="E20" s="39">
        <f>IFERROR(aurora_data!D240,0)</f>
        <v>0</v>
      </c>
      <c r="F20" s="40">
        <f>IFERROR(aurora_data!E240,0)</f>
        <v>0</v>
      </c>
      <c r="G20" s="40">
        <f>IFERROR(aurora_data!F240,0)</f>
        <v>0</v>
      </c>
      <c r="H20" s="40">
        <f>IFERROR(aurora_data!G240,0)</f>
        <v>0</v>
      </c>
      <c r="I20" s="41">
        <f>IFERROR(aurora_data!H240,0)</f>
        <v>0</v>
      </c>
      <c r="J20" s="39">
        <f>IFERROR(aurora_data!I240,0)</f>
        <v>0</v>
      </c>
      <c r="K20" s="40">
        <f>IFERROR(aurora_data!J240,0)</f>
        <v>0</v>
      </c>
      <c r="L20" s="40">
        <f>IFERROR(aurora_data!K240,0)</f>
        <v>0</v>
      </c>
      <c r="M20" s="40">
        <f>IFERROR(aurora_data!L240,0)</f>
        <v>0</v>
      </c>
      <c r="N20" s="41">
        <f>IFERROR(aurora_data!M240,0)</f>
        <v>0</v>
      </c>
      <c r="O20" s="39">
        <f>IFERROR(aurora_data!N240,0)</f>
        <v>0</v>
      </c>
      <c r="P20" s="40">
        <f>IFERROR(aurora_data!O240,0)</f>
        <v>0</v>
      </c>
      <c r="Q20" s="40">
        <f>IFERROR(aurora_data!P240,0)</f>
        <v>0</v>
      </c>
      <c r="R20" s="41">
        <f>IFERROR(aurora_data!Q240,0)</f>
        <v>0</v>
      </c>
      <c r="S20" s="40">
        <f>IFERROR(aurora_data!R240,0)</f>
        <v>0</v>
      </c>
      <c r="T20" s="40">
        <f>IFERROR(aurora_data!S240,0)</f>
        <v>0</v>
      </c>
      <c r="U20" s="76">
        <f>IFERROR(aurora_data!T240,0)</f>
        <v>0</v>
      </c>
      <c r="V20" s="61">
        <f>IFERROR(aurora_data!U240,0)</f>
        <v>7</v>
      </c>
      <c r="W20" s="39">
        <f>IFERROR(aurora_data!U240,0)</f>
        <v>7</v>
      </c>
      <c r="X20" s="70">
        <f>IFERROR(W20/$W$12,0)</f>
        <v>1</v>
      </c>
      <c r="Y20" s="2"/>
    </row>
    <row r="21" spans="1:25" customFormat="1">
      <c r="A21" s="2"/>
      <c r="B21" s="211"/>
      <c r="C21" s="213"/>
      <c r="D21" s="35" t="s">
        <v>96</v>
      </c>
      <c r="E21" s="110">
        <f>IFERROR(aurora_data!D241,0)</f>
        <v>0</v>
      </c>
      <c r="F21" s="62">
        <f>IFERROR(aurora_data!E241,0)</f>
        <v>1</v>
      </c>
      <c r="G21" s="62">
        <f>IFERROR(aurora_data!F241,0)</f>
        <v>0</v>
      </c>
      <c r="H21" s="62">
        <f>IFERROR(aurora_data!G241,0)</f>
        <v>0</v>
      </c>
      <c r="I21" s="63">
        <f>IFERROR(aurora_data!H241,0)</f>
        <v>0</v>
      </c>
      <c r="J21" s="36">
        <f>IFERROR(aurora_data!I241,0)</f>
        <v>0</v>
      </c>
      <c r="K21" s="62">
        <f>IFERROR(aurora_data!J241,0)</f>
        <v>1</v>
      </c>
      <c r="L21" s="62">
        <f>IFERROR(aurora_data!K241,0)</f>
        <v>0</v>
      </c>
      <c r="M21" s="62">
        <f>IFERROR(aurora_data!L241,0)</f>
        <v>0</v>
      </c>
      <c r="N21" s="63">
        <f>IFERROR(aurora_data!M241,0)</f>
        <v>0</v>
      </c>
      <c r="O21" s="36">
        <f>IFERROR(aurora_data!N241,0)</f>
        <v>1</v>
      </c>
      <c r="P21" s="62">
        <f>IFERROR(aurora_data!O241,0)</f>
        <v>0</v>
      </c>
      <c r="Q21" s="62">
        <f>IFERROR(aurora_data!P241,0)</f>
        <v>0</v>
      </c>
      <c r="R21" s="63">
        <f>IFERROR(aurora_data!Q241,0)</f>
        <v>0</v>
      </c>
      <c r="S21" s="62">
        <f>IFERROR(aurora_data!R241,0)</f>
        <v>0</v>
      </c>
      <c r="T21" s="62">
        <f>IFERROR(aurora_data!S241,0)</f>
        <v>1</v>
      </c>
      <c r="U21" s="63">
        <f>IFERROR(aurora_data!T241,0)</f>
        <v>0</v>
      </c>
      <c r="V21" s="64">
        <f>IFERROR(aurora_data!U241,0)</f>
        <v>1</v>
      </c>
      <c r="W21" s="36">
        <f>IFERROR(aurora_data!U241,0)</f>
        <v>1</v>
      </c>
      <c r="X21" s="71">
        <f t="shared" ref="X21:X27" si="1">IFERROR(W21/$W$12,0)</f>
        <v>0.14285714285714285</v>
      </c>
      <c r="Y21" s="2"/>
    </row>
    <row r="22" spans="1:25" customFormat="1">
      <c r="A22" s="2"/>
      <c r="B22" s="211"/>
      <c r="C22" s="213"/>
      <c r="D22" s="35" t="s">
        <v>60</v>
      </c>
      <c r="E22" s="110">
        <f>IFERROR(aurora_data!D242,0)</f>
        <v>0</v>
      </c>
      <c r="F22" s="62">
        <f>IFERROR(aurora_data!E242,0)</f>
        <v>0</v>
      </c>
      <c r="G22" s="62">
        <f>IFERROR(aurora_data!F242,0)</f>
        <v>0</v>
      </c>
      <c r="H22" s="62">
        <f>IFERROR(aurora_data!G242,0)</f>
        <v>0</v>
      </c>
      <c r="I22" s="63">
        <f>IFERROR(aurora_data!H242,0)</f>
        <v>0</v>
      </c>
      <c r="J22" s="36">
        <f>IFERROR(aurora_data!I242,0)</f>
        <v>0</v>
      </c>
      <c r="K22" s="62">
        <f>IFERROR(aurora_data!J242,0)</f>
        <v>0</v>
      </c>
      <c r="L22" s="62">
        <f>IFERROR(aurora_data!K242,0)</f>
        <v>0</v>
      </c>
      <c r="M22" s="62">
        <f>IFERROR(aurora_data!L242,0)</f>
        <v>0</v>
      </c>
      <c r="N22" s="63">
        <f>IFERROR(aurora_data!M242,0)</f>
        <v>0</v>
      </c>
      <c r="O22" s="36">
        <f>IFERROR(aurora_data!N242,0)</f>
        <v>0</v>
      </c>
      <c r="P22" s="62">
        <f>IFERROR(aurora_data!O242,0)</f>
        <v>0</v>
      </c>
      <c r="Q22" s="62">
        <f>IFERROR(aurora_data!P242,0)</f>
        <v>0</v>
      </c>
      <c r="R22" s="63">
        <f>IFERROR(aurora_data!Q242,0)</f>
        <v>0</v>
      </c>
      <c r="S22" s="62">
        <f>IFERROR(aurora_data!R242,0)</f>
        <v>0</v>
      </c>
      <c r="T22" s="62">
        <f>IFERROR(aurora_data!S242,0)</f>
        <v>0</v>
      </c>
      <c r="U22" s="63">
        <f>IFERROR(aurora_data!T242,0)</f>
        <v>0</v>
      </c>
      <c r="V22" s="64">
        <f>IFERROR(aurora_data!U242,0)</f>
        <v>0</v>
      </c>
      <c r="W22" s="36">
        <f>IFERROR(aurora_data!U242,0)</f>
        <v>0</v>
      </c>
      <c r="X22" s="71">
        <f t="shared" si="1"/>
        <v>0</v>
      </c>
      <c r="Y22" s="2"/>
    </row>
    <row r="23" spans="1:25" customFormat="1">
      <c r="A23" s="2"/>
      <c r="B23" s="211"/>
      <c r="C23" s="213"/>
      <c r="D23" s="35" t="s">
        <v>97</v>
      </c>
      <c r="E23" s="36">
        <f>IFERROR(aurora_data!D243,0)</f>
        <v>0</v>
      </c>
      <c r="F23" s="62">
        <f>IFERROR(aurora_data!E243,0)</f>
        <v>0</v>
      </c>
      <c r="G23" s="62">
        <f>IFERROR(aurora_data!F243,0)</f>
        <v>0</v>
      </c>
      <c r="H23" s="62">
        <f>IFERROR(aurora_data!G243,0)</f>
        <v>0</v>
      </c>
      <c r="I23" s="63">
        <f>IFERROR(aurora_data!H243,0)</f>
        <v>0</v>
      </c>
      <c r="J23" s="36">
        <f>IFERROR(aurora_data!I243,0)</f>
        <v>0</v>
      </c>
      <c r="K23" s="62">
        <f>IFERROR(aurora_data!J243,0)</f>
        <v>0</v>
      </c>
      <c r="L23" s="62">
        <f>IFERROR(aurora_data!K243,0)</f>
        <v>0</v>
      </c>
      <c r="M23" s="62">
        <f>IFERROR(aurora_data!L243,0)</f>
        <v>0</v>
      </c>
      <c r="N23" s="63">
        <f>IFERROR(aurora_data!M243,0)</f>
        <v>0</v>
      </c>
      <c r="O23" s="36">
        <f>IFERROR(aurora_data!N243,0)</f>
        <v>0</v>
      </c>
      <c r="P23" s="62">
        <f>IFERROR(aurora_data!O243,0)</f>
        <v>0</v>
      </c>
      <c r="Q23" s="62">
        <f>IFERROR(aurora_data!P243,0)</f>
        <v>0</v>
      </c>
      <c r="R23" s="63">
        <f>IFERROR(aurora_data!Q243,0)</f>
        <v>0</v>
      </c>
      <c r="S23" s="62">
        <f>IFERROR(aurora_data!R243,0)</f>
        <v>0</v>
      </c>
      <c r="T23" s="62">
        <f>IFERROR(aurora_data!S243,0)</f>
        <v>0</v>
      </c>
      <c r="U23" s="63">
        <f>IFERROR(aurora_data!T243,0)</f>
        <v>0</v>
      </c>
      <c r="V23" s="64">
        <f>IFERROR(aurora_data!U243,0)</f>
        <v>0</v>
      </c>
      <c r="W23" s="36">
        <f>IFERROR(aurora_data!U243,0)</f>
        <v>0</v>
      </c>
      <c r="X23" s="71">
        <f t="shared" si="1"/>
        <v>0</v>
      </c>
      <c r="Y23" s="2"/>
    </row>
    <row r="24" spans="1:25" customFormat="1">
      <c r="A24" s="2"/>
      <c r="B24" s="211"/>
      <c r="C24" s="213"/>
      <c r="D24" s="35" t="s">
        <v>98</v>
      </c>
      <c r="E24" s="36">
        <f>IFERROR(aurora_data!D244,0)</f>
        <v>0</v>
      </c>
      <c r="F24" s="62">
        <f>IFERROR(aurora_data!E244,0)</f>
        <v>0</v>
      </c>
      <c r="G24" s="62">
        <f>IFERROR(aurora_data!F244,0)</f>
        <v>0</v>
      </c>
      <c r="H24" s="62">
        <f>IFERROR(aurora_data!G244,0)</f>
        <v>0</v>
      </c>
      <c r="I24" s="63">
        <f>IFERROR(aurora_data!H244,0)</f>
        <v>0</v>
      </c>
      <c r="J24" s="36">
        <f>IFERROR(aurora_data!I244,0)</f>
        <v>0</v>
      </c>
      <c r="K24" s="62">
        <f>IFERROR(aurora_data!J244,0)</f>
        <v>0</v>
      </c>
      <c r="L24" s="62">
        <f>IFERROR(aurora_data!K244,0)</f>
        <v>0</v>
      </c>
      <c r="M24" s="62">
        <f>IFERROR(aurora_data!L244,0)</f>
        <v>0</v>
      </c>
      <c r="N24" s="63">
        <f>IFERROR(aurora_data!M244,0)</f>
        <v>0</v>
      </c>
      <c r="O24" s="36">
        <f>IFERROR(aurora_data!N244,0)</f>
        <v>0</v>
      </c>
      <c r="P24" s="62">
        <f>IFERROR(aurora_data!O244,0)</f>
        <v>0</v>
      </c>
      <c r="Q24" s="62">
        <f>IFERROR(aurora_data!P244,0)</f>
        <v>0</v>
      </c>
      <c r="R24" s="63">
        <f>IFERROR(aurora_data!Q244,0)</f>
        <v>0</v>
      </c>
      <c r="S24" s="62">
        <f>IFERROR(aurora_data!R244,0)</f>
        <v>0</v>
      </c>
      <c r="T24" s="62">
        <f>IFERROR(aurora_data!S244,0)</f>
        <v>0</v>
      </c>
      <c r="U24" s="63">
        <f>IFERROR(aurora_data!T244,0)</f>
        <v>0</v>
      </c>
      <c r="V24" s="64">
        <f>IFERROR(aurora_data!U244,0)</f>
        <v>0</v>
      </c>
      <c r="W24" s="36">
        <f>IFERROR(aurora_data!U244,0)</f>
        <v>0</v>
      </c>
      <c r="X24" s="71">
        <f t="shared" si="1"/>
        <v>0</v>
      </c>
      <c r="Y24" s="2"/>
    </row>
    <row r="25" spans="1:25" customFormat="1" ht="16.5" thickBot="1">
      <c r="A25" s="2"/>
      <c r="B25" s="211"/>
      <c r="C25" s="213"/>
      <c r="D25" s="35" t="s">
        <v>99</v>
      </c>
      <c r="E25" s="36">
        <f>IFERROR(aurora_data!D245,0)</f>
        <v>0</v>
      </c>
      <c r="F25" s="62">
        <f>IFERROR(aurora_data!E245,0)</f>
        <v>0</v>
      </c>
      <c r="G25" s="62">
        <f>IFERROR(aurora_data!F245,0)</f>
        <v>0</v>
      </c>
      <c r="H25" s="62">
        <f>IFERROR(aurora_data!G245,0)</f>
        <v>0</v>
      </c>
      <c r="I25" s="63">
        <f>IFERROR(aurora_data!H245,0)</f>
        <v>0</v>
      </c>
      <c r="J25" s="36">
        <f>IFERROR(aurora_data!I245,0)</f>
        <v>0</v>
      </c>
      <c r="K25" s="62">
        <f>IFERROR(aurora_data!J245,0)</f>
        <v>0</v>
      </c>
      <c r="L25" s="62">
        <f>IFERROR(aurora_data!K245,0)</f>
        <v>0</v>
      </c>
      <c r="M25" s="62">
        <f>IFERROR(aurora_data!L245,0)</f>
        <v>0</v>
      </c>
      <c r="N25" s="63">
        <f>IFERROR(aurora_data!M245,0)</f>
        <v>0</v>
      </c>
      <c r="O25" s="36">
        <f>IFERROR(aurora_data!N245,0)</f>
        <v>0</v>
      </c>
      <c r="P25" s="62">
        <f>IFERROR(aurora_data!O245,0)</f>
        <v>0</v>
      </c>
      <c r="Q25" s="62">
        <f>IFERROR(aurora_data!P245,0)</f>
        <v>0</v>
      </c>
      <c r="R25" s="63">
        <f>IFERROR(aurora_data!Q245,0)</f>
        <v>0</v>
      </c>
      <c r="S25" s="62">
        <f>IFERROR(aurora_data!R245,0)</f>
        <v>0</v>
      </c>
      <c r="T25" s="62">
        <f>IFERROR(aurora_data!S245,0)</f>
        <v>0</v>
      </c>
      <c r="U25" s="63">
        <f>IFERROR(aurora_data!T245,0)</f>
        <v>0</v>
      </c>
      <c r="V25" s="64">
        <f>IFERROR(aurora_data!U245,0)</f>
        <v>0</v>
      </c>
      <c r="W25" s="36">
        <f>IFERROR(aurora_data!U245,0)</f>
        <v>0</v>
      </c>
      <c r="X25" s="71">
        <f t="shared" si="1"/>
        <v>0</v>
      </c>
      <c r="Y25" s="2"/>
    </row>
    <row r="26" spans="1:25" customFormat="1" ht="16.5" thickBot="1">
      <c r="A26" s="2"/>
      <c r="B26" s="211"/>
      <c r="C26" s="213"/>
      <c r="D26" s="37" t="s">
        <v>64</v>
      </c>
      <c r="E26" s="59">
        <f>IFERROR(aurora_data!D246,0)</f>
        <v>0</v>
      </c>
      <c r="F26" s="65">
        <f>IFERROR(aurora_data!E246,0)</f>
        <v>1</v>
      </c>
      <c r="G26" s="65">
        <f>IFERROR(aurora_data!F246,0)</f>
        <v>0</v>
      </c>
      <c r="H26" s="65">
        <f>IFERROR(aurora_data!G246,0)</f>
        <v>0</v>
      </c>
      <c r="I26" s="66">
        <f>IFERROR(aurora_data!H246,0)</f>
        <v>0</v>
      </c>
      <c r="J26" s="59">
        <f>IFERROR(aurora_data!I246,0)</f>
        <v>0</v>
      </c>
      <c r="K26" s="65">
        <f>IFERROR(aurora_data!J246,0)</f>
        <v>1</v>
      </c>
      <c r="L26" s="65">
        <f>IFERROR(aurora_data!K246,0)</f>
        <v>0</v>
      </c>
      <c r="M26" s="65">
        <f>IFERROR(aurora_data!L246,0)</f>
        <v>0</v>
      </c>
      <c r="N26" s="66">
        <f>IFERROR(aurora_data!M246,0)</f>
        <v>0</v>
      </c>
      <c r="O26" s="59">
        <f>IFERROR(aurora_data!N246,0)</f>
        <v>1</v>
      </c>
      <c r="P26" s="65">
        <f>IFERROR(aurora_data!O246,0)</f>
        <v>0</v>
      </c>
      <c r="Q26" s="65">
        <f>IFERROR(aurora_data!P246,0)</f>
        <v>0</v>
      </c>
      <c r="R26" s="66">
        <f>IFERROR(aurora_data!Q246,0)</f>
        <v>0</v>
      </c>
      <c r="S26" s="65">
        <f>IFERROR(aurora_data!R246,0)</f>
        <v>0</v>
      </c>
      <c r="T26" s="65">
        <f>IFERROR(aurora_data!S246,0)</f>
        <v>1</v>
      </c>
      <c r="U26" s="66">
        <f>IFERROR(aurora_data!T246,0)</f>
        <v>0</v>
      </c>
      <c r="V26" s="67">
        <f>IFERROR(aurora_data!U246,0)</f>
        <v>1</v>
      </c>
      <c r="W26" s="59">
        <f>IFERROR(aurora_data!U246,0)</f>
        <v>1</v>
      </c>
      <c r="X26" s="72">
        <f t="shared" si="1"/>
        <v>0.14285714285714285</v>
      </c>
      <c r="Y26" s="2"/>
    </row>
    <row r="27" spans="1:25" customFormat="1" ht="16.5" thickBot="1">
      <c r="A27" s="2"/>
      <c r="B27" s="211"/>
      <c r="C27" s="213"/>
      <c r="D27" s="38" t="s">
        <v>100</v>
      </c>
      <c r="E27" s="60">
        <f>IFERROR(aurora_data!D247,0)</f>
        <v>0</v>
      </c>
      <c r="F27" s="68">
        <f>IFERROR(aurora_data!E247,0)</f>
        <v>0</v>
      </c>
      <c r="G27" s="68">
        <f>IFERROR(aurora_data!F247,0)</f>
        <v>0</v>
      </c>
      <c r="H27" s="68">
        <f>IFERROR(aurora_data!G247,0)</f>
        <v>0</v>
      </c>
      <c r="I27" s="69">
        <f>IFERROR(aurora_data!H247,0)</f>
        <v>0</v>
      </c>
      <c r="J27" s="60">
        <f>IFERROR(aurora_data!I247,0)</f>
        <v>0</v>
      </c>
      <c r="K27" s="68">
        <f>IFERROR(aurora_data!J247,0)</f>
        <v>0</v>
      </c>
      <c r="L27" s="68">
        <f>IFERROR(aurora_data!K247,0)</f>
        <v>0</v>
      </c>
      <c r="M27" s="68">
        <f>IFERROR(aurora_data!L247,0)</f>
        <v>0</v>
      </c>
      <c r="N27" s="69">
        <f>IFERROR(aurora_data!M247,0)</f>
        <v>0</v>
      </c>
      <c r="O27" s="60">
        <f>IFERROR(aurora_data!N247,0)</f>
        <v>0</v>
      </c>
      <c r="P27" s="68">
        <f>IFERROR(aurora_data!O247,0)</f>
        <v>0</v>
      </c>
      <c r="Q27" s="68">
        <f>IFERROR(aurora_data!P247,0)</f>
        <v>0</v>
      </c>
      <c r="R27" s="69">
        <f>IFERROR(aurora_data!Q247,0)</f>
        <v>0</v>
      </c>
      <c r="S27" s="68">
        <f>IFERROR(aurora_data!R247,0)</f>
        <v>0</v>
      </c>
      <c r="T27" s="68">
        <f>IFERROR(aurora_data!S247,0)</f>
        <v>0</v>
      </c>
      <c r="U27" s="74">
        <f>IFERROR(aurora_data!T247,0)</f>
        <v>0</v>
      </c>
      <c r="V27" s="75">
        <f>IFERROR(aurora_data!U247,0)</f>
        <v>0</v>
      </c>
      <c r="W27" s="60">
        <f>IFERROR(aurora_data!U247,0)</f>
        <v>0</v>
      </c>
      <c r="X27" s="73">
        <f t="shared" si="1"/>
        <v>0</v>
      </c>
      <c r="Y27" s="2"/>
    </row>
    <row r="28" spans="1:25" customFormat="1">
      <c r="A28" s="2"/>
      <c r="B28" s="210" t="s">
        <v>94</v>
      </c>
      <c r="C28" s="212" t="str">
        <f>aurora_data!A248</f>
        <v>08.00.00-08.11.30</v>
      </c>
      <c r="D28" s="34" t="s">
        <v>71</v>
      </c>
      <c r="E28" s="39">
        <f>IFERROR(aurora_data!D248,0)</f>
        <v>0</v>
      </c>
      <c r="F28" s="40">
        <f>IFERROR(aurora_data!E248,0)</f>
        <v>0</v>
      </c>
      <c r="G28" s="40">
        <f>IFERROR(aurora_data!F248,0)</f>
        <v>0</v>
      </c>
      <c r="H28" s="40">
        <f>IFERROR(aurora_data!G248,0)</f>
        <v>0</v>
      </c>
      <c r="I28" s="41">
        <f>IFERROR(aurora_data!H248,0)</f>
        <v>0</v>
      </c>
      <c r="J28" s="39">
        <f>IFERROR(aurora_data!I248,0)</f>
        <v>0</v>
      </c>
      <c r="K28" s="40">
        <f>IFERROR(aurora_data!J248,0)</f>
        <v>0</v>
      </c>
      <c r="L28" s="40">
        <f>IFERROR(aurora_data!K248,0)</f>
        <v>0</v>
      </c>
      <c r="M28" s="40">
        <f>IFERROR(aurora_data!L248,0)</f>
        <v>0</v>
      </c>
      <c r="N28" s="41">
        <f>IFERROR(aurora_data!M248,0)</f>
        <v>0</v>
      </c>
      <c r="O28" s="39">
        <f>IFERROR(aurora_data!N248,0)</f>
        <v>0</v>
      </c>
      <c r="P28" s="40">
        <f>IFERROR(aurora_data!O248,0)</f>
        <v>0</v>
      </c>
      <c r="Q28" s="40">
        <f>IFERROR(aurora_data!P248,0)</f>
        <v>0</v>
      </c>
      <c r="R28" s="41">
        <f>IFERROR(aurora_data!Q248,0)</f>
        <v>0</v>
      </c>
      <c r="S28" s="40">
        <f>IFERROR(aurora_data!R248,0)</f>
        <v>0</v>
      </c>
      <c r="T28" s="40">
        <f>IFERROR(aurora_data!S248,0)</f>
        <v>0</v>
      </c>
      <c r="U28" s="76">
        <f>IFERROR(aurora_data!T248,0)</f>
        <v>0</v>
      </c>
      <c r="V28" s="61">
        <f>IFERROR(aurora_data!U248,0)</f>
        <v>5</v>
      </c>
      <c r="W28" s="39">
        <f>IFERROR(aurora_data!U248,0)</f>
        <v>5</v>
      </c>
      <c r="X28" s="70">
        <f>IFERROR(W28/$W$12,0)</f>
        <v>0.7142857142857143</v>
      </c>
      <c r="Y28" s="2"/>
    </row>
    <row r="29" spans="1:25" customFormat="1">
      <c r="A29" s="2"/>
      <c r="B29" s="211"/>
      <c r="C29" s="213"/>
      <c r="D29" s="35" t="s">
        <v>96</v>
      </c>
      <c r="E29" s="110">
        <f>IFERROR(aurora_data!D249,0)</f>
        <v>0</v>
      </c>
      <c r="F29" s="62">
        <f>IFERROR(aurora_data!E249,0)</f>
        <v>0</v>
      </c>
      <c r="G29" s="62">
        <f>IFERROR(aurora_data!F249,0)</f>
        <v>0</v>
      </c>
      <c r="H29" s="62">
        <f>IFERROR(aurora_data!G249,0)</f>
        <v>0</v>
      </c>
      <c r="I29" s="63">
        <f>IFERROR(aurora_data!H249,0)</f>
        <v>0</v>
      </c>
      <c r="J29" s="36">
        <f>IFERROR(aurora_data!I249,0)</f>
        <v>0</v>
      </c>
      <c r="K29" s="62">
        <f>IFERROR(aurora_data!J249,0)</f>
        <v>0</v>
      </c>
      <c r="L29" s="62">
        <f>IFERROR(aurora_data!K249,0)</f>
        <v>0</v>
      </c>
      <c r="M29" s="62">
        <f>IFERROR(aurora_data!L249,0)</f>
        <v>0</v>
      </c>
      <c r="N29" s="63">
        <f>IFERROR(aurora_data!M249,0)</f>
        <v>0</v>
      </c>
      <c r="O29" s="36">
        <f>IFERROR(aurora_data!N249,0)</f>
        <v>0</v>
      </c>
      <c r="P29" s="62">
        <f>IFERROR(aurora_data!O249,0)</f>
        <v>0</v>
      </c>
      <c r="Q29" s="62">
        <f>IFERROR(aurora_data!P249,0)</f>
        <v>0</v>
      </c>
      <c r="R29" s="63">
        <f>IFERROR(aurora_data!Q249,0)</f>
        <v>0</v>
      </c>
      <c r="S29" s="62">
        <f>IFERROR(aurora_data!R249,0)</f>
        <v>0</v>
      </c>
      <c r="T29" s="62">
        <f>IFERROR(aurora_data!S249,0)</f>
        <v>0</v>
      </c>
      <c r="U29" s="63">
        <f>IFERROR(aurora_data!T249,0)</f>
        <v>0</v>
      </c>
      <c r="V29" s="64">
        <f>IFERROR(aurora_data!U249,0)</f>
        <v>0</v>
      </c>
      <c r="W29" s="36">
        <f>IFERROR(aurora_data!U249,0)</f>
        <v>0</v>
      </c>
      <c r="X29" s="71">
        <f t="shared" ref="X29:X35" si="2">IFERROR(W29/$W$12,0)</f>
        <v>0</v>
      </c>
      <c r="Y29" s="2"/>
    </row>
    <row r="30" spans="1:25" customFormat="1">
      <c r="A30" s="2"/>
      <c r="B30" s="211"/>
      <c r="C30" s="213"/>
      <c r="D30" s="35" t="s">
        <v>60</v>
      </c>
      <c r="E30" s="110">
        <f>IFERROR(aurora_data!D250,0)</f>
        <v>0</v>
      </c>
      <c r="F30" s="62">
        <f>IFERROR(aurora_data!E250,0)</f>
        <v>0</v>
      </c>
      <c r="G30" s="62">
        <f>IFERROR(aurora_data!F250,0)</f>
        <v>0</v>
      </c>
      <c r="H30" s="62">
        <f>IFERROR(aurora_data!G250,0)</f>
        <v>0</v>
      </c>
      <c r="I30" s="63">
        <f>IFERROR(aurora_data!H250,0)</f>
        <v>0</v>
      </c>
      <c r="J30" s="36">
        <f>IFERROR(aurora_data!I250,0)</f>
        <v>0</v>
      </c>
      <c r="K30" s="62">
        <f>IFERROR(aurora_data!J250,0)</f>
        <v>0</v>
      </c>
      <c r="L30" s="62">
        <f>IFERROR(aurora_data!K250,0)</f>
        <v>0</v>
      </c>
      <c r="M30" s="62">
        <f>IFERROR(aurora_data!L250,0)</f>
        <v>0</v>
      </c>
      <c r="N30" s="63">
        <f>IFERROR(aurora_data!M250,0)</f>
        <v>0</v>
      </c>
      <c r="O30" s="36">
        <f>IFERROR(aurora_data!N250,0)</f>
        <v>0</v>
      </c>
      <c r="P30" s="62">
        <f>IFERROR(aurora_data!O250,0)</f>
        <v>0</v>
      </c>
      <c r="Q30" s="62">
        <f>IFERROR(aurora_data!P250,0)</f>
        <v>0</v>
      </c>
      <c r="R30" s="63">
        <f>IFERROR(aurora_data!Q250,0)</f>
        <v>0</v>
      </c>
      <c r="S30" s="62">
        <f>IFERROR(aurora_data!R250,0)</f>
        <v>0</v>
      </c>
      <c r="T30" s="62">
        <f>IFERROR(aurora_data!S250,0)</f>
        <v>0</v>
      </c>
      <c r="U30" s="63">
        <f>IFERROR(aurora_data!T250,0)</f>
        <v>0</v>
      </c>
      <c r="V30" s="64">
        <f>IFERROR(aurora_data!U250,0)</f>
        <v>0</v>
      </c>
      <c r="W30" s="36">
        <f>IFERROR(aurora_data!U250,0)</f>
        <v>0</v>
      </c>
      <c r="X30" s="71">
        <f t="shared" si="2"/>
        <v>0</v>
      </c>
      <c r="Y30" s="2"/>
    </row>
    <row r="31" spans="1:25" customFormat="1">
      <c r="A31" s="2"/>
      <c r="B31" s="211"/>
      <c r="C31" s="213"/>
      <c r="D31" s="35" t="s">
        <v>97</v>
      </c>
      <c r="E31" s="36">
        <f>IFERROR(aurora_data!D251,0)</f>
        <v>0</v>
      </c>
      <c r="F31" s="62">
        <f>IFERROR(aurora_data!E251,0)</f>
        <v>0</v>
      </c>
      <c r="G31" s="62">
        <f>IFERROR(aurora_data!F251,0)</f>
        <v>0</v>
      </c>
      <c r="H31" s="62">
        <f>IFERROR(aurora_data!G251,0)</f>
        <v>0</v>
      </c>
      <c r="I31" s="63">
        <f>IFERROR(aurora_data!H251,0)</f>
        <v>0</v>
      </c>
      <c r="J31" s="36">
        <f>IFERROR(aurora_data!I251,0)</f>
        <v>0</v>
      </c>
      <c r="K31" s="62">
        <f>IFERROR(aurora_data!J251,0)</f>
        <v>0</v>
      </c>
      <c r="L31" s="62">
        <f>IFERROR(aurora_data!K251,0)</f>
        <v>0</v>
      </c>
      <c r="M31" s="62">
        <f>IFERROR(aurora_data!L251,0)</f>
        <v>0</v>
      </c>
      <c r="N31" s="63">
        <f>IFERROR(aurora_data!M251,0)</f>
        <v>0</v>
      </c>
      <c r="O31" s="36">
        <f>IFERROR(aurora_data!N251,0)</f>
        <v>0</v>
      </c>
      <c r="P31" s="62">
        <f>IFERROR(aurora_data!O251,0)</f>
        <v>0</v>
      </c>
      <c r="Q31" s="62">
        <f>IFERROR(aurora_data!P251,0)</f>
        <v>0</v>
      </c>
      <c r="R31" s="63">
        <f>IFERROR(aurora_data!Q251,0)</f>
        <v>0</v>
      </c>
      <c r="S31" s="62">
        <f>IFERROR(aurora_data!R251,0)</f>
        <v>0</v>
      </c>
      <c r="T31" s="62">
        <f>IFERROR(aurora_data!S251,0)</f>
        <v>0</v>
      </c>
      <c r="U31" s="63">
        <f>IFERROR(aurora_data!T251,0)</f>
        <v>0</v>
      </c>
      <c r="V31" s="64">
        <f>IFERROR(aurora_data!U251,0)</f>
        <v>0</v>
      </c>
      <c r="W31" s="36">
        <f>IFERROR(aurora_data!U251,0)</f>
        <v>0</v>
      </c>
      <c r="X31" s="71">
        <f t="shared" si="2"/>
        <v>0</v>
      </c>
      <c r="Y31" s="2"/>
    </row>
    <row r="32" spans="1:25" customFormat="1">
      <c r="A32" s="2"/>
      <c r="B32" s="211"/>
      <c r="C32" s="213"/>
      <c r="D32" s="35" t="s">
        <v>98</v>
      </c>
      <c r="E32" s="36">
        <f>IFERROR(aurora_data!D252,0)</f>
        <v>0</v>
      </c>
      <c r="F32" s="62">
        <f>IFERROR(aurora_data!E252,0)</f>
        <v>0</v>
      </c>
      <c r="G32" s="62">
        <f>IFERROR(aurora_data!F252,0)</f>
        <v>0</v>
      </c>
      <c r="H32" s="62">
        <f>IFERROR(aurora_data!G252,0)</f>
        <v>0</v>
      </c>
      <c r="I32" s="63">
        <f>IFERROR(aurora_data!H252,0)</f>
        <v>0</v>
      </c>
      <c r="J32" s="36">
        <f>IFERROR(aurora_data!I252,0)</f>
        <v>0</v>
      </c>
      <c r="K32" s="62">
        <f>IFERROR(aurora_data!J252,0)</f>
        <v>0</v>
      </c>
      <c r="L32" s="62">
        <f>IFERROR(aurora_data!K252,0)</f>
        <v>0</v>
      </c>
      <c r="M32" s="62">
        <f>IFERROR(aurora_data!L252,0)</f>
        <v>0</v>
      </c>
      <c r="N32" s="63">
        <f>IFERROR(aurora_data!M252,0)</f>
        <v>0</v>
      </c>
      <c r="O32" s="36">
        <f>IFERROR(aurora_data!N252,0)</f>
        <v>0</v>
      </c>
      <c r="P32" s="62">
        <f>IFERROR(aurora_data!O252,0)</f>
        <v>0</v>
      </c>
      <c r="Q32" s="62">
        <f>IFERROR(aurora_data!P252,0)</f>
        <v>0</v>
      </c>
      <c r="R32" s="63">
        <f>IFERROR(aurora_data!Q252,0)</f>
        <v>0</v>
      </c>
      <c r="S32" s="62">
        <f>IFERROR(aurora_data!R252,0)</f>
        <v>0</v>
      </c>
      <c r="T32" s="62">
        <f>IFERROR(aurora_data!S252,0)</f>
        <v>0</v>
      </c>
      <c r="U32" s="63">
        <f>IFERROR(aurora_data!T252,0)</f>
        <v>0</v>
      </c>
      <c r="V32" s="64">
        <f>IFERROR(aurora_data!U252,0)</f>
        <v>0</v>
      </c>
      <c r="W32" s="36">
        <f>IFERROR(aurora_data!U252,0)</f>
        <v>0</v>
      </c>
      <c r="X32" s="71">
        <f t="shared" si="2"/>
        <v>0</v>
      </c>
      <c r="Y32" s="2"/>
    </row>
    <row r="33" spans="1:25" customFormat="1" ht="16.5" thickBot="1">
      <c r="A33" s="2"/>
      <c r="B33" s="211"/>
      <c r="C33" s="213"/>
      <c r="D33" s="35" t="s">
        <v>99</v>
      </c>
      <c r="E33" s="36">
        <f>IFERROR(aurora_data!D253,0)</f>
        <v>0</v>
      </c>
      <c r="F33" s="62">
        <f>IFERROR(aurora_data!E253,0)</f>
        <v>0</v>
      </c>
      <c r="G33" s="62">
        <f>IFERROR(aurora_data!F253,0)</f>
        <v>0</v>
      </c>
      <c r="H33" s="62">
        <f>IFERROR(aurora_data!G253,0)</f>
        <v>0</v>
      </c>
      <c r="I33" s="63">
        <f>IFERROR(aurora_data!H253,0)</f>
        <v>0</v>
      </c>
      <c r="J33" s="36">
        <f>IFERROR(aurora_data!I253,0)</f>
        <v>0</v>
      </c>
      <c r="K33" s="62">
        <f>IFERROR(aurora_data!J253,0)</f>
        <v>0</v>
      </c>
      <c r="L33" s="62">
        <f>IFERROR(aurora_data!K253,0)</f>
        <v>0</v>
      </c>
      <c r="M33" s="62">
        <f>IFERROR(aurora_data!L253,0)</f>
        <v>0</v>
      </c>
      <c r="N33" s="63">
        <f>IFERROR(aurora_data!M253,0)</f>
        <v>0</v>
      </c>
      <c r="O33" s="36">
        <f>IFERROR(aurora_data!N253,0)</f>
        <v>0</v>
      </c>
      <c r="P33" s="62">
        <f>IFERROR(aurora_data!O253,0)</f>
        <v>0</v>
      </c>
      <c r="Q33" s="62">
        <f>IFERROR(aurora_data!P253,0)</f>
        <v>0</v>
      </c>
      <c r="R33" s="63">
        <f>IFERROR(aurora_data!Q253,0)</f>
        <v>0</v>
      </c>
      <c r="S33" s="62">
        <f>IFERROR(aurora_data!R253,0)</f>
        <v>0</v>
      </c>
      <c r="T33" s="62">
        <f>IFERROR(aurora_data!S253,0)</f>
        <v>0</v>
      </c>
      <c r="U33" s="63">
        <f>IFERROR(aurora_data!T253,0)</f>
        <v>0</v>
      </c>
      <c r="V33" s="64">
        <f>IFERROR(aurora_data!U253,0)</f>
        <v>0</v>
      </c>
      <c r="W33" s="36">
        <f>IFERROR(aurora_data!U253,0)</f>
        <v>0</v>
      </c>
      <c r="X33" s="71">
        <f t="shared" si="2"/>
        <v>0</v>
      </c>
      <c r="Y33" s="2"/>
    </row>
    <row r="34" spans="1:25" customFormat="1" ht="16.5" thickBot="1">
      <c r="A34" s="2"/>
      <c r="B34" s="211"/>
      <c r="C34" s="213"/>
      <c r="D34" s="37" t="s">
        <v>64</v>
      </c>
      <c r="E34" s="59">
        <f>IFERROR(aurora_data!D254,0)</f>
        <v>0</v>
      </c>
      <c r="F34" s="65">
        <f>IFERROR(aurora_data!E254,0)</f>
        <v>0</v>
      </c>
      <c r="G34" s="65">
        <f>IFERROR(aurora_data!F254,0)</f>
        <v>0</v>
      </c>
      <c r="H34" s="65">
        <f>IFERROR(aurora_data!G254,0)</f>
        <v>0</v>
      </c>
      <c r="I34" s="66">
        <f>IFERROR(aurora_data!H254,0)</f>
        <v>0</v>
      </c>
      <c r="J34" s="59">
        <f>IFERROR(aurora_data!I254,0)</f>
        <v>0</v>
      </c>
      <c r="K34" s="65">
        <f>IFERROR(aurora_data!J254,0)</f>
        <v>0</v>
      </c>
      <c r="L34" s="65">
        <f>IFERROR(aurora_data!K254,0)</f>
        <v>0</v>
      </c>
      <c r="M34" s="65">
        <f>IFERROR(aurora_data!L254,0)</f>
        <v>0</v>
      </c>
      <c r="N34" s="66">
        <f>IFERROR(aurora_data!M254,0)</f>
        <v>0</v>
      </c>
      <c r="O34" s="59">
        <f>IFERROR(aurora_data!N254,0)</f>
        <v>0</v>
      </c>
      <c r="P34" s="65">
        <f>IFERROR(aurora_data!O254,0)</f>
        <v>0</v>
      </c>
      <c r="Q34" s="65">
        <f>IFERROR(aurora_data!P254,0)</f>
        <v>0</v>
      </c>
      <c r="R34" s="66">
        <f>IFERROR(aurora_data!Q254,0)</f>
        <v>0</v>
      </c>
      <c r="S34" s="65">
        <f>IFERROR(aurora_data!R254,0)</f>
        <v>0</v>
      </c>
      <c r="T34" s="65">
        <f>IFERROR(aurora_data!S254,0)</f>
        <v>0</v>
      </c>
      <c r="U34" s="66">
        <f>IFERROR(aurora_data!T254,0)</f>
        <v>0</v>
      </c>
      <c r="V34" s="67">
        <f>IFERROR(aurora_data!U254,0)</f>
        <v>0</v>
      </c>
      <c r="W34" s="59">
        <f>IFERROR(aurora_data!U254,0)</f>
        <v>0</v>
      </c>
      <c r="X34" s="72">
        <f t="shared" si="2"/>
        <v>0</v>
      </c>
      <c r="Y34" s="2"/>
    </row>
    <row r="35" spans="1:25" customFormat="1" ht="16.5" thickBot="1">
      <c r="A35" s="2"/>
      <c r="B35" s="211"/>
      <c r="C35" s="213"/>
      <c r="D35" s="38" t="s">
        <v>100</v>
      </c>
      <c r="E35" s="60">
        <f>IFERROR(aurora_data!D255,0)</f>
        <v>0</v>
      </c>
      <c r="F35" s="68">
        <f>IFERROR(aurora_data!E255,0)</f>
        <v>0</v>
      </c>
      <c r="G35" s="68">
        <f>IFERROR(aurora_data!F255,0)</f>
        <v>0</v>
      </c>
      <c r="H35" s="68">
        <f>IFERROR(aurora_data!G255,0)</f>
        <v>0</v>
      </c>
      <c r="I35" s="69">
        <f>IFERROR(aurora_data!H255,0)</f>
        <v>0</v>
      </c>
      <c r="J35" s="60">
        <f>IFERROR(aurora_data!I255,0)</f>
        <v>0</v>
      </c>
      <c r="K35" s="68">
        <f>IFERROR(aurora_data!J255,0)</f>
        <v>0</v>
      </c>
      <c r="L35" s="68">
        <f>IFERROR(aurora_data!K255,0)</f>
        <v>0</v>
      </c>
      <c r="M35" s="68">
        <f>IFERROR(aurora_data!L255,0)</f>
        <v>0</v>
      </c>
      <c r="N35" s="69">
        <f>IFERROR(aurora_data!M255,0)</f>
        <v>0</v>
      </c>
      <c r="O35" s="60">
        <f>IFERROR(aurora_data!N255,0)</f>
        <v>0</v>
      </c>
      <c r="P35" s="68">
        <f>IFERROR(aurora_data!O255,0)</f>
        <v>0</v>
      </c>
      <c r="Q35" s="68">
        <f>IFERROR(aurora_data!P255,0)</f>
        <v>0</v>
      </c>
      <c r="R35" s="69">
        <f>IFERROR(aurora_data!Q255,0)</f>
        <v>0</v>
      </c>
      <c r="S35" s="68">
        <f>IFERROR(aurora_data!R255,0)</f>
        <v>0</v>
      </c>
      <c r="T35" s="68">
        <f>IFERROR(aurora_data!S255,0)</f>
        <v>0</v>
      </c>
      <c r="U35" s="74">
        <f>IFERROR(aurora_data!T255,0)</f>
        <v>0</v>
      </c>
      <c r="V35" s="75">
        <f>IFERROR(aurora_data!U255,0)</f>
        <v>0</v>
      </c>
      <c r="W35" s="60">
        <f>IFERROR(aurora_data!U255,0)</f>
        <v>0</v>
      </c>
      <c r="X35" s="73">
        <f t="shared" si="2"/>
        <v>0</v>
      </c>
      <c r="Y35" s="2"/>
    </row>
    <row r="36" spans="1:25" customFormat="1">
      <c r="A36" s="2"/>
      <c r="B36" s="210" t="s">
        <v>94</v>
      </c>
      <c r="C36" s="212" t="str">
        <f>aurora_data!A256</f>
        <v>09.00.00-09.11.30</v>
      </c>
      <c r="D36" s="34" t="s">
        <v>71</v>
      </c>
      <c r="E36" s="39">
        <f>IFERROR(aurora_data!D256,0)</f>
        <v>0</v>
      </c>
      <c r="F36" s="40">
        <f>IFERROR(aurora_data!E256,0)</f>
        <v>0</v>
      </c>
      <c r="G36" s="40">
        <f>IFERROR(aurora_data!F256,0)</f>
        <v>0</v>
      </c>
      <c r="H36" s="40">
        <f>IFERROR(aurora_data!G256,0)</f>
        <v>0</v>
      </c>
      <c r="I36" s="41">
        <f>IFERROR(aurora_data!H256,0)</f>
        <v>0</v>
      </c>
      <c r="J36" s="39">
        <f>IFERROR(aurora_data!I256,0)</f>
        <v>0</v>
      </c>
      <c r="K36" s="40">
        <f>IFERROR(aurora_data!J256,0)</f>
        <v>0</v>
      </c>
      <c r="L36" s="40">
        <f>IFERROR(aurora_data!K256,0)</f>
        <v>0</v>
      </c>
      <c r="M36" s="40">
        <f>IFERROR(aurora_data!L256,0)</f>
        <v>0</v>
      </c>
      <c r="N36" s="41">
        <f>IFERROR(aurora_data!M256,0)</f>
        <v>0</v>
      </c>
      <c r="O36" s="39">
        <f>IFERROR(aurora_data!N256,0)</f>
        <v>0</v>
      </c>
      <c r="P36" s="40">
        <f>IFERROR(aurora_data!O256,0)</f>
        <v>0</v>
      </c>
      <c r="Q36" s="40">
        <f>IFERROR(aurora_data!P256,0)</f>
        <v>0</v>
      </c>
      <c r="R36" s="41">
        <f>IFERROR(aurora_data!Q256,0)</f>
        <v>0</v>
      </c>
      <c r="S36" s="40">
        <f>IFERROR(aurora_data!R256,0)</f>
        <v>0</v>
      </c>
      <c r="T36" s="40">
        <f>IFERROR(aurora_data!S256,0)</f>
        <v>0</v>
      </c>
      <c r="U36" s="76">
        <f>IFERROR(aurora_data!T256,0)</f>
        <v>0</v>
      </c>
      <c r="V36" s="61">
        <f>IFERROR(aurora_data!U256,0)</f>
        <v>3</v>
      </c>
      <c r="W36" s="39">
        <f>IFERROR(aurora_data!U256,0)</f>
        <v>3</v>
      </c>
      <c r="X36" s="70">
        <f>IFERROR(W36/$W$12,0)</f>
        <v>0.42857142857142855</v>
      </c>
      <c r="Y36" s="2"/>
    </row>
    <row r="37" spans="1:25" customFormat="1">
      <c r="A37" s="2"/>
      <c r="B37" s="211"/>
      <c r="C37" s="213"/>
      <c r="D37" s="35" t="s">
        <v>96</v>
      </c>
      <c r="E37" s="110">
        <f>IFERROR(aurora_data!D257,0)</f>
        <v>0</v>
      </c>
      <c r="F37" s="62">
        <f>IFERROR(aurora_data!E257,0)</f>
        <v>0</v>
      </c>
      <c r="G37" s="62">
        <f>IFERROR(aurora_data!F257,0)</f>
        <v>0</v>
      </c>
      <c r="H37" s="62">
        <f>IFERROR(aurora_data!G257,0)</f>
        <v>0</v>
      </c>
      <c r="I37" s="63">
        <f>IFERROR(aurora_data!H257,0)</f>
        <v>0</v>
      </c>
      <c r="J37" s="36">
        <f>IFERROR(aurora_data!I257,0)</f>
        <v>0</v>
      </c>
      <c r="K37" s="62">
        <f>IFERROR(aurora_data!J257,0)</f>
        <v>0</v>
      </c>
      <c r="L37" s="62">
        <f>IFERROR(aurora_data!K257,0)</f>
        <v>0</v>
      </c>
      <c r="M37" s="62">
        <f>IFERROR(aurora_data!L257,0)</f>
        <v>0</v>
      </c>
      <c r="N37" s="63">
        <f>IFERROR(aurora_data!M257,0)</f>
        <v>0</v>
      </c>
      <c r="O37" s="36">
        <f>IFERROR(aurora_data!N257,0)</f>
        <v>0</v>
      </c>
      <c r="P37" s="62">
        <f>IFERROR(aurora_data!O257,0)</f>
        <v>0</v>
      </c>
      <c r="Q37" s="62">
        <f>IFERROR(aurora_data!P257,0)</f>
        <v>0</v>
      </c>
      <c r="R37" s="63">
        <f>IFERROR(aurora_data!Q257,0)</f>
        <v>0</v>
      </c>
      <c r="S37" s="62">
        <f>IFERROR(aurora_data!R257,0)</f>
        <v>0</v>
      </c>
      <c r="T37" s="62">
        <f>IFERROR(aurora_data!S257,0)</f>
        <v>0</v>
      </c>
      <c r="U37" s="63">
        <f>IFERROR(aurora_data!T257,0)</f>
        <v>0</v>
      </c>
      <c r="V37" s="64">
        <f>IFERROR(aurora_data!U257,0)</f>
        <v>0</v>
      </c>
      <c r="W37" s="36">
        <f>IFERROR(aurora_data!U257,0)</f>
        <v>0</v>
      </c>
      <c r="X37" s="71">
        <f t="shared" ref="X37:X43" si="3">IFERROR(W37/$W$12,0)</f>
        <v>0</v>
      </c>
      <c r="Y37" s="2"/>
    </row>
    <row r="38" spans="1:25" customFormat="1">
      <c r="A38" s="2"/>
      <c r="B38" s="211"/>
      <c r="C38" s="213"/>
      <c r="D38" s="35" t="s">
        <v>60</v>
      </c>
      <c r="E38" s="110">
        <f>IFERROR(aurora_data!D258,0)</f>
        <v>0</v>
      </c>
      <c r="F38" s="62">
        <f>IFERROR(aurora_data!E258,0)</f>
        <v>0</v>
      </c>
      <c r="G38" s="62">
        <f>IFERROR(aurora_data!F258,0)</f>
        <v>0</v>
      </c>
      <c r="H38" s="62">
        <f>IFERROR(aurora_data!G258,0)</f>
        <v>0</v>
      </c>
      <c r="I38" s="63">
        <f>IFERROR(aurora_data!H258,0)</f>
        <v>0</v>
      </c>
      <c r="J38" s="36">
        <f>IFERROR(aurora_data!I258,0)</f>
        <v>0</v>
      </c>
      <c r="K38" s="62">
        <f>IFERROR(aurora_data!J258,0)</f>
        <v>0</v>
      </c>
      <c r="L38" s="62">
        <f>IFERROR(aurora_data!K258,0)</f>
        <v>0</v>
      </c>
      <c r="M38" s="62">
        <f>IFERROR(aurora_data!L258,0)</f>
        <v>0</v>
      </c>
      <c r="N38" s="63">
        <f>IFERROR(aurora_data!M258,0)</f>
        <v>0</v>
      </c>
      <c r="O38" s="36">
        <f>IFERROR(aurora_data!N258,0)</f>
        <v>0</v>
      </c>
      <c r="P38" s="62">
        <f>IFERROR(aurora_data!O258,0)</f>
        <v>0</v>
      </c>
      <c r="Q38" s="62">
        <f>IFERROR(aurora_data!P258,0)</f>
        <v>0</v>
      </c>
      <c r="R38" s="63">
        <f>IFERROR(aurora_data!Q258,0)</f>
        <v>0</v>
      </c>
      <c r="S38" s="62">
        <f>IFERROR(aurora_data!R258,0)</f>
        <v>0</v>
      </c>
      <c r="T38" s="62">
        <f>IFERROR(aurora_data!S258,0)</f>
        <v>0</v>
      </c>
      <c r="U38" s="63">
        <f>IFERROR(aurora_data!T258,0)</f>
        <v>0</v>
      </c>
      <c r="V38" s="64">
        <f>IFERROR(aurora_data!U258,0)</f>
        <v>0</v>
      </c>
      <c r="W38" s="36">
        <f>IFERROR(aurora_data!U258,0)</f>
        <v>0</v>
      </c>
      <c r="X38" s="71">
        <f t="shared" si="3"/>
        <v>0</v>
      </c>
      <c r="Y38" s="2"/>
    </row>
    <row r="39" spans="1:25" customFormat="1">
      <c r="A39" s="2"/>
      <c r="B39" s="211"/>
      <c r="C39" s="213"/>
      <c r="D39" s="35" t="s">
        <v>97</v>
      </c>
      <c r="E39" s="36">
        <f>IFERROR(aurora_data!D259,0)</f>
        <v>0</v>
      </c>
      <c r="F39" s="62">
        <f>IFERROR(aurora_data!E259,0)</f>
        <v>0</v>
      </c>
      <c r="G39" s="62">
        <f>IFERROR(aurora_data!F259,0)</f>
        <v>0</v>
      </c>
      <c r="H39" s="62">
        <f>IFERROR(aurora_data!G259,0)</f>
        <v>0</v>
      </c>
      <c r="I39" s="63">
        <f>IFERROR(aurora_data!H259,0)</f>
        <v>0</v>
      </c>
      <c r="J39" s="36">
        <f>IFERROR(aurora_data!I259,0)</f>
        <v>0</v>
      </c>
      <c r="K39" s="62">
        <f>IFERROR(aurora_data!J259,0)</f>
        <v>0</v>
      </c>
      <c r="L39" s="62">
        <f>IFERROR(aurora_data!K259,0)</f>
        <v>0</v>
      </c>
      <c r="M39" s="62">
        <f>IFERROR(aurora_data!L259,0)</f>
        <v>0</v>
      </c>
      <c r="N39" s="63">
        <f>IFERROR(aurora_data!M259,0)</f>
        <v>0</v>
      </c>
      <c r="O39" s="36">
        <f>IFERROR(aurora_data!N259,0)</f>
        <v>0</v>
      </c>
      <c r="P39" s="62">
        <f>IFERROR(aurora_data!O259,0)</f>
        <v>0</v>
      </c>
      <c r="Q39" s="62">
        <f>IFERROR(aurora_data!P259,0)</f>
        <v>0</v>
      </c>
      <c r="R39" s="63">
        <f>IFERROR(aurora_data!Q259,0)</f>
        <v>0</v>
      </c>
      <c r="S39" s="62">
        <f>IFERROR(aurora_data!R259,0)</f>
        <v>0</v>
      </c>
      <c r="T39" s="62">
        <f>IFERROR(aurora_data!S259,0)</f>
        <v>0</v>
      </c>
      <c r="U39" s="63">
        <f>IFERROR(aurora_data!T259,0)</f>
        <v>0</v>
      </c>
      <c r="V39" s="64">
        <f>IFERROR(aurora_data!U259,0)</f>
        <v>0</v>
      </c>
      <c r="W39" s="36">
        <f>IFERROR(aurora_data!U259,0)</f>
        <v>0</v>
      </c>
      <c r="X39" s="71">
        <f t="shared" si="3"/>
        <v>0</v>
      </c>
      <c r="Y39" s="2"/>
    </row>
    <row r="40" spans="1:25" customFormat="1">
      <c r="A40" s="2"/>
      <c r="B40" s="211"/>
      <c r="C40" s="213"/>
      <c r="D40" s="35" t="s">
        <v>98</v>
      </c>
      <c r="E40" s="36">
        <f>IFERROR(aurora_data!D260,0)</f>
        <v>0</v>
      </c>
      <c r="F40" s="62">
        <f>IFERROR(aurora_data!E260,0)</f>
        <v>0</v>
      </c>
      <c r="G40" s="62">
        <f>IFERROR(aurora_data!F260,0)</f>
        <v>0</v>
      </c>
      <c r="H40" s="62">
        <f>IFERROR(aurora_data!G260,0)</f>
        <v>0</v>
      </c>
      <c r="I40" s="63">
        <f>IFERROR(aurora_data!H260,0)</f>
        <v>0</v>
      </c>
      <c r="J40" s="36">
        <f>IFERROR(aurora_data!I260,0)</f>
        <v>0</v>
      </c>
      <c r="K40" s="62">
        <f>IFERROR(aurora_data!J260,0)</f>
        <v>0</v>
      </c>
      <c r="L40" s="62">
        <f>IFERROR(aurora_data!K260,0)</f>
        <v>0</v>
      </c>
      <c r="M40" s="62">
        <f>IFERROR(aurora_data!L260,0)</f>
        <v>0</v>
      </c>
      <c r="N40" s="63">
        <f>IFERROR(aurora_data!M260,0)</f>
        <v>0</v>
      </c>
      <c r="O40" s="36">
        <f>IFERROR(aurora_data!N260,0)</f>
        <v>0</v>
      </c>
      <c r="P40" s="62">
        <f>IFERROR(aurora_data!O260,0)</f>
        <v>0</v>
      </c>
      <c r="Q40" s="62">
        <f>IFERROR(aurora_data!P260,0)</f>
        <v>0</v>
      </c>
      <c r="R40" s="63">
        <f>IFERROR(aurora_data!Q260,0)</f>
        <v>0</v>
      </c>
      <c r="S40" s="62">
        <f>IFERROR(aurora_data!R260,0)</f>
        <v>0</v>
      </c>
      <c r="T40" s="62">
        <f>IFERROR(aurora_data!S260,0)</f>
        <v>0</v>
      </c>
      <c r="U40" s="63">
        <f>IFERROR(aurora_data!T260,0)</f>
        <v>0</v>
      </c>
      <c r="V40" s="64">
        <f>IFERROR(aurora_data!U260,0)</f>
        <v>0</v>
      </c>
      <c r="W40" s="36">
        <f>IFERROR(aurora_data!U260,0)</f>
        <v>0</v>
      </c>
      <c r="X40" s="71">
        <f t="shared" si="3"/>
        <v>0</v>
      </c>
      <c r="Y40" s="2"/>
    </row>
    <row r="41" spans="1:25" customFormat="1" ht="16.5" thickBot="1">
      <c r="A41" s="2"/>
      <c r="B41" s="211"/>
      <c r="C41" s="213"/>
      <c r="D41" s="35" t="s">
        <v>99</v>
      </c>
      <c r="E41" s="36">
        <f>IFERROR(aurora_data!D261,0)</f>
        <v>0</v>
      </c>
      <c r="F41" s="62">
        <f>IFERROR(aurora_data!E261,0)</f>
        <v>0</v>
      </c>
      <c r="G41" s="62">
        <f>IFERROR(aurora_data!F261,0)</f>
        <v>0</v>
      </c>
      <c r="H41" s="62">
        <f>IFERROR(aurora_data!G261,0)</f>
        <v>0</v>
      </c>
      <c r="I41" s="63">
        <f>IFERROR(aurora_data!H261,0)</f>
        <v>0</v>
      </c>
      <c r="J41" s="36">
        <f>IFERROR(aurora_data!I261,0)</f>
        <v>0</v>
      </c>
      <c r="K41" s="62">
        <f>IFERROR(aurora_data!J261,0)</f>
        <v>0</v>
      </c>
      <c r="L41" s="62">
        <f>IFERROR(aurora_data!K261,0)</f>
        <v>0</v>
      </c>
      <c r="M41" s="62">
        <f>IFERROR(aurora_data!L261,0)</f>
        <v>0</v>
      </c>
      <c r="N41" s="63">
        <f>IFERROR(aurora_data!M261,0)</f>
        <v>0</v>
      </c>
      <c r="O41" s="36">
        <f>IFERROR(aurora_data!N261,0)</f>
        <v>0</v>
      </c>
      <c r="P41" s="62">
        <f>IFERROR(aurora_data!O261,0)</f>
        <v>0</v>
      </c>
      <c r="Q41" s="62">
        <f>IFERROR(aurora_data!P261,0)</f>
        <v>0</v>
      </c>
      <c r="R41" s="63">
        <f>IFERROR(aurora_data!Q261,0)</f>
        <v>0</v>
      </c>
      <c r="S41" s="62">
        <f>IFERROR(aurora_data!R261,0)</f>
        <v>0</v>
      </c>
      <c r="T41" s="62">
        <f>IFERROR(aurora_data!S261,0)</f>
        <v>0</v>
      </c>
      <c r="U41" s="63">
        <f>IFERROR(aurora_data!T261,0)</f>
        <v>0</v>
      </c>
      <c r="V41" s="64">
        <f>IFERROR(aurora_data!U261,0)</f>
        <v>0</v>
      </c>
      <c r="W41" s="36">
        <f>IFERROR(aurora_data!U261,0)</f>
        <v>0</v>
      </c>
      <c r="X41" s="71">
        <f t="shared" si="3"/>
        <v>0</v>
      </c>
      <c r="Y41" s="2"/>
    </row>
    <row r="42" spans="1:25" customFormat="1" ht="16.5" thickBot="1">
      <c r="A42" s="2"/>
      <c r="B42" s="211"/>
      <c r="C42" s="213"/>
      <c r="D42" s="37" t="s">
        <v>64</v>
      </c>
      <c r="E42" s="59">
        <f>IFERROR(aurora_data!D262,0)</f>
        <v>0</v>
      </c>
      <c r="F42" s="65">
        <f>IFERROR(aurora_data!E262,0)</f>
        <v>0</v>
      </c>
      <c r="G42" s="65">
        <f>IFERROR(aurora_data!F262,0)</f>
        <v>0</v>
      </c>
      <c r="H42" s="65">
        <f>IFERROR(aurora_data!G262,0)</f>
        <v>0</v>
      </c>
      <c r="I42" s="66">
        <f>IFERROR(aurora_data!H262,0)</f>
        <v>0</v>
      </c>
      <c r="J42" s="59">
        <f>IFERROR(aurora_data!I262,0)</f>
        <v>0</v>
      </c>
      <c r="K42" s="65">
        <f>IFERROR(aurora_data!J262,0)</f>
        <v>0</v>
      </c>
      <c r="L42" s="65">
        <f>IFERROR(aurora_data!K262,0)</f>
        <v>0</v>
      </c>
      <c r="M42" s="65">
        <f>IFERROR(aurora_data!L262,0)</f>
        <v>0</v>
      </c>
      <c r="N42" s="66">
        <f>IFERROR(aurora_data!M262,0)</f>
        <v>0</v>
      </c>
      <c r="O42" s="59">
        <f>IFERROR(aurora_data!N262,0)</f>
        <v>0</v>
      </c>
      <c r="P42" s="65">
        <f>IFERROR(aurora_data!O262,0)</f>
        <v>0</v>
      </c>
      <c r="Q42" s="65">
        <f>IFERROR(aurora_data!P262,0)</f>
        <v>0</v>
      </c>
      <c r="R42" s="66">
        <f>IFERROR(aurora_data!Q262,0)</f>
        <v>0</v>
      </c>
      <c r="S42" s="65">
        <f>IFERROR(aurora_data!R262,0)</f>
        <v>0</v>
      </c>
      <c r="T42" s="65">
        <f>IFERROR(aurora_data!S262,0)</f>
        <v>0</v>
      </c>
      <c r="U42" s="66">
        <f>IFERROR(aurora_data!T262,0)</f>
        <v>0</v>
      </c>
      <c r="V42" s="67">
        <f>IFERROR(aurora_data!U262,0)</f>
        <v>0</v>
      </c>
      <c r="W42" s="59">
        <f>IFERROR(aurora_data!U262,0)</f>
        <v>0</v>
      </c>
      <c r="X42" s="72">
        <f t="shared" si="3"/>
        <v>0</v>
      </c>
      <c r="Y42" s="2"/>
    </row>
    <row r="43" spans="1:25" customFormat="1" ht="16.5" thickBot="1">
      <c r="A43" s="2"/>
      <c r="B43" s="211"/>
      <c r="C43" s="213"/>
      <c r="D43" s="38" t="s">
        <v>100</v>
      </c>
      <c r="E43" s="60">
        <f>IFERROR(aurora_data!D263,0)</f>
        <v>0</v>
      </c>
      <c r="F43" s="68">
        <f>IFERROR(aurora_data!E263,0)</f>
        <v>0</v>
      </c>
      <c r="G43" s="68">
        <f>IFERROR(aurora_data!F263,0)</f>
        <v>0</v>
      </c>
      <c r="H43" s="68">
        <f>IFERROR(aurora_data!G263,0)</f>
        <v>0</v>
      </c>
      <c r="I43" s="69">
        <f>IFERROR(aurora_data!H263,0)</f>
        <v>0</v>
      </c>
      <c r="J43" s="60">
        <f>IFERROR(aurora_data!I263,0)</f>
        <v>0</v>
      </c>
      <c r="K43" s="68">
        <f>IFERROR(aurora_data!J263,0)</f>
        <v>0</v>
      </c>
      <c r="L43" s="68">
        <f>IFERROR(aurora_data!K263,0)</f>
        <v>0</v>
      </c>
      <c r="M43" s="68">
        <f>IFERROR(aurora_data!L263,0)</f>
        <v>0</v>
      </c>
      <c r="N43" s="69">
        <f>IFERROR(aurora_data!M263,0)</f>
        <v>0</v>
      </c>
      <c r="O43" s="60">
        <f>IFERROR(aurora_data!N263,0)</f>
        <v>0</v>
      </c>
      <c r="P43" s="68">
        <f>IFERROR(aurora_data!O263,0)</f>
        <v>0</v>
      </c>
      <c r="Q43" s="68">
        <f>IFERROR(aurora_data!P263,0)</f>
        <v>0</v>
      </c>
      <c r="R43" s="69">
        <f>IFERROR(aurora_data!Q263,0)</f>
        <v>0</v>
      </c>
      <c r="S43" s="68">
        <f>IFERROR(aurora_data!R263,0)</f>
        <v>0</v>
      </c>
      <c r="T43" s="68">
        <f>IFERROR(aurora_data!S263,0)</f>
        <v>0</v>
      </c>
      <c r="U43" s="74">
        <f>IFERROR(aurora_data!T263,0)</f>
        <v>0</v>
      </c>
      <c r="V43" s="75">
        <f>IFERROR(aurora_data!U263,0)</f>
        <v>0</v>
      </c>
      <c r="W43" s="60">
        <f>IFERROR(aurora_data!U263,0)</f>
        <v>0</v>
      </c>
      <c r="X43" s="73">
        <f t="shared" si="3"/>
        <v>0</v>
      </c>
      <c r="Y43" s="2"/>
    </row>
    <row r="44" spans="1:25" customFormat="1" ht="15.75" customHeight="1">
      <c r="A44" s="2"/>
      <c r="B44" s="206" t="s">
        <v>94</v>
      </c>
      <c r="C44" s="208" t="s">
        <v>55</v>
      </c>
      <c r="D44" s="34" t="s">
        <v>71</v>
      </c>
      <c r="E44" s="39">
        <f>IFERROR(aurora_data!D264,0)</f>
        <v>0</v>
      </c>
      <c r="F44" s="40">
        <f>IFERROR(aurora_data!E264,0)</f>
        <v>0</v>
      </c>
      <c r="G44" s="40">
        <f>IFERROR(aurora_data!F264,0)</f>
        <v>0</v>
      </c>
      <c r="H44" s="40">
        <f>IFERROR(aurora_data!G264,0)</f>
        <v>0</v>
      </c>
      <c r="I44" s="41">
        <f>IFERROR(aurora_data!H264,0)</f>
        <v>0</v>
      </c>
      <c r="J44" s="39">
        <f>IFERROR(aurora_data!I264,0)</f>
        <v>0</v>
      </c>
      <c r="K44" s="40">
        <f>IFERROR(aurora_data!J264,0)</f>
        <v>0</v>
      </c>
      <c r="L44" s="40">
        <f>IFERROR(aurora_data!K264,0)</f>
        <v>0</v>
      </c>
      <c r="M44" s="40">
        <f>IFERROR(aurora_data!L264,0)</f>
        <v>0</v>
      </c>
      <c r="N44" s="41">
        <f>IFERROR(aurora_data!M264,0)</f>
        <v>0</v>
      </c>
      <c r="O44" s="39">
        <f>IFERROR(aurora_data!N264,0)</f>
        <v>0</v>
      </c>
      <c r="P44" s="40">
        <f>IFERROR(aurora_data!O264,0)</f>
        <v>0</v>
      </c>
      <c r="Q44" s="40">
        <f>IFERROR(aurora_data!P264,0)</f>
        <v>0</v>
      </c>
      <c r="R44" s="41">
        <f>IFERROR(aurora_data!Q264,0)</f>
        <v>0</v>
      </c>
      <c r="S44" s="40">
        <f>IFERROR(aurora_data!R264,0)</f>
        <v>0</v>
      </c>
      <c r="T44" s="40">
        <f>IFERROR(aurora_data!S264,0)</f>
        <v>0</v>
      </c>
      <c r="U44" s="41">
        <f>IFERROR(aurora_data!T264,0)</f>
        <v>0</v>
      </c>
      <c r="V44" s="61">
        <f>IFERROR(aurora_data!U264,0)</f>
        <v>22</v>
      </c>
      <c r="W44" s="39">
        <f>IFERROR(aurora_data!U264,0)</f>
        <v>22</v>
      </c>
      <c r="X44" s="70">
        <f>IFERROR(W44/$W$44,0)</f>
        <v>1</v>
      </c>
      <c r="Y44" s="2"/>
    </row>
    <row r="45" spans="1:25" customFormat="1" ht="15.75" customHeight="1">
      <c r="A45" s="2"/>
      <c r="B45" s="207"/>
      <c r="C45" s="209"/>
      <c r="D45" s="35" t="s">
        <v>96</v>
      </c>
      <c r="E45" s="36">
        <f>IFERROR(aurora_data!D265,0)</f>
        <v>0</v>
      </c>
      <c r="F45" s="62">
        <f>IFERROR(aurora_data!E265,0)</f>
        <v>1</v>
      </c>
      <c r="G45" s="62">
        <f>IFERROR(aurora_data!F265,0)</f>
        <v>0</v>
      </c>
      <c r="H45" s="62">
        <f>IFERROR(aurora_data!G265,0)</f>
        <v>0</v>
      </c>
      <c r="I45" s="63">
        <f>IFERROR(aurora_data!H265,0)</f>
        <v>0</v>
      </c>
      <c r="J45" s="36">
        <f>IFERROR(aurora_data!I265,0)</f>
        <v>0</v>
      </c>
      <c r="K45" s="62">
        <f>IFERROR(aurora_data!J265,0)</f>
        <v>1</v>
      </c>
      <c r="L45" s="62">
        <f>IFERROR(aurora_data!K265,0)</f>
        <v>0</v>
      </c>
      <c r="M45" s="62">
        <f>IFERROR(aurora_data!L265,0)</f>
        <v>0</v>
      </c>
      <c r="N45" s="63">
        <f>IFERROR(aurora_data!M265,0)</f>
        <v>0</v>
      </c>
      <c r="O45" s="36">
        <f>IFERROR(aurora_data!N265,0)</f>
        <v>1</v>
      </c>
      <c r="P45" s="62">
        <f>IFERROR(aurora_data!O265,0)</f>
        <v>0</v>
      </c>
      <c r="Q45" s="62">
        <f>IFERROR(aurora_data!P265,0)</f>
        <v>0</v>
      </c>
      <c r="R45" s="63">
        <f>IFERROR(aurora_data!Q265,0)</f>
        <v>0</v>
      </c>
      <c r="S45" s="62">
        <f>IFERROR(aurora_data!R265,0)</f>
        <v>0</v>
      </c>
      <c r="T45" s="62">
        <f>IFERROR(aurora_data!S265,0)</f>
        <v>1</v>
      </c>
      <c r="U45" s="63">
        <f>IFERROR(aurora_data!T265,0)</f>
        <v>0</v>
      </c>
      <c r="V45" s="64">
        <f>IFERROR(aurora_data!U265,0)</f>
        <v>1</v>
      </c>
      <c r="W45" s="36">
        <f>IFERROR(aurora_data!U265,0)</f>
        <v>1</v>
      </c>
      <c r="X45" s="71">
        <f t="shared" ref="X45:X51" si="4">IFERROR(W45/$W$44,0)</f>
        <v>4.5454545454545456E-2</v>
      </c>
      <c r="Y45" s="2"/>
    </row>
    <row r="46" spans="1:25" customFormat="1" ht="15.75" customHeight="1">
      <c r="A46" s="2"/>
      <c r="B46" s="207"/>
      <c r="C46" s="209"/>
      <c r="D46" s="35" t="s">
        <v>60</v>
      </c>
      <c r="E46" s="36">
        <f>IFERROR(aurora_data!D266,0)</f>
        <v>0</v>
      </c>
      <c r="F46" s="62">
        <f>IFERROR(aurora_data!E266,0)</f>
        <v>0</v>
      </c>
      <c r="G46" s="62">
        <f>IFERROR(aurora_data!F266,0)</f>
        <v>0</v>
      </c>
      <c r="H46" s="62">
        <f>IFERROR(aurora_data!G266,0)</f>
        <v>0</v>
      </c>
      <c r="I46" s="63">
        <f>IFERROR(aurora_data!H266,0)</f>
        <v>0</v>
      </c>
      <c r="J46" s="36">
        <f>IFERROR(aurora_data!I266,0)</f>
        <v>0</v>
      </c>
      <c r="K46" s="62">
        <f>IFERROR(aurora_data!J266,0)</f>
        <v>0</v>
      </c>
      <c r="L46" s="62">
        <f>IFERROR(aurora_data!K266,0)</f>
        <v>0</v>
      </c>
      <c r="M46" s="62">
        <f>IFERROR(aurora_data!L266,0)</f>
        <v>0</v>
      </c>
      <c r="N46" s="63">
        <f>IFERROR(aurora_data!M266,0)</f>
        <v>0</v>
      </c>
      <c r="O46" s="36">
        <f>IFERROR(aurora_data!N266,0)</f>
        <v>0</v>
      </c>
      <c r="P46" s="62">
        <f>IFERROR(aurora_data!O266,0)</f>
        <v>0</v>
      </c>
      <c r="Q46" s="62">
        <f>IFERROR(aurora_data!P266,0)</f>
        <v>0</v>
      </c>
      <c r="R46" s="63">
        <f>IFERROR(aurora_data!Q266,0)</f>
        <v>0</v>
      </c>
      <c r="S46" s="62">
        <f>IFERROR(aurora_data!R266,0)</f>
        <v>0</v>
      </c>
      <c r="T46" s="62">
        <f>IFERROR(aurora_data!S266,0)</f>
        <v>0</v>
      </c>
      <c r="U46" s="63">
        <f>IFERROR(aurora_data!T266,0)</f>
        <v>0</v>
      </c>
      <c r="V46" s="64">
        <f>IFERROR(aurora_data!U266,0)</f>
        <v>0</v>
      </c>
      <c r="W46" s="36">
        <f>IFERROR(aurora_data!U266,0)</f>
        <v>0</v>
      </c>
      <c r="X46" s="71">
        <f t="shared" si="4"/>
        <v>0</v>
      </c>
      <c r="Y46" s="2"/>
    </row>
    <row r="47" spans="1:25" customFormat="1" ht="15.75" customHeight="1">
      <c r="A47" s="2"/>
      <c r="B47" s="207"/>
      <c r="C47" s="209"/>
      <c r="D47" s="35" t="s">
        <v>97</v>
      </c>
      <c r="E47" s="36">
        <f>IFERROR(aurora_data!D267,0)</f>
        <v>0</v>
      </c>
      <c r="F47" s="62">
        <f>IFERROR(aurora_data!E267,0)</f>
        <v>0</v>
      </c>
      <c r="G47" s="62">
        <f>IFERROR(aurora_data!F267,0)</f>
        <v>0</v>
      </c>
      <c r="H47" s="62">
        <f>IFERROR(aurora_data!G267,0)</f>
        <v>0</v>
      </c>
      <c r="I47" s="63">
        <f>IFERROR(aurora_data!H267,0)</f>
        <v>0</v>
      </c>
      <c r="J47" s="36">
        <f>IFERROR(aurora_data!I267,0)</f>
        <v>0</v>
      </c>
      <c r="K47" s="62">
        <f>IFERROR(aurora_data!J267,0)</f>
        <v>0</v>
      </c>
      <c r="L47" s="62">
        <f>IFERROR(aurora_data!K267,0)</f>
        <v>0</v>
      </c>
      <c r="M47" s="62">
        <f>IFERROR(aurora_data!L267,0)</f>
        <v>0</v>
      </c>
      <c r="N47" s="63">
        <f>IFERROR(aurora_data!M267,0)</f>
        <v>0</v>
      </c>
      <c r="O47" s="36">
        <f>IFERROR(aurora_data!N267,0)</f>
        <v>0</v>
      </c>
      <c r="P47" s="62">
        <f>IFERROR(aurora_data!O267,0)</f>
        <v>0</v>
      </c>
      <c r="Q47" s="62">
        <f>IFERROR(aurora_data!P267,0)</f>
        <v>0</v>
      </c>
      <c r="R47" s="63">
        <f>IFERROR(aurora_data!Q267,0)</f>
        <v>0</v>
      </c>
      <c r="S47" s="62">
        <f>IFERROR(aurora_data!R267,0)</f>
        <v>0</v>
      </c>
      <c r="T47" s="62">
        <f>IFERROR(aurora_data!S267,0)</f>
        <v>0</v>
      </c>
      <c r="U47" s="63">
        <f>IFERROR(aurora_data!T267,0)</f>
        <v>0</v>
      </c>
      <c r="V47" s="64">
        <f>IFERROR(aurora_data!U267,0)</f>
        <v>0</v>
      </c>
      <c r="W47" s="36">
        <f>IFERROR(aurora_data!U267,0)</f>
        <v>0</v>
      </c>
      <c r="X47" s="71">
        <f t="shared" si="4"/>
        <v>0</v>
      </c>
      <c r="Y47" s="2"/>
    </row>
    <row r="48" spans="1:25" customFormat="1" ht="16.5" customHeight="1">
      <c r="A48" s="2"/>
      <c r="B48" s="207"/>
      <c r="C48" s="209"/>
      <c r="D48" s="35" t="s">
        <v>98</v>
      </c>
      <c r="E48" s="36">
        <f>IFERROR(aurora_data!D268,0)</f>
        <v>0</v>
      </c>
      <c r="F48" s="62">
        <f>IFERROR(aurora_data!E268,0)</f>
        <v>0</v>
      </c>
      <c r="G48" s="62">
        <f>IFERROR(aurora_data!F268,0)</f>
        <v>0</v>
      </c>
      <c r="H48" s="62">
        <f>IFERROR(aurora_data!G268,0)</f>
        <v>0</v>
      </c>
      <c r="I48" s="63">
        <f>IFERROR(aurora_data!H268,0)</f>
        <v>0</v>
      </c>
      <c r="J48" s="36">
        <f>IFERROR(aurora_data!I268,0)</f>
        <v>0</v>
      </c>
      <c r="K48" s="62">
        <f>IFERROR(aurora_data!J268,0)</f>
        <v>0</v>
      </c>
      <c r="L48" s="62">
        <f>IFERROR(aurora_data!K268,0)</f>
        <v>0</v>
      </c>
      <c r="M48" s="62">
        <f>IFERROR(aurora_data!L268,0)</f>
        <v>0</v>
      </c>
      <c r="N48" s="63">
        <f>IFERROR(aurora_data!M268,0)</f>
        <v>0</v>
      </c>
      <c r="O48" s="36">
        <f>IFERROR(aurora_data!N268,0)</f>
        <v>0</v>
      </c>
      <c r="P48" s="62">
        <f>IFERROR(aurora_data!O268,0)</f>
        <v>0</v>
      </c>
      <c r="Q48" s="62">
        <f>IFERROR(aurora_data!P268,0)</f>
        <v>0</v>
      </c>
      <c r="R48" s="63">
        <f>IFERROR(aurora_data!Q268,0)</f>
        <v>0</v>
      </c>
      <c r="S48" s="62">
        <f>IFERROR(aurora_data!R268,0)</f>
        <v>0</v>
      </c>
      <c r="T48" s="62">
        <f>IFERROR(aurora_data!S268,0)</f>
        <v>0</v>
      </c>
      <c r="U48" s="63">
        <f>IFERROR(aurora_data!T268,0)</f>
        <v>0</v>
      </c>
      <c r="V48" s="64">
        <f>IFERROR(aurora_data!U268,0)</f>
        <v>0</v>
      </c>
      <c r="W48" s="36">
        <f>IFERROR(aurora_data!U268,0)</f>
        <v>0</v>
      </c>
      <c r="X48" s="71">
        <f t="shared" si="4"/>
        <v>0</v>
      </c>
      <c r="Y48" s="2"/>
    </row>
    <row r="49" spans="1:25" customFormat="1" ht="16.5" customHeight="1" thickBot="1">
      <c r="A49" s="2"/>
      <c r="B49" s="207"/>
      <c r="C49" s="209"/>
      <c r="D49" s="35" t="s">
        <v>99</v>
      </c>
      <c r="E49" s="36">
        <f>IFERROR(aurora_data!D269,0)</f>
        <v>0</v>
      </c>
      <c r="F49" s="62">
        <f>IFERROR(aurora_data!E269,0)</f>
        <v>0</v>
      </c>
      <c r="G49" s="62">
        <f>IFERROR(aurora_data!F269,0)</f>
        <v>0</v>
      </c>
      <c r="H49" s="62">
        <f>IFERROR(aurora_data!G269,0)</f>
        <v>0</v>
      </c>
      <c r="I49" s="63">
        <f>IFERROR(aurora_data!H269,0)</f>
        <v>0</v>
      </c>
      <c r="J49" s="36">
        <f>IFERROR(aurora_data!I269,0)</f>
        <v>0</v>
      </c>
      <c r="K49" s="62">
        <f>IFERROR(aurora_data!J269,0)</f>
        <v>0</v>
      </c>
      <c r="L49" s="62">
        <f>IFERROR(aurora_data!K269,0)</f>
        <v>0</v>
      </c>
      <c r="M49" s="62">
        <f>IFERROR(aurora_data!L269,0)</f>
        <v>0</v>
      </c>
      <c r="N49" s="63">
        <f>IFERROR(aurora_data!M269,0)</f>
        <v>0</v>
      </c>
      <c r="O49" s="36">
        <f>IFERROR(aurora_data!N269,0)</f>
        <v>0</v>
      </c>
      <c r="P49" s="62">
        <f>IFERROR(aurora_data!O269,0)</f>
        <v>0</v>
      </c>
      <c r="Q49" s="62">
        <f>IFERROR(aurora_data!P269,0)</f>
        <v>0</v>
      </c>
      <c r="R49" s="63">
        <f>IFERROR(aurora_data!Q269,0)</f>
        <v>0</v>
      </c>
      <c r="S49" s="62">
        <f>IFERROR(aurora_data!R269,0)</f>
        <v>0</v>
      </c>
      <c r="T49" s="62">
        <f>IFERROR(aurora_data!S269,0)</f>
        <v>0</v>
      </c>
      <c r="U49" s="63">
        <f>IFERROR(aurora_data!T269,0)</f>
        <v>0</v>
      </c>
      <c r="V49" s="64">
        <f>IFERROR(aurora_data!U269,0)</f>
        <v>0</v>
      </c>
      <c r="W49" s="36">
        <f>IFERROR(aurora_data!U269,0)</f>
        <v>0</v>
      </c>
      <c r="X49" s="71">
        <f t="shared" si="4"/>
        <v>0</v>
      </c>
      <c r="Y49" s="2"/>
    </row>
    <row r="50" spans="1:25" customFormat="1" ht="16.5" customHeight="1" thickBot="1">
      <c r="A50" s="2"/>
      <c r="B50" s="207"/>
      <c r="C50" s="209"/>
      <c r="D50" s="37" t="s">
        <v>64</v>
      </c>
      <c r="E50" s="59">
        <f>IFERROR(aurora_data!D270,0)</f>
        <v>0</v>
      </c>
      <c r="F50" s="65">
        <f>IFERROR(aurora_data!E270,0)</f>
        <v>1</v>
      </c>
      <c r="G50" s="65">
        <f>IFERROR(aurora_data!F270,0)</f>
        <v>0</v>
      </c>
      <c r="H50" s="65">
        <f>IFERROR(aurora_data!G270,0)</f>
        <v>0</v>
      </c>
      <c r="I50" s="66">
        <f>IFERROR(aurora_data!H270,0)</f>
        <v>0</v>
      </c>
      <c r="J50" s="59">
        <f>IFERROR(aurora_data!I270,0)</f>
        <v>0</v>
      </c>
      <c r="K50" s="65">
        <f>IFERROR(aurora_data!J270,0)</f>
        <v>1</v>
      </c>
      <c r="L50" s="65">
        <f>IFERROR(aurora_data!K270,0)</f>
        <v>0</v>
      </c>
      <c r="M50" s="65">
        <f>IFERROR(aurora_data!L270,0)</f>
        <v>0</v>
      </c>
      <c r="N50" s="66">
        <f>IFERROR(aurora_data!M270,0)</f>
        <v>0</v>
      </c>
      <c r="O50" s="59">
        <f>IFERROR(aurora_data!N270,0)</f>
        <v>1</v>
      </c>
      <c r="P50" s="65">
        <f>IFERROR(aurora_data!O270,0)</f>
        <v>0</v>
      </c>
      <c r="Q50" s="65">
        <f>IFERROR(aurora_data!P270,0)</f>
        <v>0</v>
      </c>
      <c r="R50" s="66">
        <f>IFERROR(aurora_data!Q270,0)</f>
        <v>0</v>
      </c>
      <c r="S50" s="65">
        <f>IFERROR(aurora_data!R270,0)</f>
        <v>0</v>
      </c>
      <c r="T50" s="65">
        <f>IFERROR(aurora_data!S270,0)</f>
        <v>1</v>
      </c>
      <c r="U50" s="66">
        <f>IFERROR(aurora_data!T270,0)</f>
        <v>0</v>
      </c>
      <c r="V50" s="67">
        <f>IFERROR(aurora_data!U270,0)</f>
        <v>1</v>
      </c>
      <c r="W50" s="59">
        <f>IFERROR(aurora_data!U270,0)</f>
        <v>1</v>
      </c>
      <c r="X50" s="72">
        <f t="shared" si="4"/>
        <v>4.5454545454545456E-2</v>
      </c>
      <c r="Y50" s="2"/>
    </row>
    <row r="51" spans="1:25" customFormat="1" ht="16.5" customHeight="1" thickBot="1">
      <c r="A51" s="2"/>
      <c r="B51" s="207"/>
      <c r="C51" s="209"/>
      <c r="D51" s="38" t="s">
        <v>100</v>
      </c>
      <c r="E51" s="60">
        <f>IFERROR(aurora_data!D271,0)</f>
        <v>0</v>
      </c>
      <c r="F51" s="68">
        <f>IFERROR(aurora_data!E271,0)</f>
        <v>0</v>
      </c>
      <c r="G51" s="68">
        <f>IFERROR(aurora_data!F271,0)</f>
        <v>0</v>
      </c>
      <c r="H51" s="68">
        <f>IFERROR(aurora_data!G271,0)</f>
        <v>0</v>
      </c>
      <c r="I51" s="69">
        <f>IFERROR(aurora_data!H271,0)</f>
        <v>0</v>
      </c>
      <c r="J51" s="60">
        <f>IFERROR(aurora_data!I271,0)</f>
        <v>0</v>
      </c>
      <c r="K51" s="68">
        <f>IFERROR(aurora_data!J271,0)</f>
        <v>0</v>
      </c>
      <c r="L51" s="68">
        <f>IFERROR(aurora_data!K271,0)</f>
        <v>0</v>
      </c>
      <c r="M51" s="68">
        <f>IFERROR(aurora_data!L271,0)</f>
        <v>0</v>
      </c>
      <c r="N51" s="69">
        <f>IFERROR(aurora_data!M271,0)</f>
        <v>0</v>
      </c>
      <c r="O51" s="60">
        <f>IFERROR(aurora_data!N271,0)</f>
        <v>0</v>
      </c>
      <c r="P51" s="68">
        <f>IFERROR(aurora_data!O271,0)</f>
        <v>0</v>
      </c>
      <c r="Q51" s="68">
        <f>IFERROR(aurora_data!P271,0)</f>
        <v>0</v>
      </c>
      <c r="R51" s="69">
        <f>IFERROR(aurora_data!Q271,0)</f>
        <v>0</v>
      </c>
      <c r="S51" s="68">
        <f>IFERROR(aurora_data!R271,0)</f>
        <v>0</v>
      </c>
      <c r="T51" s="68">
        <f>IFERROR(aurora_data!S271,0)</f>
        <v>0</v>
      </c>
      <c r="U51" s="74">
        <f>IFERROR(aurora_data!T271,0)</f>
        <v>0</v>
      </c>
      <c r="V51" s="75">
        <f>IFERROR(aurora_data!U271,0)</f>
        <v>0</v>
      </c>
      <c r="W51" s="60">
        <f>IFERROR(aurora_data!U271,0)</f>
        <v>0</v>
      </c>
      <c r="X51" s="73">
        <f t="shared" si="4"/>
        <v>0</v>
      </c>
      <c r="Y51" s="2"/>
    </row>
    <row r="52" spans="1:25" ht="16.5" customHeight="1">
      <c r="B52" s="97"/>
      <c r="C52" s="97"/>
    </row>
  </sheetData>
  <mergeCells count="32">
    <mergeCell ref="A1:C1"/>
    <mergeCell ref="D1:H1"/>
    <mergeCell ref="A2:C2"/>
    <mergeCell ref="D2:H2"/>
    <mergeCell ref="K2:X6"/>
    <mergeCell ref="D3:E3"/>
    <mergeCell ref="F3:H3"/>
    <mergeCell ref="D5:G5"/>
    <mergeCell ref="D6:H6"/>
    <mergeCell ref="B8:D8"/>
    <mergeCell ref="E8:U8"/>
    <mergeCell ref="W8:X11"/>
    <mergeCell ref="B9:C9"/>
    <mergeCell ref="E9:I9"/>
    <mergeCell ref="J9:N9"/>
    <mergeCell ref="O9:R9"/>
    <mergeCell ref="S9:U9"/>
    <mergeCell ref="B10:B11"/>
    <mergeCell ref="E10:I10"/>
    <mergeCell ref="B44:B51"/>
    <mergeCell ref="C44:C51"/>
    <mergeCell ref="J10:N10"/>
    <mergeCell ref="O10:R10"/>
    <mergeCell ref="S10:U10"/>
    <mergeCell ref="B12:B19"/>
    <mergeCell ref="C12:C19"/>
    <mergeCell ref="B20:B27"/>
    <mergeCell ref="C20:C27"/>
    <mergeCell ref="B28:B35"/>
    <mergeCell ref="C28:C35"/>
    <mergeCell ref="B36:B43"/>
    <mergeCell ref="C36:C43"/>
  </mergeCells>
  <conditionalFormatting sqref="E13:W13">
    <cfRule type="expression" dxfId="263" priority="10">
      <formula>ROUND(E$13,0) &gt;= ROUND(E$12,0)</formula>
    </cfRule>
  </conditionalFormatting>
  <conditionalFormatting sqref="E18:W18">
    <cfRule type="expression" dxfId="262" priority="12">
      <formula>ROUND(E$18,0) &lt; ROUND(E$12,0)</formula>
    </cfRule>
  </conditionalFormatting>
  <conditionalFormatting sqref="E21:W21">
    <cfRule type="expression" dxfId="261" priority="7">
      <formula>ROUND(E$13,0) &gt;= ROUND(E$12,0)</formula>
    </cfRule>
  </conditionalFormatting>
  <conditionalFormatting sqref="E26:W26">
    <cfRule type="expression" dxfId="260" priority="8">
      <formula>ROUND(E$18,0) &lt; ROUND(E$12,0)</formula>
    </cfRule>
  </conditionalFormatting>
  <conditionalFormatting sqref="E29:W29">
    <cfRule type="expression" dxfId="259" priority="5">
      <formula>ROUND(E$13,0) &gt;= ROUND(E$12,0)</formula>
    </cfRule>
  </conditionalFormatting>
  <conditionalFormatting sqref="E34:W34">
    <cfRule type="expression" dxfId="258" priority="6">
      <formula>ROUND(E$18,0) &lt; ROUND(E$12,0)</formula>
    </cfRule>
  </conditionalFormatting>
  <conditionalFormatting sqref="E37:W37">
    <cfRule type="expression" dxfId="257" priority="3">
      <formula>ROUND(E$13,0) &gt;= ROUND(E$12,0)</formula>
    </cfRule>
  </conditionalFormatting>
  <conditionalFormatting sqref="E42:W42">
    <cfRule type="expression" dxfId="256" priority="4">
      <formula>ROUND(E$18,0) &lt; ROUND(E$12,0)</formula>
    </cfRule>
  </conditionalFormatting>
  <conditionalFormatting sqref="E45:W45">
    <cfRule type="expression" dxfId="255" priority="9">
      <formula>ROUND(E$45,0) &gt;= ROUND(E$44,0)</formula>
    </cfRule>
  </conditionalFormatting>
  <conditionalFormatting sqref="E50:W50">
    <cfRule type="expression" dxfId="254" priority="14">
      <formula>ROUND(E$50,0) &lt; ROUND(E$44,0)</formula>
    </cfRule>
  </conditionalFormatting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760FD9-387D-4CD8-BC47-F5020C98DA1F}">
  <sheetPr>
    <tabColor rgb="FF92D050"/>
  </sheetPr>
  <dimension ref="A1:Y52"/>
  <sheetViews>
    <sheetView zoomScale="85" zoomScaleNormal="85" workbookViewId="0">
      <selection sqref="A1:C1"/>
    </sheetView>
  </sheetViews>
  <sheetFormatPr defaultColWidth="2.625" defaultRowHeight="15.75"/>
  <cols>
    <col min="1" max="1" width="1.375" style="2" customWidth="1"/>
    <col min="2" max="2" width="10.875" style="2" customWidth="1"/>
    <col min="3" max="3" width="15.625" style="2" customWidth="1"/>
    <col min="4" max="4" width="22.625" style="4" customWidth="1"/>
    <col min="5" max="8" width="7.625" style="4" customWidth="1"/>
    <col min="9" max="9" width="6.625" style="4" hidden="1" customWidth="1"/>
    <col min="10" max="21" width="7.625" style="4" customWidth="1"/>
    <col min="22" max="22" width="0.625" style="2" customWidth="1"/>
    <col min="23" max="24" width="5.875" style="2" customWidth="1"/>
    <col min="25" max="25" width="12.5" style="2" customWidth="1"/>
    <col min="26" max="26" width="2.625" style="2" customWidth="1"/>
    <col min="27" max="64" width="7.625" style="2" customWidth="1"/>
    <col min="65" max="16323" width="2.625" style="2"/>
    <col min="16324" max="16324" width="1.375" style="2" customWidth="1"/>
    <col min="16325" max="16325" width="2.625" style="2" customWidth="1"/>
    <col min="16326" max="16326" width="3.5" style="2" customWidth="1"/>
    <col min="16327" max="16327" width="1" style="2" customWidth="1"/>
    <col min="16328" max="16328" width="0.875" style="2" customWidth="1"/>
    <col min="16329" max="16329" width="2.375" style="2" customWidth="1"/>
    <col min="16330" max="16384" width="20.375" style="2" customWidth="1"/>
  </cols>
  <sheetData>
    <row r="1" spans="1:25" customFormat="1" ht="25.5" customHeight="1">
      <c r="A1" s="151" t="s">
        <v>77</v>
      </c>
      <c r="B1" s="152"/>
      <c r="C1" s="153"/>
      <c r="D1" s="154" t="s">
        <v>78</v>
      </c>
      <c r="E1" s="155"/>
      <c r="F1" s="155"/>
      <c r="G1" s="155"/>
      <c r="H1" s="156"/>
      <c r="I1" s="98"/>
      <c r="J1" s="88"/>
      <c r="K1" s="100"/>
      <c r="L1" s="100"/>
      <c r="M1" s="100"/>
      <c r="N1" s="100" t="s">
        <v>79</v>
      </c>
      <c r="O1" s="100"/>
      <c r="P1" s="100"/>
      <c r="Q1" s="100"/>
      <c r="R1" s="100"/>
      <c r="S1" s="100"/>
      <c r="T1" s="100"/>
      <c r="U1" s="100"/>
      <c r="V1" s="100"/>
      <c r="W1" s="100"/>
      <c r="X1" s="106"/>
      <c r="Y1" s="108"/>
    </row>
    <row r="2" spans="1:25" customFormat="1" ht="31.5" customHeight="1">
      <c r="A2" s="157" t="s">
        <v>80</v>
      </c>
      <c r="B2" s="157"/>
      <c r="C2" s="158"/>
      <c r="D2" s="159" t="str">
        <f>_xlfn.CONCAT("Study Name: ","
OSEP – Developmental Delay - Paper")</f>
        <v>Study Name: 
OSEP – Developmental Delay - Paper</v>
      </c>
      <c r="E2" s="160"/>
      <c r="F2" s="160"/>
      <c r="G2" s="160"/>
      <c r="H2" s="161"/>
      <c r="I2" s="4"/>
      <c r="J2" s="4"/>
      <c r="K2" s="162" t="s">
        <v>81</v>
      </c>
      <c r="L2" s="163"/>
      <c r="M2" s="163"/>
      <c r="N2" s="163"/>
      <c r="O2" s="163"/>
      <c r="P2" s="163"/>
      <c r="Q2" s="163"/>
      <c r="R2" s="163"/>
      <c r="S2" s="163"/>
      <c r="T2" s="163"/>
      <c r="U2" s="163"/>
      <c r="V2" s="163"/>
      <c r="W2" s="163"/>
      <c r="X2" s="164"/>
      <c r="Y2" s="103"/>
    </row>
    <row r="3" spans="1:25" customFormat="1" ht="30.75" customHeight="1" thickBot="1">
      <c r="A3" s="2"/>
      <c r="B3" s="2"/>
      <c r="C3" s="2"/>
      <c r="D3" s="169" t="str">
        <f>_xlfn.CONCAT("Study Acronym: ","
OSEP_DD_D")</f>
        <v>Study Acronym: 
OSEP_DD_D</v>
      </c>
      <c r="E3" s="170"/>
      <c r="F3" s="171" t="s">
        <v>264</v>
      </c>
      <c r="G3" s="172"/>
      <c r="H3" s="173"/>
      <c r="I3" s="4"/>
      <c r="J3" s="4"/>
      <c r="K3" s="165"/>
      <c r="L3" s="163"/>
      <c r="M3" s="163"/>
      <c r="N3" s="163"/>
      <c r="O3" s="163"/>
      <c r="P3" s="163"/>
      <c r="Q3" s="163"/>
      <c r="R3" s="163"/>
      <c r="S3" s="163"/>
      <c r="T3" s="163"/>
      <c r="U3" s="163"/>
      <c r="V3" s="163"/>
      <c r="W3" s="163"/>
      <c r="X3" s="164"/>
      <c r="Y3" s="103"/>
    </row>
    <row r="4" spans="1:25" customFormat="1" ht="16.5" customHeight="1">
      <c r="A4" s="2"/>
      <c r="B4" s="24"/>
      <c r="C4" s="2"/>
      <c r="D4" s="2"/>
      <c r="E4" s="25"/>
      <c r="F4" s="25"/>
      <c r="G4" s="25"/>
      <c r="H4" s="25"/>
      <c r="I4" s="25"/>
      <c r="J4" s="25"/>
      <c r="K4" s="165"/>
      <c r="L4" s="163"/>
      <c r="M4" s="163"/>
      <c r="N4" s="163"/>
      <c r="O4" s="163"/>
      <c r="P4" s="163"/>
      <c r="Q4" s="163"/>
      <c r="R4" s="163"/>
      <c r="S4" s="163"/>
      <c r="T4" s="163"/>
      <c r="U4" s="163"/>
      <c r="V4" s="163"/>
      <c r="W4" s="163"/>
      <c r="X4" s="164"/>
      <c r="Y4" s="104"/>
    </row>
    <row r="5" spans="1:25" customFormat="1" ht="21.95" customHeight="1" thickBot="1">
      <c r="A5" s="2"/>
      <c r="B5" s="2"/>
      <c r="C5" s="102"/>
      <c r="D5" s="154" t="s">
        <v>82</v>
      </c>
      <c r="E5" s="155"/>
      <c r="F5" s="155"/>
      <c r="G5" s="155"/>
      <c r="H5" s="101"/>
      <c r="I5" s="98"/>
      <c r="J5" s="98"/>
      <c r="K5" s="165"/>
      <c r="L5" s="163"/>
      <c r="M5" s="163"/>
      <c r="N5" s="163"/>
      <c r="O5" s="163"/>
      <c r="P5" s="163"/>
      <c r="Q5" s="163"/>
      <c r="R5" s="163"/>
      <c r="S5" s="163"/>
      <c r="T5" s="163"/>
      <c r="U5" s="163"/>
      <c r="V5" s="163"/>
      <c r="W5" s="163"/>
      <c r="X5" s="164"/>
      <c r="Y5" s="105"/>
    </row>
    <row r="6" spans="1:25" customFormat="1" ht="60.95" customHeight="1" thickBot="1">
      <c r="A6" s="2"/>
      <c r="B6" s="2"/>
      <c r="C6" s="99"/>
      <c r="D6" s="214" t="s">
        <v>101</v>
      </c>
      <c r="E6" s="215"/>
      <c r="F6" s="215"/>
      <c r="G6" s="215"/>
      <c r="H6" s="216"/>
      <c r="I6" s="124"/>
      <c r="J6" s="125"/>
      <c r="K6" s="166"/>
      <c r="L6" s="167"/>
      <c r="M6" s="167"/>
      <c r="N6" s="167"/>
      <c r="O6" s="167"/>
      <c r="P6" s="167"/>
      <c r="Q6" s="167"/>
      <c r="R6" s="167"/>
      <c r="S6" s="167"/>
      <c r="T6" s="167"/>
      <c r="U6" s="167"/>
      <c r="V6" s="167"/>
      <c r="W6" s="167"/>
      <c r="X6" s="168"/>
      <c r="Y6" s="107"/>
    </row>
    <row r="7" spans="1:25" customFormat="1" ht="16.5" customHeight="1" thickBot="1">
      <c r="A7" s="2"/>
      <c r="B7" s="3"/>
      <c r="C7" s="26"/>
      <c r="D7" s="27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8"/>
      <c r="W7" s="3"/>
      <c r="X7" s="3"/>
      <c r="Y7" s="2"/>
    </row>
    <row r="8" spans="1:25" customFormat="1">
      <c r="A8" s="2"/>
      <c r="B8" s="177" t="str">
        <f>_xlfn.CONCAT("Last Refreshed at: ",aurora_data!V332)</f>
        <v>Last Refreshed at: 09/17/2026 @ 7:20 AM</v>
      </c>
      <c r="C8" s="178"/>
      <c r="D8" s="178"/>
      <c r="E8" s="179" t="s">
        <v>83</v>
      </c>
      <c r="F8" s="180"/>
      <c r="G8" s="180"/>
      <c r="H8" s="180"/>
      <c r="I8" s="180"/>
      <c r="J8" s="180"/>
      <c r="K8" s="180"/>
      <c r="L8" s="180"/>
      <c r="M8" s="180"/>
      <c r="N8" s="180"/>
      <c r="O8" s="180"/>
      <c r="P8" s="180"/>
      <c r="Q8" s="180"/>
      <c r="R8" s="180"/>
      <c r="S8" s="180"/>
      <c r="T8" s="180"/>
      <c r="U8" s="181"/>
      <c r="V8" s="44"/>
      <c r="W8" s="182" t="s">
        <v>84</v>
      </c>
      <c r="X8" s="183"/>
      <c r="Y8" s="2"/>
    </row>
    <row r="9" spans="1:25" customFormat="1" ht="16.5" customHeight="1" thickBot="1">
      <c r="A9" s="2"/>
      <c r="B9" s="188"/>
      <c r="C9" s="189"/>
      <c r="D9" s="29" t="s">
        <v>85</v>
      </c>
      <c r="E9" s="190" t="s">
        <v>86</v>
      </c>
      <c r="F9" s="191"/>
      <c r="G9" s="191"/>
      <c r="H9" s="191"/>
      <c r="I9" s="191"/>
      <c r="J9" s="192" t="s">
        <v>86</v>
      </c>
      <c r="K9" s="193"/>
      <c r="L9" s="193"/>
      <c r="M9" s="193"/>
      <c r="N9" s="193"/>
      <c r="O9" s="194" t="s">
        <v>86</v>
      </c>
      <c r="P9" s="195"/>
      <c r="Q9" s="195"/>
      <c r="R9" s="195"/>
      <c r="S9" s="196" t="s">
        <v>86</v>
      </c>
      <c r="T9" s="197"/>
      <c r="U9" s="197"/>
      <c r="V9" s="28"/>
      <c r="W9" s="184"/>
      <c r="X9" s="185"/>
      <c r="Y9" s="2"/>
    </row>
    <row r="10" spans="1:25" customFormat="1" ht="17.25" thickTop="1" thickBot="1">
      <c r="A10" s="2"/>
      <c r="B10" s="198" t="s">
        <v>87</v>
      </c>
      <c r="C10" s="30"/>
      <c r="D10" s="31"/>
      <c r="E10" s="199" t="s">
        <v>88</v>
      </c>
      <c r="F10" s="200"/>
      <c r="G10" s="200"/>
      <c r="H10" s="200"/>
      <c r="I10" s="201"/>
      <c r="J10" s="200" t="s">
        <v>89</v>
      </c>
      <c r="K10" s="200"/>
      <c r="L10" s="200"/>
      <c r="M10" s="200"/>
      <c r="N10" s="201"/>
      <c r="O10" s="202" t="s">
        <v>90</v>
      </c>
      <c r="P10" s="202"/>
      <c r="Q10" s="202"/>
      <c r="R10" s="202"/>
      <c r="S10" s="203" t="s">
        <v>91</v>
      </c>
      <c r="T10" s="204"/>
      <c r="U10" s="205"/>
      <c r="V10" s="32"/>
      <c r="W10" s="184"/>
      <c r="X10" s="185"/>
      <c r="Y10" s="2"/>
    </row>
    <row r="11" spans="1:25" customFormat="1" ht="17.25" thickTop="1" thickBot="1">
      <c r="A11" s="2"/>
      <c r="B11" s="198"/>
      <c r="C11" s="30" t="s">
        <v>35</v>
      </c>
      <c r="D11" s="33" t="s">
        <v>37</v>
      </c>
      <c r="E11" s="96">
        <v>1</v>
      </c>
      <c r="F11" s="94">
        <v>2</v>
      </c>
      <c r="G11" s="95" t="s">
        <v>40</v>
      </c>
      <c r="H11" s="95">
        <v>4</v>
      </c>
      <c r="I11" s="95">
        <v>5</v>
      </c>
      <c r="J11" s="89" t="s">
        <v>43</v>
      </c>
      <c r="K11" s="89" t="s">
        <v>44</v>
      </c>
      <c r="L11" s="89" t="s">
        <v>45</v>
      </c>
      <c r="M11" s="93" t="s">
        <v>92</v>
      </c>
      <c r="N11" s="93" t="s">
        <v>47</v>
      </c>
      <c r="O11" s="89" t="s">
        <v>48</v>
      </c>
      <c r="P11" s="89" t="s">
        <v>49</v>
      </c>
      <c r="Q11" s="89" t="s">
        <v>50</v>
      </c>
      <c r="R11" s="89" t="s">
        <v>51</v>
      </c>
      <c r="S11" s="90" t="s">
        <v>52</v>
      </c>
      <c r="T11" s="91" t="s">
        <v>53</v>
      </c>
      <c r="U11" s="92" t="s">
        <v>93</v>
      </c>
      <c r="V11" s="28"/>
      <c r="W11" s="186"/>
      <c r="X11" s="187"/>
      <c r="Y11" s="2"/>
    </row>
    <row r="12" spans="1:25" customFormat="1">
      <c r="A12" s="2"/>
      <c r="B12" s="210" t="s">
        <v>94</v>
      </c>
      <c r="C12" s="212" t="str">
        <f>aurora_data!A332</f>
        <v>06.00.00-06.11.30</v>
      </c>
      <c r="D12" s="34" t="s">
        <v>71</v>
      </c>
      <c r="E12" s="39">
        <f>IFERROR(aurora_data!D332,0)</f>
        <v>0</v>
      </c>
      <c r="F12" s="40">
        <f>IFERROR(aurora_data!E332,0)</f>
        <v>0</v>
      </c>
      <c r="G12" s="40">
        <f>IFERROR(aurora_data!F332,0)</f>
        <v>0</v>
      </c>
      <c r="H12" s="40">
        <f>IFERROR(aurora_data!G332,0)</f>
        <v>0</v>
      </c>
      <c r="I12" s="41">
        <f>IFERROR(aurora_data!H332,0)</f>
        <v>0</v>
      </c>
      <c r="J12" s="39">
        <f>IFERROR(aurora_data!I332,0)</f>
        <v>0</v>
      </c>
      <c r="K12" s="40">
        <f>IFERROR(aurora_data!J332,0)</f>
        <v>0</v>
      </c>
      <c r="L12" s="40">
        <f>IFERROR(aurora_data!K332,0)</f>
        <v>0</v>
      </c>
      <c r="M12" s="40">
        <f>IFERROR(aurora_data!L332,0)</f>
        <v>0</v>
      </c>
      <c r="N12" s="41">
        <f>IFERROR(aurora_data!M332,0)</f>
        <v>0</v>
      </c>
      <c r="O12" s="39">
        <f>IFERROR(aurora_data!N332,0)</f>
        <v>0</v>
      </c>
      <c r="P12" s="40">
        <f>IFERROR(aurora_data!O332,0)</f>
        <v>0</v>
      </c>
      <c r="Q12" s="40">
        <f>IFERROR(aurora_data!P332,0)</f>
        <v>0</v>
      </c>
      <c r="R12" s="41">
        <f>IFERROR(aurora_data!Q332,0)</f>
        <v>0</v>
      </c>
      <c r="S12" s="40">
        <f>IFERROR(aurora_data!R332,0)</f>
        <v>0</v>
      </c>
      <c r="T12" s="40">
        <f>IFERROR(aurora_data!S332,0)</f>
        <v>0</v>
      </c>
      <c r="U12" s="76">
        <f>IFERROR(aurora_data!T332,0)</f>
        <v>0</v>
      </c>
      <c r="V12" s="61">
        <f>IFERROR(aurora_data!U232,0)</f>
        <v>7</v>
      </c>
      <c r="W12" s="39">
        <f>IFERROR(aurora_data!U332,0)</f>
        <v>2</v>
      </c>
      <c r="X12" s="70">
        <f>IFERROR(W12/$W$12,0)</f>
        <v>1</v>
      </c>
      <c r="Y12" s="2"/>
    </row>
    <row r="13" spans="1:25" customFormat="1">
      <c r="A13" s="2"/>
      <c r="B13" s="211"/>
      <c r="C13" s="213"/>
      <c r="D13" s="35" t="s">
        <v>96</v>
      </c>
      <c r="E13" s="110">
        <f>IFERROR(aurora_data!D333,0)</f>
        <v>0</v>
      </c>
      <c r="F13" s="62">
        <f>IFERROR(aurora_data!E333,0)</f>
        <v>0</v>
      </c>
      <c r="G13" s="62">
        <f>IFERROR(aurora_data!F333,0)</f>
        <v>0</v>
      </c>
      <c r="H13" s="62">
        <f>IFERROR(aurora_data!G333,0)</f>
        <v>0</v>
      </c>
      <c r="I13" s="63">
        <f>IFERROR(aurora_data!H333,0)</f>
        <v>0</v>
      </c>
      <c r="J13" s="36">
        <f>IFERROR(aurora_data!I333,0)</f>
        <v>0</v>
      </c>
      <c r="K13" s="62">
        <f>IFERROR(aurora_data!J333,0)</f>
        <v>0</v>
      </c>
      <c r="L13" s="62">
        <f>IFERROR(aurora_data!K333,0)</f>
        <v>0</v>
      </c>
      <c r="M13" s="62">
        <f>IFERROR(aurora_data!L333,0)</f>
        <v>0</v>
      </c>
      <c r="N13" s="63">
        <f>IFERROR(aurora_data!M333,0)</f>
        <v>0</v>
      </c>
      <c r="O13" s="36">
        <f>IFERROR(aurora_data!N333,0)</f>
        <v>0</v>
      </c>
      <c r="P13" s="62">
        <f>IFERROR(aurora_data!O333,0)</f>
        <v>0</v>
      </c>
      <c r="Q13" s="62">
        <f>IFERROR(aurora_data!P333,0)</f>
        <v>0</v>
      </c>
      <c r="R13" s="63">
        <f>IFERROR(aurora_data!Q333,0)</f>
        <v>0</v>
      </c>
      <c r="S13" s="62">
        <f>IFERROR(aurora_data!R333,0)</f>
        <v>0</v>
      </c>
      <c r="T13" s="62">
        <f>IFERROR(aurora_data!S333,0)</f>
        <v>0</v>
      </c>
      <c r="U13" s="63">
        <f>IFERROR(aurora_data!T333,0)</f>
        <v>0</v>
      </c>
      <c r="V13" s="64">
        <f>IFERROR(aurora_data!U233,0)</f>
        <v>0</v>
      </c>
      <c r="W13" s="36">
        <f>IFERROR(aurora_data!U333,0)</f>
        <v>0</v>
      </c>
      <c r="X13" s="71">
        <f t="shared" ref="X13:X19" si="0">IFERROR(W13/$W$12,0)</f>
        <v>0</v>
      </c>
      <c r="Y13" s="2"/>
    </row>
    <row r="14" spans="1:25" customFormat="1">
      <c r="A14" s="2"/>
      <c r="B14" s="211"/>
      <c r="C14" s="213"/>
      <c r="D14" s="35" t="s">
        <v>60</v>
      </c>
      <c r="E14" s="110">
        <f>IFERROR(aurora_data!D334,0)</f>
        <v>0</v>
      </c>
      <c r="F14" s="62">
        <f>IFERROR(aurora_data!E334,0)</f>
        <v>0</v>
      </c>
      <c r="G14" s="62">
        <f>IFERROR(aurora_data!F334,0)</f>
        <v>0</v>
      </c>
      <c r="H14" s="62">
        <f>IFERROR(aurora_data!G334,0)</f>
        <v>0</v>
      </c>
      <c r="I14" s="63">
        <f>IFERROR(aurora_data!H334,0)</f>
        <v>0</v>
      </c>
      <c r="J14" s="36">
        <f>IFERROR(aurora_data!I334,0)</f>
        <v>0</v>
      </c>
      <c r="K14" s="62">
        <f>IFERROR(aurora_data!J334,0)</f>
        <v>0</v>
      </c>
      <c r="L14" s="62">
        <f>IFERROR(aurora_data!K334,0)</f>
        <v>0</v>
      </c>
      <c r="M14" s="62">
        <f>IFERROR(aurora_data!L334,0)</f>
        <v>0</v>
      </c>
      <c r="N14" s="63">
        <f>IFERROR(aurora_data!M334,0)</f>
        <v>0</v>
      </c>
      <c r="O14" s="36">
        <f>IFERROR(aurora_data!N334,0)</f>
        <v>0</v>
      </c>
      <c r="P14" s="62">
        <f>IFERROR(aurora_data!O334,0)</f>
        <v>0</v>
      </c>
      <c r="Q14" s="62">
        <f>IFERROR(aurora_data!P334,0)</f>
        <v>0</v>
      </c>
      <c r="R14" s="63">
        <f>IFERROR(aurora_data!Q334,0)</f>
        <v>0</v>
      </c>
      <c r="S14" s="62">
        <f>IFERROR(aurora_data!R334,0)</f>
        <v>0</v>
      </c>
      <c r="T14" s="62">
        <f>IFERROR(aurora_data!S334,0)</f>
        <v>0</v>
      </c>
      <c r="U14" s="63">
        <f>IFERROR(aurora_data!T334,0)</f>
        <v>0</v>
      </c>
      <c r="V14" s="64">
        <f>IFERROR(aurora_data!U234,0)</f>
        <v>0</v>
      </c>
      <c r="W14" s="36">
        <f>IFERROR(aurora_data!U334,0)</f>
        <v>0</v>
      </c>
      <c r="X14" s="71">
        <f t="shared" si="0"/>
        <v>0</v>
      </c>
      <c r="Y14" s="2"/>
    </row>
    <row r="15" spans="1:25" customFormat="1">
      <c r="A15" s="2"/>
      <c r="B15" s="211"/>
      <c r="C15" s="213"/>
      <c r="D15" s="35" t="s">
        <v>97</v>
      </c>
      <c r="E15" s="36">
        <f>IFERROR(aurora_data!D335,0)</f>
        <v>0</v>
      </c>
      <c r="F15" s="62">
        <f>IFERROR(aurora_data!E335,0)</f>
        <v>0</v>
      </c>
      <c r="G15" s="62">
        <f>IFERROR(aurora_data!F335,0)</f>
        <v>0</v>
      </c>
      <c r="H15" s="62">
        <f>IFERROR(aurora_data!G335,0)</f>
        <v>0</v>
      </c>
      <c r="I15" s="63">
        <f>IFERROR(aurora_data!H335,0)</f>
        <v>0</v>
      </c>
      <c r="J15" s="36">
        <f>IFERROR(aurora_data!I335,0)</f>
        <v>0</v>
      </c>
      <c r="K15" s="62">
        <f>IFERROR(aurora_data!J335,0)</f>
        <v>0</v>
      </c>
      <c r="L15" s="62">
        <f>IFERROR(aurora_data!K335,0)</f>
        <v>0</v>
      </c>
      <c r="M15" s="62">
        <f>IFERROR(aurora_data!L335,0)</f>
        <v>0</v>
      </c>
      <c r="N15" s="63">
        <f>IFERROR(aurora_data!M335,0)</f>
        <v>0</v>
      </c>
      <c r="O15" s="36">
        <f>IFERROR(aurora_data!N335,0)</f>
        <v>0</v>
      </c>
      <c r="P15" s="62">
        <f>IFERROR(aurora_data!O335,0)</f>
        <v>0</v>
      </c>
      <c r="Q15" s="62">
        <f>IFERROR(aurora_data!P335,0)</f>
        <v>0</v>
      </c>
      <c r="R15" s="63">
        <f>IFERROR(aurora_data!Q335,0)</f>
        <v>0</v>
      </c>
      <c r="S15" s="62">
        <f>IFERROR(aurora_data!R335,0)</f>
        <v>0</v>
      </c>
      <c r="T15" s="62">
        <f>IFERROR(aurora_data!S335,0)</f>
        <v>0</v>
      </c>
      <c r="U15" s="63">
        <f>IFERROR(aurora_data!T335,0)</f>
        <v>0</v>
      </c>
      <c r="V15" s="64">
        <f>IFERROR(aurora_data!U235,0)</f>
        <v>0</v>
      </c>
      <c r="W15" s="36">
        <f>IFERROR(aurora_data!U335,0)</f>
        <v>0</v>
      </c>
      <c r="X15" s="71">
        <f t="shared" si="0"/>
        <v>0</v>
      </c>
      <c r="Y15" s="2"/>
    </row>
    <row r="16" spans="1:25" customFormat="1">
      <c r="A16" s="2"/>
      <c r="B16" s="211"/>
      <c r="C16" s="213"/>
      <c r="D16" s="35" t="s">
        <v>98</v>
      </c>
      <c r="E16" s="36">
        <f>IFERROR(aurora_data!D336,0)</f>
        <v>0</v>
      </c>
      <c r="F16" s="62">
        <f>IFERROR(aurora_data!E336,0)</f>
        <v>0</v>
      </c>
      <c r="G16" s="62">
        <f>IFERROR(aurora_data!F336,0)</f>
        <v>0</v>
      </c>
      <c r="H16" s="62">
        <f>IFERROR(aurora_data!G336,0)</f>
        <v>0</v>
      </c>
      <c r="I16" s="63">
        <f>IFERROR(aurora_data!H336,0)</f>
        <v>0</v>
      </c>
      <c r="J16" s="36">
        <f>IFERROR(aurora_data!I336,0)</f>
        <v>0</v>
      </c>
      <c r="K16" s="62">
        <f>IFERROR(aurora_data!J336,0)</f>
        <v>0</v>
      </c>
      <c r="L16" s="62">
        <f>IFERROR(aurora_data!K336,0)</f>
        <v>0</v>
      </c>
      <c r="M16" s="62">
        <f>IFERROR(aurora_data!L336,0)</f>
        <v>0</v>
      </c>
      <c r="N16" s="63">
        <f>IFERROR(aurora_data!M336,0)</f>
        <v>0</v>
      </c>
      <c r="O16" s="36">
        <f>IFERROR(aurora_data!N336,0)</f>
        <v>0</v>
      </c>
      <c r="P16" s="62">
        <f>IFERROR(aurora_data!O336,0)</f>
        <v>0</v>
      </c>
      <c r="Q16" s="62">
        <f>IFERROR(aurora_data!P336,0)</f>
        <v>0</v>
      </c>
      <c r="R16" s="63">
        <f>IFERROR(aurora_data!Q336,0)</f>
        <v>0</v>
      </c>
      <c r="S16" s="62">
        <f>IFERROR(aurora_data!R336,0)</f>
        <v>0</v>
      </c>
      <c r="T16" s="62">
        <f>IFERROR(aurora_data!S336,0)</f>
        <v>0</v>
      </c>
      <c r="U16" s="63">
        <f>IFERROR(aurora_data!T336,0)</f>
        <v>0</v>
      </c>
      <c r="V16" s="64">
        <f>IFERROR(aurora_data!U236,0)</f>
        <v>0</v>
      </c>
      <c r="W16" s="36">
        <f>IFERROR(aurora_data!U336,0)</f>
        <v>0</v>
      </c>
      <c r="X16" s="71">
        <f t="shared" si="0"/>
        <v>0</v>
      </c>
      <c r="Y16" s="2"/>
    </row>
    <row r="17" spans="1:25" customFormat="1" ht="16.5" thickBot="1">
      <c r="A17" s="2"/>
      <c r="B17" s="211"/>
      <c r="C17" s="213"/>
      <c r="D17" s="35" t="s">
        <v>99</v>
      </c>
      <c r="E17" s="36">
        <f>IFERROR(aurora_data!D337,0)</f>
        <v>0</v>
      </c>
      <c r="F17" s="62">
        <f>IFERROR(aurora_data!E337,0)</f>
        <v>0</v>
      </c>
      <c r="G17" s="62">
        <f>IFERROR(aurora_data!F337,0)</f>
        <v>0</v>
      </c>
      <c r="H17" s="62">
        <f>IFERROR(aurora_data!G337,0)</f>
        <v>0</v>
      </c>
      <c r="I17" s="63">
        <f>IFERROR(aurora_data!H337,0)</f>
        <v>0</v>
      </c>
      <c r="J17" s="36">
        <f>IFERROR(aurora_data!I337,0)</f>
        <v>0</v>
      </c>
      <c r="K17" s="62">
        <f>IFERROR(aurora_data!J337,0)</f>
        <v>0</v>
      </c>
      <c r="L17" s="62">
        <f>IFERROR(aurora_data!K337,0)</f>
        <v>0</v>
      </c>
      <c r="M17" s="62">
        <f>IFERROR(aurora_data!L337,0)</f>
        <v>0</v>
      </c>
      <c r="N17" s="63">
        <f>IFERROR(aurora_data!M337,0)</f>
        <v>0</v>
      </c>
      <c r="O17" s="36">
        <f>IFERROR(aurora_data!N337,0)</f>
        <v>0</v>
      </c>
      <c r="P17" s="62">
        <f>IFERROR(aurora_data!O337,0)</f>
        <v>0</v>
      </c>
      <c r="Q17" s="62">
        <f>IFERROR(aurora_data!P337,0)</f>
        <v>0</v>
      </c>
      <c r="R17" s="63">
        <f>IFERROR(aurora_data!Q337,0)</f>
        <v>0</v>
      </c>
      <c r="S17" s="62">
        <f>IFERROR(aurora_data!R337,0)</f>
        <v>0</v>
      </c>
      <c r="T17" s="62">
        <f>IFERROR(aurora_data!S337,0)</f>
        <v>0</v>
      </c>
      <c r="U17" s="63">
        <f>IFERROR(aurora_data!T337,0)</f>
        <v>0</v>
      </c>
      <c r="V17" s="64">
        <f>IFERROR(aurora_data!U237,0)</f>
        <v>0</v>
      </c>
      <c r="W17" s="36">
        <f>IFERROR(aurora_data!U337,0)</f>
        <v>0</v>
      </c>
      <c r="X17" s="71">
        <f t="shared" si="0"/>
        <v>0</v>
      </c>
      <c r="Y17" s="2"/>
    </row>
    <row r="18" spans="1:25" customFormat="1" ht="16.5" thickBot="1">
      <c r="A18" s="2"/>
      <c r="B18" s="211"/>
      <c r="C18" s="213"/>
      <c r="D18" s="37" t="s">
        <v>64</v>
      </c>
      <c r="E18" s="59">
        <f>IFERROR(aurora_data!D338,0)</f>
        <v>0</v>
      </c>
      <c r="F18" s="65">
        <f>IFERROR(aurora_data!E338,0)</f>
        <v>0</v>
      </c>
      <c r="G18" s="65">
        <f>IFERROR(aurora_data!F338,0)</f>
        <v>0</v>
      </c>
      <c r="H18" s="65">
        <f>IFERROR(aurora_data!G338,0)</f>
        <v>0</v>
      </c>
      <c r="I18" s="66">
        <f>IFERROR(aurora_data!H338,0)</f>
        <v>0</v>
      </c>
      <c r="J18" s="59">
        <f>IFERROR(aurora_data!I338,0)</f>
        <v>0</v>
      </c>
      <c r="K18" s="65">
        <f>IFERROR(aurora_data!J338,0)</f>
        <v>0</v>
      </c>
      <c r="L18" s="65">
        <f>IFERROR(aurora_data!K338,0)</f>
        <v>0</v>
      </c>
      <c r="M18" s="65">
        <f>IFERROR(aurora_data!L338,0)</f>
        <v>0</v>
      </c>
      <c r="N18" s="66">
        <f>IFERROR(aurora_data!M338,0)</f>
        <v>0</v>
      </c>
      <c r="O18" s="59">
        <f>IFERROR(aurora_data!N338,0)</f>
        <v>0</v>
      </c>
      <c r="P18" s="65">
        <f>IFERROR(aurora_data!O338,0)</f>
        <v>0</v>
      </c>
      <c r="Q18" s="65">
        <f>IFERROR(aurora_data!P338,0)</f>
        <v>0</v>
      </c>
      <c r="R18" s="66">
        <f>IFERROR(aurora_data!Q338,0)</f>
        <v>0</v>
      </c>
      <c r="S18" s="65">
        <f>IFERROR(aurora_data!R338,0)</f>
        <v>0</v>
      </c>
      <c r="T18" s="65">
        <f>IFERROR(aurora_data!S338,0)</f>
        <v>0</v>
      </c>
      <c r="U18" s="66">
        <f>IFERROR(aurora_data!T338,0)</f>
        <v>0</v>
      </c>
      <c r="V18" s="67">
        <f>IFERROR(aurora_data!U238,0)</f>
        <v>0</v>
      </c>
      <c r="W18" s="59">
        <f>IFERROR(aurora_data!U338,0)</f>
        <v>0</v>
      </c>
      <c r="X18" s="72">
        <f t="shared" si="0"/>
        <v>0</v>
      </c>
      <c r="Y18" s="2"/>
    </row>
    <row r="19" spans="1:25" customFormat="1" ht="16.5" thickBot="1">
      <c r="A19" s="2"/>
      <c r="B19" s="211"/>
      <c r="C19" s="213"/>
      <c r="D19" s="38" t="s">
        <v>100</v>
      </c>
      <c r="E19" s="60">
        <f>IFERROR(aurora_data!D339,0)</f>
        <v>0</v>
      </c>
      <c r="F19" s="68">
        <f>IFERROR(aurora_data!E339,0)</f>
        <v>0</v>
      </c>
      <c r="G19" s="68">
        <f>IFERROR(aurora_data!F339,0)</f>
        <v>0</v>
      </c>
      <c r="H19" s="68">
        <f>IFERROR(aurora_data!G339,0)</f>
        <v>0</v>
      </c>
      <c r="I19" s="69">
        <f>IFERROR(aurora_data!H339,0)</f>
        <v>0</v>
      </c>
      <c r="J19" s="60">
        <f>IFERROR(aurora_data!I339,0)</f>
        <v>0</v>
      </c>
      <c r="K19" s="68">
        <f>IFERROR(aurora_data!J339,0)</f>
        <v>0</v>
      </c>
      <c r="L19" s="68">
        <f>IFERROR(aurora_data!K339,0)</f>
        <v>0</v>
      </c>
      <c r="M19" s="68">
        <f>IFERROR(aurora_data!L339,0)</f>
        <v>0</v>
      </c>
      <c r="N19" s="69">
        <f>IFERROR(aurora_data!M339,0)</f>
        <v>0</v>
      </c>
      <c r="O19" s="60">
        <f>IFERROR(aurora_data!N339,0)</f>
        <v>0</v>
      </c>
      <c r="P19" s="68">
        <f>IFERROR(aurora_data!O339,0)</f>
        <v>0</v>
      </c>
      <c r="Q19" s="68">
        <f>IFERROR(aurora_data!P339,0)</f>
        <v>0</v>
      </c>
      <c r="R19" s="69">
        <f>IFERROR(aurora_data!Q339,0)</f>
        <v>0</v>
      </c>
      <c r="S19" s="68">
        <f>IFERROR(aurora_data!R339,0)</f>
        <v>0</v>
      </c>
      <c r="T19" s="68">
        <f>IFERROR(aurora_data!S339,0)</f>
        <v>0</v>
      </c>
      <c r="U19" s="74">
        <f>IFERROR(aurora_data!T339,0)</f>
        <v>0</v>
      </c>
      <c r="V19" s="75">
        <f>IFERROR(aurora_data!U239,0)</f>
        <v>0</v>
      </c>
      <c r="W19" s="60">
        <f>IFERROR(aurora_data!U339,0)</f>
        <v>0</v>
      </c>
      <c r="X19" s="73">
        <f t="shared" si="0"/>
        <v>0</v>
      </c>
      <c r="Y19" s="2"/>
    </row>
    <row r="20" spans="1:25" customFormat="1">
      <c r="A20" s="2"/>
      <c r="B20" s="210" t="s">
        <v>94</v>
      </c>
      <c r="C20" s="212" t="str">
        <f>aurora_data!A340</f>
        <v>07.00.00-07.11.30</v>
      </c>
      <c r="D20" s="34" t="s">
        <v>71</v>
      </c>
      <c r="E20" s="39">
        <f>IFERROR(aurora_data!D340,0)</f>
        <v>0</v>
      </c>
      <c r="F20" s="40">
        <f>IFERROR(aurora_data!E340,0)</f>
        <v>0</v>
      </c>
      <c r="G20" s="40">
        <f>IFERROR(aurora_data!F340,0)</f>
        <v>0</v>
      </c>
      <c r="H20" s="40">
        <f>IFERROR(aurora_data!G340,0)</f>
        <v>0</v>
      </c>
      <c r="I20" s="41">
        <f>IFERROR(aurora_data!H340,0)</f>
        <v>0</v>
      </c>
      <c r="J20" s="39">
        <f>IFERROR(aurora_data!I340,0)</f>
        <v>0</v>
      </c>
      <c r="K20" s="40">
        <f>IFERROR(aurora_data!J340,0)</f>
        <v>0</v>
      </c>
      <c r="L20" s="40">
        <f>IFERROR(aurora_data!K340,0)</f>
        <v>0</v>
      </c>
      <c r="M20" s="40">
        <f>IFERROR(aurora_data!L340,0)</f>
        <v>0</v>
      </c>
      <c r="N20" s="41">
        <f>IFERROR(aurora_data!M340,0)</f>
        <v>0</v>
      </c>
      <c r="O20" s="39">
        <f>IFERROR(aurora_data!N340,0)</f>
        <v>0</v>
      </c>
      <c r="P20" s="40">
        <f>IFERROR(aurora_data!O340,0)</f>
        <v>0</v>
      </c>
      <c r="Q20" s="40">
        <f>IFERROR(aurora_data!P340,0)</f>
        <v>0</v>
      </c>
      <c r="R20" s="41">
        <f>IFERROR(aurora_data!Q340,0)</f>
        <v>0</v>
      </c>
      <c r="S20" s="40">
        <f>IFERROR(aurora_data!R340,0)</f>
        <v>0</v>
      </c>
      <c r="T20" s="40">
        <f>IFERROR(aurora_data!S340,0)</f>
        <v>0</v>
      </c>
      <c r="U20" s="76">
        <f>IFERROR(aurora_data!T340,0)</f>
        <v>0</v>
      </c>
      <c r="V20" s="61">
        <f>IFERROR(aurora_data!U240,0)</f>
        <v>7</v>
      </c>
      <c r="W20" s="39">
        <f>IFERROR(aurora_data!U340,0)</f>
        <v>2</v>
      </c>
      <c r="X20" s="70">
        <f>IFERROR(W20/$W$12,0)</f>
        <v>1</v>
      </c>
      <c r="Y20" s="2"/>
    </row>
    <row r="21" spans="1:25" customFormat="1">
      <c r="A21" s="2"/>
      <c r="B21" s="211"/>
      <c r="C21" s="213"/>
      <c r="D21" s="35" t="s">
        <v>96</v>
      </c>
      <c r="E21" s="110">
        <f>IFERROR(aurora_data!D341,0)</f>
        <v>0</v>
      </c>
      <c r="F21" s="62">
        <f>IFERROR(aurora_data!E341,0)</f>
        <v>0</v>
      </c>
      <c r="G21" s="62">
        <f>IFERROR(aurora_data!F341,0)</f>
        <v>0</v>
      </c>
      <c r="H21" s="62">
        <f>IFERROR(aurora_data!G341,0)</f>
        <v>0</v>
      </c>
      <c r="I21" s="63">
        <f>IFERROR(aurora_data!H341,0)</f>
        <v>0</v>
      </c>
      <c r="J21" s="36">
        <f>IFERROR(aurora_data!I341,0)</f>
        <v>0</v>
      </c>
      <c r="K21" s="62">
        <f>IFERROR(aurora_data!J341,0)</f>
        <v>0</v>
      </c>
      <c r="L21" s="62">
        <f>IFERROR(aurora_data!K341,0)</f>
        <v>0</v>
      </c>
      <c r="M21" s="62">
        <f>IFERROR(aurora_data!L341,0)</f>
        <v>0</v>
      </c>
      <c r="N21" s="63">
        <f>IFERROR(aurora_data!M341,0)</f>
        <v>0</v>
      </c>
      <c r="O21" s="36">
        <f>IFERROR(aurora_data!N341,0)</f>
        <v>0</v>
      </c>
      <c r="P21" s="62">
        <f>IFERROR(aurora_data!O341,0)</f>
        <v>0</v>
      </c>
      <c r="Q21" s="62">
        <f>IFERROR(aurora_data!P341,0)</f>
        <v>0</v>
      </c>
      <c r="R21" s="63">
        <f>IFERROR(aurora_data!Q341,0)</f>
        <v>0</v>
      </c>
      <c r="S21" s="62">
        <f>IFERROR(aurora_data!R341,0)</f>
        <v>0</v>
      </c>
      <c r="T21" s="62">
        <f>IFERROR(aurora_data!S341,0)</f>
        <v>0</v>
      </c>
      <c r="U21" s="63">
        <f>IFERROR(aurora_data!T341,0)</f>
        <v>0</v>
      </c>
      <c r="V21" s="64">
        <f>IFERROR(aurora_data!U241,0)</f>
        <v>1</v>
      </c>
      <c r="W21" s="36">
        <f>IFERROR(aurora_data!U341,0)</f>
        <v>0</v>
      </c>
      <c r="X21" s="71">
        <f t="shared" ref="X21:X27" si="1">IFERROR(W21/$W$12,0)</f>
        <v>0</v>
      </c>
      <c r="Y21" s="2"/>
    </row>
    <row r="22" spans="1:25" customFormat="1">
      <c r="A22" s="2"/>
      <c r="B22" s="211"/>
      <c r="C22" s="213"/>
      <c r="D22" s="35" t="s">
        <v>60</v>
      </c>
      <c r="E22" s="110">
        <f>IFERROR(aurora_data!D342,0)</f>
        <v>0</v>
      </c>
      <c r="F22" s="62">
        <f>IFERROR(aurora_data!E342,0)</f>
        <v>0</v>
      </c>
      <c r="G22" s="62">
        <f>IFERROR(aurora_data!F342,0)</f>
        <v>0</v>
      </c>
      <c r="H22" s="62">
        <f>IFERROR(aurora_data!G342,0)</f>
        <v>0</v>
      </c>
      <c r="I22" s="63">
        <f>IFERROR(aurora_data!H342,0)</f>
        <v>0</v>
      </c>
      <c r="J22" s="36">
        <f>IFERROR(aurora_data!I342,0)</f>
        <v>0</v>
      </c>
      <c r="K22" s="62">
        <f>IFERROR(aurora_data!J342,0)</f>
        <v>0</v>
      </c>
      <c r="L22" s="62">
        <f>IFERROR(aurora_data!K342,0)</f>
        <v>0</v>
      </c>
      <c r="M22" s="62">
        <f>IFERROR(aurora_data!L342,0)</f>
        <v>0</v>
      </c>
      <c r="N22" s="63">
        <f>IFERROR(aurora_data!M342,0)</f>
        <v>0</v>
      </c>
      <c r="O22" s="36">
        <f>IFERROR(aurora_data!N342,0)</f>
        <v>0</v>
      </c>
      <c r="P22" s="62">
        <f>IFERROR(aurora_data!O342,0)</f>
        <v>0</v>
      </c>
      <c r="Q22" s="62">
        <f>IFERROR(aurora_data!P342,0)</f>
        <v>0</v>
      </c>
      <c r="R22" s="63">
        <f>IFERROR(aurora_data!Q342,0)</f>
        <v>0</v>
      </c>
      <c r="S22" s="62">
        <f>IFERROR(aurora_data!R342,0)</f>
        <v>0</v>
      </c>
      <c r="T22" s="62">
        <f>IFERROR(aurora_data!S342,0)</f>
        <v>0</v>
      </c>
      <c r="U22" s="63">
        <f>IFERROR(aurora_data!T342,0)</f>
        <v>0</v>
      </c>
      <c r="V22" s="64">
        <f>IFERROR(aurora_data!U242,0)</f>
        <v>0</v>
      </c>
      <c r="W22" s="36">
        <f>IFERROR(aurora_data!U342,0)</f>
        <v>0</v>
      </c>
      <c r="X22" s="71">
        <f t="shared" si="1"/>
        <v>0</v>
      </c>
      <c r="Y22" s="2"/>
    </row>
    <row r="23" spans="1:25" customFormat="1">
      <c r="A23" s="2"/>
      <c r="B23" s="211"/>
      <c r="C23" s="213"/>
      <c r="D23" s="35" t="s">
        <v>97</v>
      </c>
      <c r="E23" s="36">
        <f>IFERROR(aurora_data!D343,0)</f>
        <v>0</v>
      </c>
      <c r="F23" s="62">
        <f>IFERROR(aurora_data!E343,0)</f>
        <v>0</v>
      </c>
      <c r="G23" s="62">
        <f>IFERROR(aurora_data!F343,0)</f>
        <v>0</v>
      </c>
      <c r="H23" s="62">
        <f>IFERROR(aurora_data!G343,0)</f>
        <v>0</v>
      </c>
      <c r="I23" s="63">
        <f>IFERROR(aurora_data!H343,0)</f>
        <v>0</v>
      </c>
      <c r="J23" s="36">
        <f>IFERROR(aurora_data!I343,0)</f>
        <v>0</v>
      </c>
      <c r="K23" s="62">
        <f>IFERROR(aurora_data!J343,0)</f>
        <v>0</v>
      </c>
      <c r="L23" s="62">
        <f>IFERROR(aurora_data!K343,0)</f>
        <v>0</v>
      </c>
      <c r="M23" s="62">
        <f>IFERROR(aurora_data!L343,0)</f>
        <v>0</v>
      </c>
      <c r="N23" s="63">
        <f>IFERROR(aurora_data!M343,0)</f>
        <v>0</v>
      </c>
      <c r="O23" s="36">
        <f>IFERROR(aurora_data!N343,0)</f>
        <v>0</v>
      </c>
      <c r="P23" s="62">
        <f>IFERROR(aurora_data!O343,0)</f>
        <v>0</v>
      </c>
      <c r="Q23" s="62">
        <f>IFERROR(aurora_data!P343,0)</f>
        <v>0</v>
      </c>
      <c r="R23" s="63">
        <f>IFERROR(aurora_data!Q343,0)</f>
        <v>0</v>
      </c>
      <c r="S23" s="62">
        <f>IFERROR(aurora_data!R343,0)</f>
        <v>0</v>
      </c>
      <c r="T23" s="62">
        <f>IFERROR(aurora_data!S343,0)</f>
        <v>0</v>
      </c>
      <c r="U23" s="63">
        <f>IFERROR(aurora_data!T343,0)</f>
        <v>0</v>
      </c>
      <c r="V23" s="64">
        <f>IFERROR(aurora_data!U243,0)</f>
        <v>0</v>
      </c>
      <c r="W23" s="36">
        <f>IFERROR(aurora_data!U343,0)</f>
        <v>0</v>
      </c>
      <c r="X23" s="71">
        <f t="shared" si="1"/>
        <v>0</v>
      </c>
      <c r="Y23" s="2"/>
    </row>
    <row r="24" spans="1:25" customFormat="1">
      <c r="A24" s="2"/>
      <c r="B24" s="211"/>
      <c r="C24" s="213"/>
      <c r="D24" s="35" t="s">
        <v>98</v>
      </c>
      <c r="E24" s="36">
        <f>IFERROR(aurora_data!D344,0)</f>
        <v>0</v>
      </c>
      <c r="F24" s="62">
        <f>IFERROR(aurora_data!E344,0)</f>
        <v>0</v>
      </c>
      <c r="G24" s="62">
        <f>IFERROR(aurora_data!F344,0)</f>
        <v>0</v>
      </c>
      <c r="H24" s="62">
        <f>IFERROR(aurora_data!G344,0)</f>
        <v>0</v>
      </c>
      <c r="I24" s="63">
        <f>IFERROR(aurora_data!H344,0)</f>
        <v>0</v>
      </c>
      <c r="J24" s="36">
        <f>IFERROR(aurora_data!I344,0)</f>
        <v>0</v>
      </c>
      <c r="K24" s="62">
        <f>IFERROR(aurora_data!J344,0)</f>
        <v>0</v>
      </c>
      <c r="L24" s="62">
        <f>IFERROR(aurora_data!K344,0)</f>
        <v>0</v>
      </c>
      <c r="M24" s="62">
        <f>IFERROR(aurora_data!L344,0)</f>
        <v>0</v>
      </c>
      <c r="N24" s="63">
        <f>IFERROR(aurora_data!M344,0)</f>
        <v>0</v>
      </c>
      <c r="O24" s="36">
        <f>IFERROR(aurora_data!N344,0)</f>
        <v>0</v>
      </c>
      <c r="P24" s="62">
        <f>IFERROR(aurora_data!O344,0)</f>
        <v>0</v>
      </c>
      <c r="Q24" s="62">
        <f>IFERROR(aurora_data!P344,0)</f>
        <v>0</v>
      </c>
      <c r="R24" s="63">
        <f>IFERROR(aurora_data!Q344,0)</f>
        <v>0</v>
      </c>
      <c r="S24" s="62">
        <f>IFERROR(aurora_data!R344,0)</f>
        <v>0</v>
      </c>
      <c r="T24" s="62">
        <f>IFERROR(aurora_data!S344,0)</f>
        <v>0</v>
      </c>
      <c r="U24" s="63">
        <f>IFERROR(aurora_data!T344,0)</f>
        <v>0</v>
      </c>
      <c r="V24" s="64">
        <f>IFERROR(aurora_data!U244,0)</f>
        <v>0</v>
      </c>
      <c r="W24" s="36">
        <f>IFERROR(aurora_data!U344,0)</f>
        <v>0</v>
      </c>
      <c r="X24" s="71">
        <f t="shared" si="1"/>
        <v>0</v>
      </c>
      <c r="Y24" s="2"/>
    </row>
    <row r="25" spans="1:25" customFormat="1" ht="16.5" thickBot="1">
      <c r="A25" s="2"/>
      <c r="B25" s="211"/>
      <c r="C25" s="213"/>
      <c r="D25" s="35" t="s">
        <v>99</v>
      </c>
      <c r="E25" s="36">
        <f>IFERROR(aurora_data!D345,0)</f>
        <v>0</v>
      </c>
      <c r="F25" s="62">
        <f>IFERROR(aurora_data!E345,0)</f>
        <v>0</v>
      </c>
      <c r="G25" s="62">
        <f>IFERROR(aurora_data!F345,0)</f>
        <v>0</v>
      </c>
      <c r="H25" s="62">
        <f>IFERROR(aurora_data!G345,0)</f>
        <v>0</v>
      </c>
      <c r="I25" s="63">
        <f>IFERROR(aurora_data!H345,0)</f>
        <v>0</v>
      </c>
      <c r="J25" s="36">
        <f>IFERROR(aurora_data!I345,0)</f>
        <v>0</v>
      </c>
      <c r="K25" s="62">
        <f>IFERROR(aurora_data!J345,0)</f>
        <v>0</v>
      </c>
      <c r="L25" s="62">
        <f>IFERROR(aurora_data!K345,0)</f>
        <v>0</v>
      </c>
      <c r="M25" s="62">
        <f>IFERROR(aurora_data!L345,0)</f>
        <v>0</v>
      </c>
      <c r="N25" s="63">
        <f>IFERROR(aurora_data!M345,0)</f>
        <v>0</v>
      </c>
      <c r="O25" s="36">
        <f>IFERROR(aurora_data!N345,0)</f>
        <v>0</v>
      </c>
      <c r="P25" s="62">
        <f>IFERROR(aurora_data!O345,0)</f>
        <v>0</v>
      </c>
      <c r="Q25" s="62">
        <f>IFERROR(aurora_data!P345,0)</f>
        <v>0</v>
      </c>
      <c r="R25" s="63">
        <f>IFERROR(aurora_data!Q345,0)</f>
        <v>0</v>
      </c>
      <c r="S25" s="62">
        <f>IFERROR(aurora_data!R345,0)</f>
        <v>0</v>
      </c>
      <c r="T25" s="62">
        <f>IFERROR(aurora_data!S345,0)</f>
        <v>0</v>
      </c>
      <c r="U25" s="63">
        <f>IFERROR(aurora_data!T345,0)</f>
        <v>0</v>
      </c>
      <c r="V25" s="64">
        <f>IFERROR(aurora_data!U245,0)</f>
        <v>0</v>
      </c>
      <c r="W25" s="36">
        <f>IFERROR(aurora_data!U345,0)</f>
        <v>0</v>
      </c>
      <c r="X25" s="71">
        <f t="shared" si="1"/>
        <v>0</v>
      </c>
      <c r="Y25" s="2"/>
    </row>
    <row r="26" spans="1:25" customFormat="1" ht="16.5" thickBot="1">
      <c r="A26" s="2"/>
      <c r="B26" s="211"/>
      <c r="C26" s="213"/>
      <c r="D26" s="37" t="s">
        <v>64</v>
      </c>
      <c r="E26" s="59">
        <f>IFERROR(aurora_data!D346,0)</f>
        <v>0</v>
      </c>
      <c r="F26" s="65">
        <f>IFERROR(aurora_data!E346,0)</f>
        <v>0</v>
      </c>
      <c r="G26" s="65">
        <f>IFERROR(aurora_data!F346,0)</f>
        <v>0</v>
      </c>
      <c r="H26" s="65">
        <f>IFERROR(aurora_data!G346,0)</f>
        <v>0</v>
      </c>
      <c r="I26" s="66">
        <f>IFERROR(aurora_data!H346,0)</f>
        <v>0</v>
      </c>
      <c r="J26" s="59">
        <f>IFERROR(aurora_data!I346,0)</f>
        <v>0</v>
      </c>
      <c r="K26" s="65">
        <f>IFERROR(aurora_data!J346,0)</f>
        <v>0</v>
      </c>
      <c r="L26" s="65">
        <f>IFERROR(aurora_data!K346,0)</f>
        <v>0</v>
      </c>
      <c r="M26" s="65">
        <f>IFERROR(aurora_data!L346,0)</f>
        <v>0</v>
      </c>
      <c r="N26" s="66">
        <f>IFERROR(aurora_data!M346,0)</f>
        <v>0</v>
      </c>
      <c r="O26" s="59">
        <f>IFERROR(aurora_data!N346,0)</f>
        <v>0</v>
      </c>
      <c r="P26" s="65">
        <f>IFERROR(aurora_data!O346,0)</f>
        <v>0</v>
      </c>
      <c r="Q26" s="65">
        <f>IFERROR(aurora_data!P346,0)</f>
        <v>0</v>
      </c>
      <c r="R26" s="66">
        <f>IFERROR(aurora_data!Q346,0)</f>
        <v>0</v>
      </c>
      <c r="S26" s="65">
        <f>IFERROR(aurora_data!R346,0)</f>
        <v>0</v>
      </c>
      <c r="T26" s="65">
        <f>IFERROR(aurora_data!S346,0)</f>
        <v>0</v>
      </c>
      <c r="U26" s="66">
        <f>IFERROR(aurora_data!T346,0)</f>
        <v>0</v>
      </c>
      <c r="V26" s="67">
        <f>IFERROR(aurora_data!U246,0)</f>
        <v>1</v>
      </c>
      <c r="W26" s="59">
        <f>IFERROR(aurora_data!U346,0)</f>
        <v>0</v>
      </c>
      <c r="X26" s="72">
        <f t="shared" si="1"/>
        <v>0</v>
      </c>
      <c r="Y26" s="2"/>
    </row>
    <row r="27" spans="1:25" customFormat="1" ht="16.5" thickBot="1">
      <c r="A27" s="2"/>
      <c r="B27" s="211"/>
      <c r="C27" s="213"/>
      <c r="D27" s="38" t="s">
        <v>100</v>
      </c>
      <c r="E27" s="60">
        <f>IFERROR(aurora_data!D347,0)</f>
        <v>0</v>
      </c>
      <c r="F27" s="68">
        <f>IFERROR(aurora_data!E347,0)</f>
        <v>0</v>
      </c>
      <c r="G27" s="68">
        <f>IFERROR(aurora_data!F347,0)</f>
        <v>0</v>
      </c>
      <c r="H27" s="68">
        <f>IFERROR(aurora_data!G347,0)</f>
        <v>0</v>
      </c>
      <c r="I27" s="69">
        <f>IFERROR(aurora_data!H347,0)</f>
        <v>0</v>
      </c>
      <c r="J27" s="60">
        <f>IFERROR(aurora_data!I347,0)</f>
        <v>0</v>
      </c>
      <c r="K27" s="68">
        <f>IFERROR(aurora_data!J347,0)</f>
        <v>0</v>
      </c>
      <c r="L27" s="68">
        <f>IFERROR(aurora_data!K347,0)</f>
        <v>0</v>
      </c>
      <c r="M27" s="68">
        <f>IFERROR(aurora_data!L347,0)</f>
        <v>0</v>
      </c>
      <c r="N27" s="69">
        <f>IFERROR(aurora_data!M347,0)</f>
        <v>0</v>
      </c>
      <c r="O27" s="60">
        <f>IFERROR(aurora_data!N347,0)</f>
        <v>0</v>
      </c>
      <c r="P27" s="68">
        <f>IFERROR(aurora_data!O347,0)</f>
        <v>0</v>
      </c>
      <c r="Q27" s="68">
        <f>IFERROR(aurora_data!P347,0)</f>
        <v>0</v>
      </c>
      <c r="R27" s="69">
        <f>IFERROR(aurora_data!Q347,0)</f>
        <v>0</v>
      </c>
      <c r="S27" s="68">
        <f>IFERROR(aurora_data!R347,0)</f>
        <v>0</v>
      </c>
      <c r="T27" s="68">
        <f>IFERROR(aurora_data!S347,0)</f>
        <v>0</v>
      </c>
      <c r="U27" s="74">
        <f>IFERROR(aurora_data!T347,0)</f>
        <v>0</v>
      </c>
      <c r="V27" s="75">
        <f>IFERROR(aurora_data!U247,0)</f>
        <v>0</v>
      </c>
      <c r="W27" s="60">
        <f>IFERROR(aurora_data!U347,0)</f>
        <v>0</v>
      </c>
      <c r="X27" s="73">
        <f t="shared" si="1"/>
        <v>0</v>
      </c>
      <c r="Y27" s="2"/>
    </row>
    <row r="28" spans="1:25" customFormat="1">
      <c r="A28" s="2"/>
      <c r="B28" s="210" t="s">
        <v>94</v>
      </c>
      <c r="C28" s="212" t="str">
        <f>aurora_data!A348</f>
        <v>08.00.00-08.11.30</v>
      </c>
      <c r="D28" s="34" t="s">
        <v>71</v>
      </c>
      <c r="E28" s="39">
        <f>IFERROR(aurora_data!D348,0)</f>
        <v>0</v>
      </c>
      <c r="F28" s="40">
        <f>IFERROR(aurora_data!E348,0)</f>
        <v>0</v>
      </c>
      <c r="G28" s="40">
        <f>IFERROR(aurora_data!F348,0)</f>
        <v>0</v>
      </c>
      <c r="H28" s="40">
        <f>IFERROR(aurora_data!G348,0)</f>
        <v>0</v>
      </c>
      <c r="I28" s="41">
        <f>IFERROR(aurora_data!H348,0)</f>
        <v>0</v>
      </c>
      <c r="J28" s="39">
        <f>IFERROR(aurora_data!I348,0)</f>
        <v>0</v>
      </c>
      <c r="K28" s="40">
        <f>IFERROR(aurora_data!J348,0)</f>
        <v>0</v>
      </c>
      <c r="L28" s="40">
        <f>IFERROR(aurora_data!K348,0)</f>
        <v>0</v>
      </c>
      <c r="M28" s="40">
        <f>IFERROR(aurora_data!L348,0)</f>
        <v>0</v>
      </c>
      <c r="N28" s="41">
        <f>IFERROR(aurora_data!M348,0)</f>
        <v>0</v>
      </c>
      <c r="O28" s="39">
        <f>IFERROR(aurora_data!N348,0)</f>
        <v>0</v>
      </c>
      <c r="P28" s="40">
        <f>IFERROR(aurora_data!O348,0)</f>
        <v>0</v>
      </c>
      <c r="Q28" s="40">
        <f>IFERROR(aurora_data!P348,0)</f>
        <v>0</v>
      </c>
      <c r="R28" s="41">
        <f>IFERROR(aurora_data!Q348,0)</f>
        <v>0</v>
      </c>
      <c r="S28" s="40">
        <f>IFERROR(aurora_data!R348,0)</f>
        <v>0</v>
      </c>
      <c r="T28" s="40">
        <f>IFERROR(aurora_data!S348,0)</f>
        <v>0</v>
      </c>
      <c r="U28" s="76">
        <f>IFERROR(aurora_data!T348,0)</f>
        <v>0</v>
      </c>
      <c r="V28" s="61">
        <f>IFERROR(aurora_data!U248,0)</f>
        <v>5</v>
      </c>
      <c r="W28" s="39">
        <f>IFERROR(aurora_data!U348,0)</f>
        <v>1</v>
      </c>
      <c r="X28" s="70">
        <f>IFERROR(W28/$W$12,0)</f>
        <v>0.5</v>
      </c>
      <c r="Y28" s="2"/>
    </row>
    <row r="29" spans="1:25" customFormat="1">
      <c r="A29" s="2"/>
      <c r="B29" s="211"/>
      <c r="C29" s="213"/>
      <c r="D29" s="35" t="s">
        <v>96</v>
      </c>
      <c r="E29" s="110">
        <f>IFERROR(aurora_data!D349,0)</f>
        <v>0</v>
      </c>
      <c r="F29" s="62">
        <f>IFERROR(aurora_data!E349,0)</f>
        <v>0</v>
      </c>
      <c r="G29" s="62">
        <f>IFERROR(aurora_data!F349,0)</f>
        <v>0</v>
      </c>
      <c r="H29" s="62">
        <f>IFERROR(aurora_data!G349,0)</f>
        <v>0</v>
      </c>
      <c r="I29" s="63">
        <f>IFERROR(aurora_data!H349,0)</f>
        <v>0</v>
      </c>
      <c r="J29" s="36">
        <f>IFERROR(aurora_data!I349,0)</f>
        <v>0</v>
      </c>
      <c r="K29" s="62">
        <f>IFERROR(aurora_data!J349,0)</f>
        <v>0</v>
      </c>
      <c r="L29" s="62">
        <f>IFERROR(aurora_data!K349,0)</f>
        <v>0</v>
      </c>
      <c r="M29" s="62">
        <f>IFERROR(aurora_data!L349,0)</f>
        <v>0</v>
      </c>
      <c r="N29" s="63">
        <f>IFERROR(aurora_data!M349,0)</f>
        <v>0</v>
      </c>
      <c r="O29" s="36">
        <f>IFERROR(aurora_data!N349,0)</f>
        <v>0</v>
      </c>
      <c r="P29" s="62">
        <f>IFERROR(aurora_data!O349,0)</f>
        <v>0</v>
      </c>
      <c r="Q29" s="62">
        <f>IFERROR(aurora_data!P349,0)</f>
        <v>0</v>
      </c>
      <c r="R29" s="63">
        <f>IFERROR(aurora_data!Q349,0)</f>
        <v>0</v>
      </c>
      <c r="S29" s="62">
        <f>IFERROR(aurora_data!R349,0)</f>
        <v>0</v>
      </c>
      <c r="T29" s="62">
        <f>IFERROR(aurora_data!S349,0)</f>
        <v>0</v>
      </c>
      <c r="U29" s="63">
        <f>IFERROR(aurora_data!T349,0)</f>
        <v>0</v>
      </c>
      <c r="V29" s="64">
        <f>IFERROR(aurora_data!U249,0)</f>
        <v>0</v>
      </c>
      <c r="W29" s="36">
        <f>IFERROR(aurora_data!U349,0)</f>
        <v>0</v>
      </c>
      <c r="X29" s="71">
        <f t="shared" ref="X29:X35" si="2">IFERROR(W29/$W$12,0)</f>
        <v>0</v>
      </c>
      <c r="Y29" s="2"/>
    </row>
    <row r="30" spans="1:25" customFormat="1">
      <c r="A30" s="2"/>
      <c r="B30" s="211"/>
      <c r="C30" s="213"/>
      <c r="D30" s="35" t="s">
        <v>60</v>
      </c>
      <c r="E30" s="110">
        <f>IFERROR(aurora_data!D350,0)</f>
        <v>0</v>
      </c>
      <c r="F30" s="62">
        <f>IFERROR(aurora_data!E350,0)</f>
        <v>0</v>
      </c>
      <c r="G30" s="62">
        <f>IFERROR(aurora_data!F350,0)</f>
        <v>0</v>
      </c>
      <c r="H30" s="62">
        <f>IFERROR(aurora_data!G350,0)</f>
        <v>0</v>
      </c>
      <c r="I30" s="63">
        <f>IFERROR(aurora_data!H350,0)</f>
        <v>0</v>
      </c>
      <c r="J30" s="36">
        <f>IFERROR(aurora_data!I350,0)</f>
        <v>0</v>
      </c>
      <c r="K30" s="62">
        <f>IFERROR(aurora_data!J350,0)</f>
        <v>0</v>
      </c>
      <c r="L30" s="62">
        <f>IFERROR(aurora_data!K350,0)</f>
        <v>0</v>
      </c>
      <c r="M30" s="62">
        <f>IFERROR(aurora_data!L350,0)</f>
        <v>0</v>
      </c>
      <c r="N30" s="63">
        <f>IFERROR(aurora_data!M350,0)</f>
        <v>0</v>
      </c>
      <c r="O30" s="36">
        <f>IFERROR(aurora_data!N350,0)</f>
        <v>0</v>
      </c>
      <c r="P30" s="62">
        <f>IFERROR(aurora_data!O350,0)</f>
        <v>0</v>
      </c>
      <c r="Q30" s="62">
        <f>IFERROR(aurora_data!P350,0)</f>
        <v>0</v>
      </c>
      <c r="R30" s="63">
        <f>IFERROR(aurora_data!Q350,0)</f>
        <v>0</v>
      </c>
      <c r="S30" s="62">
        <f>IFERROR(aurora_data!R350,0)</f>
        <v>0</v>
      </c>
      <c r="T30" s="62">
        <f>IFERROR(aurora_data!S350,0)</f>
        <v>0</v>
      </c>
      <c r="U30" s="63">
        <f>IFERROR(aurora_data!T350,0)</f>
        <v>0</v>
      </c>
      <c r="V30" s="64">
        <f>IFERROR(aurora_data!U250,0)</f>
        <v>0</v>
      </c>
      <c r="W30" s="36">
        <f>IFERROR(aurora_data!U350,0)</f>
        <v>0</v>
      </c>
      <c r="X30" s="71">
        <f t="shared" si="2"/>
        <v>0</v>
      </c>
      <c r="Y30" s="2"/>
    </row>
    <row r="31" spans="1:25" customFormat="1">
      <c r="A31" s="2"/>
      <c r="B31" s="211"/>
      <c r="C31" s="213"/>
      <c r="D31" s="35" t="s">
        <v>97</v>
      </c>
      <c r="E31" s="36">
        <f>IFERROR(aurora_data!D351,0)</f>
        <v>0</v>
      </c>
      <c r="F31" s="62">
        <f>IFERROR(aurora_data!E351,0)</f>
        <v>0</v>
      </c>
      <c r="G31" s="62">
        <f>IFERROR(aurora_data!F351,0)</f>
        <v>0</v>
      </c>
      <c r="H31" s="62">
        <f>IFERROR(aurora_data!G351,0)</f>
        <v>0</v>
      </c>
      <c r="I31" s="63">
        <f>IFERROR(aurora_data!H351,0)</f>
        <v>0</v>
      </c>
      <c r="J31" s="36">
        <f>IFERROR(aurora_data!I351,0)</f>
        <v>0</v>
      </c>
      <c r="K31" s="62">
        <f>IFERROR(aurora_data!J351,0)</f>
        <v>0</v>
      </c>
      <c r="L31" s="62">
        <f>IFERROR(aurora_data!K351,0)</f>
        <v>0</v>
      </c>
      <c r="M31" s="62">
        <f>IFERROR(aurora_data!L351,0)</f>
        <v>0</v>
      </c>
      <c r="N31" s="63">
        <f>IFERROR(aurora_data!M351,0)</f>
        <v>0</v>
      </c>
      <c r="O31" s="36">
        <f>IFERROR(aurora_data!N351,0)</f>
        <v>0</v>
      </c>
      <c r="P31" s="62">
        <f>IFERROR(aurora_data!O351,0)</f>
        <v>0</v>
      </c>
      <c r="Q31" s="62">
        <f>IFERROR(aurora_data!P351,0)</f>
        <v>0</v>
      </c>
      <c r="R31" s="63">
        <f>IFERROR(aurora_data!Q351,0)</f>
        <v>0</v>
      </c>
      <c r="S31" s="62">
        <f>IFERROR(aurora_data!R351,0)</f>
        <v>0</v>
      </c>
      <c r="T31" s="62">
        <f>IFERROR(aurora_data!S351,0)</f>
        <v>0</v>
      </c>
      <c r="U31" s="63">
        <f>IFERROR(aurora_data!T351,0)</f>
        <v>0</v>
      </c>
      <c r="V31" s="64">
        <f>IFERROR(aurora_data!U251,0)</f>
        <v>0</v>
      </c>
      <c r="W31" s="36">
        <f>IFERROR(aurora_data!U351,0)</f>
        <v>0</v>
      </c>
      <c r="X31" s="71">
        <f t="shared" si="2"/>
        <v>0</v>
      </c>
      <c r="Y31" s="2"/>
    </row>
    <row r="32" spans="1:25" customFormat="1">
      <c r="A32" s="2"/>
      <c r="B32" s="211"/>
      <c r="C32" s="213"/>
      <c r="D32" s="35" t="s">
        <v>98</v>
      </c>
      <c r="E32" s="36">
        <f>IFERROR(aurora_data!D352,0)</f>
        <v>0</v>
      </c>
      <c r="F32" s="62">
        <f>IFERROR(aurora_data!E352,0)</f>
        <v>0</v>
      </c>
      <c r="G32" s="62">
        <f>IFERROR(aurora_data!F352,0)</f>
        <v>0</v>
      </c>
      <c r="H32" s="62">
        <f>IFERROR(aurora_data!G352,0)</f>
        <v>0</v>
      </c>
      <c r="I32" s="63">
        <f>IFERROR(aurora_data!H352,0)</f>
        <v>0</v>
      </c>
      <c r="J32" s="36">
        <f>IFERROR(aurora_data!I352,0)</f>
        <v>0</v>
      </c>
      <c r="K32" s="62">
        <f>IFERROR(aurora_data!J352,0)</f>
        <v>0</v>
      </c>
      <c r="L32" s="62">
        <f>IFERROR(aurora_data!K352,0)</f>
        <v>0</v>
      </c>
      <c r="M32" s="62">
        <f>IFERROR(aurora_data!L352,0)</f>
        <v>0</v>
      </c>
      <c r="N32" s="63">
        <f>IFERROR(aurora_data!M352,0)</f>
        <v>0</v>
      </c>
      <c r="O32" s="36">
        <f>IFERROR(aurora_data!N352,0)</f>
        <v>0</v>
      </c>
      <c r="P32" s="62">
        <f>IFERROR(aurora_data!O352,0)</f>
        <v>0</v>
      </c>
      <c r="Q32" s="62">
        <f>IFERROR(aurora_data!P352,0)</f>
        <v>0</v>
      </c>
      <c r="R32" s="63">
        <f>IFERROR(aurora_data!Q352,0)</f>
        <v>0</v>
      </c>
      <c r="S32" s="62">
        <f>IFERROR(aurora_data!R352,0)</f>
        <v>0</v>
      </c>
      <c r="T32" s="62">
        <f>IFERROR(aurora_data!S352,0)</f>
        <v>0</v>
      </c>
      <c r="U32" s="63">
        <f>IFERROR(aurora_data!T352,0)</f>
        <v>0</v>
      </c>
      <c r="V32" s="64">
        <f>IFERROR(aurora_data!U252,0)</f>
        <v>0</v>
      </c>
      <c r="W32" s="36">
        <f>IFERROR(aurora_data!U352,0)</f>
        <v>0</v>
      </c>
      <c r="X32" s="71">
        <f t="shared" si="2"/>
        <v>0</v>
      </c>
      <c r="Y32" s="2"/>
    </row>
    <row r="33" spans="1:25" customFormat="1" ht="16.5" thickBot="1">
      <c r="A33" s="2"/>
      <c r="B33" s="211"/>
      <c r="C33" s="213"/>
      <c r="D33" s="35" t="s">
        <v>99</v>
      </c>
      <c r="E33" s="36">
        <f>IFERROR(aurora_data!D353,0)</f>
        <v>0</v>
      </c>
      <c r="F33" s="62">
        <f>IFERROR(aurora_data!E353,0)</f>
        <v>0</v>
      </c>
      <c r="G33" s="62">
        <f>IFERROR(aurora_data!F353,0)</f>
        <v>0</v>
      </c>
      <c r="H33" s="62">
        <f>IFERROR(aurora_data!G353,0)</f>
        <v>0</v>
      </c>
      <c r="I33" s="63">
        <f>IFERROR(aurora_data!H353,0)</f>
        <v>0</v>
      </c>
      <c r="J33" s="36">
        <f>IFERROR(aurora_data!I353,0)</f>
        <v>0</v>
      </c>
      <c r="K33" s="62">
        <f>IFERROR(aurora_data!J353,0)</f>
        <v>0</v>
      </c>
      <c r="L33" s="62">
        <f>IFERROR(aurora_data!K353,0)</f>
        <v>0</v>
      </c>
      <c r="M33" s="62">
        <f>IFERROR(aurora_data!L353,0)</f>
        <v>0</v>
      </c>
      <c r="N33" s="63">
        <f>IFERROR(aurora_data!M353,0)</f>
        <v>0</v>
      </c>
      <c r="O33" s="36">
        <f>IFERROR(aurora_data!N353,0)</f>
        <v>0</v>
      </c>
      <c r="P33" s="62">
        <f>IFERROR(aurora_data!O353,0)</f>
        <v>0</v>
      </c>
      <c r="Q33" s="62">
        <f>IFERROR(aurora_data!P353,0)</f>
        <v>0</v>
      </c>
      <c r="R33" s="63">
        <f>IFERROR(aurora_data!Q353,0)</f>
        <v>0</v>
      </c>
      <c r="S33" s="62">
        <f>IFERROR(aurora_data!R353,0)</f>
        <v>0</v>
      </c>
      <c r="T33" s="62">
        <f>IFERROR(aurora_data!S353,0)</f>
        <v>0</v>
      </c>
      <c r="U33" s="63">
        <f>IFERROR(aurora_data!T353,0)</f>
        <v>0</v>
      </c>
      <c r="V33" s="64">
        <f>IFERROR(aurora_data!U253,0)</f>
        <v>0</v>
      </c>
      <c r="W33" s="36">
        <f>IFERROR(aurora_data!U353,0)</f>
        <v>0</v>
      </c>
      <c r="X33" s="71">
        <f t="shared" si="2"/>
        <v>0</v>
      </c>
      <c r="Y33" s="2"/>
    </row>
    <row r="34" spans="1:25" customFormat="1" ht="16.5" thickBot="1">
      <c r="A34" s="2"/>
      <c r="B34" s="211"/>
      <c r="C34" s="213"/>
      <c r="D34" s="37" t="s">
        <v>64</v>
      </c>
      <c r="E34" s="59">
        <f>IFERROR(aurora_data!D354,0)</f>
        <v>0</v>
      </c>
      <c r="F34" s="65">
        <f>IFERROR(aurora_data!E354,0)</f>
        <v>0</v>
      </c>
      <c r="G34" s="65">
        <f>IFERROR(aurora_data!F354,0)</f>
        <v>0</v>
      </c>
      <c r="H34" s="65">
        <f>IFERROR(aurora_data!G354,0)</f>
        <v>0</v>
      </c>
      <c r="I34" s="66">
        <f>IFERROR(aurora_data!H354,0)</f>
        <v>0</v>
      </c>
      <c r="J34" s="59">
        <f>IFERROR(aurora_data!I354,0)</f>
        <v>0</v>
      </c>
      <c r="K34" s="65">
        <f>IFERROR(aurora_data!J354,0)</f>
        <v>0</v>
      </c>
      <c r="L34" s="65">
        <f>IFERROR(aurora_data!K354,0)</f>
        <v>0</v>
      </c>
      <c r="M34" s="65">
        <f>IFERROR(aurora_data!L354,0)</f>
        <v>0</v>
      </c>
      <c r="N34" s="66">
        <f>IFERROR(aurora_data!M354,0)</f>
        <v>0</v>
      </c>
      <c r="O34" s="59">
        <f>IFERROR(aurora_data!N354,0)</f>
        <v>0</v>
      </c>
      <c r="P34" s="65">
        <f>IFERROR(aurora_data!O354,0)</f>
        <v>0</v>
      </c>
      <c r="Q34" s="65">
        <f>IFERROR(aurora_data!P354,0)</f>
        <v>0</v>
      </c>
      <c r="R34" s="66">
        <f>IFERROR(aurora_data!Q354,0)</f>
        <v>0</v>
      </c>
      <c r="S34" s="65">
        <f>IFERROR(aurora_data!R354,0)</f>
        <v>0</v>
      </c>
      <c r="T34" s="65">
        <f>IFERROR(aurora_data!S354,0)</f>
        <v>0</v>
      </c>
      <c r="U34" s="66">
        <f>IFERROR(aurora_data!T354,0)</f>
        <v>0</v>
      </c>
      <c r="V34" s="67">
        <f>IFERROR(aurora_data!U254,0)</f>
        <v>0</v>
      </c>
      <c r="W34" s="59">
        <f>IFERROR(aurora_data!U354,0)</f>
        <v>0</v>
      </c>
      <c r="X34" s="72">
        <f t="shared" si="2"/>
        <v>0</v>
      </c>
      <c r="Y34" s="2"/>
    </row>
    <row r="35" spans="1:25" customFormat="1" ht="16.5" thickBot="1">
      <c r="A35" s="2"/>
      <c r="B35" s="211"/>
      <c r="C35" s="213"/>
      <c r="D35" s="38" t="s">
        <v>100</v>
      </c>
      <c r="E35" s="60">
        <f>IFERROR(aurora_data!D355,0)</f>
        <v>0</v>
      </c>
      <c r="F35" s="68">
        <f>IFERROR(aurora_data!E355,0)</f>
        <v>0</v>
      </c>
      <c r="G35" s="68">
        <f>IFERROR(aurora_data!F355,0)</f>
        <v>0</v>
      </c>
      <c r="H35" s="68">
        <f>IFERROR(aurora_data!G355,0)</f>
        <v>0</v>
      </c>
      <c r="I35" s="69">
        <f>IFERROR(aurora_data!H355,0)</f>
        <v>0</v>
      </c>
      <c r="J35" s="60">
        <f>IFERROR(aurora_data!I355,0)</f>
        <v>0</v>
      </c>
      <c r="K35" s="68">
        <f>IFERROR(aurora_data!J355,0)</f>
        <v>0</v>
      </c>
      <c r="L35" s="68">
        <f>IFERROR(aurora_data!K355,0)</f>
        <v>0</v>
      </c>
      <c r="M35" s="68">
        <f>IFERROR(aurora_data!L355,0)</f>
        <v>0</v>
      </c>
      <c r="N35" s="69">
        <f>IFERROR(aurora_data!M355,0)</f>
        <v>0</v>
      </c>
      <c r="O35" s="60">
        <f>IFERROR(aurora_data!N355,0)</f>
        <v>0</v>
      </c>
      <c r="P35" s="68">
        <f>IFERROR(aurora_data!O355,0)</f>
        <v>0</v>
      </c>
      <c r="Q35" s="68">
        <f>IFERROR(aurora_data!P355,0)</f>
        <v>0</v>
      </c>
      <c r="R35" s="69">
        <f>IFERROR(aurora_data!Q355,0)</f>
        <v>0</v>
      </c>
      <c r="S35" s="68">
        <f>IFERROR(aurora_data!R355,0)</f>
        <v>0</v>
      </c>
      <c r="T35" s="68">
        <f>IFERROR(aurora_data!S355,0)</f>
        <v>0</v>
      </c>
      <c r="U35" s="74">
        <f>IFERROR(aurora_data!T355,0)</f>
        <v>0</v>
      </c>
      <c r="V35" s="75">
        <f>IFERROR(aurora_data!U255,0)</f>
        <v>0</v>
      </c>
      <c r="W35" s="60">
        <f>IFERROR(aurora_data!U355,0)</f>
        <v>0</v>
      </c>
      <c r="X35" s="73">
        <f t="shared" si="2"/>
        <v>0</v>
      </c>
      <c r="Y35" s="2"/>
    </row>
    <row r="36" spans="1:25" customFormat="1">
      <c r="A36" s="2"/>
      <c r="B36" s="210" t="s">
        <v>94</v>
      </c>
      <c r="C36" s="212" t="str">
        <f>aurora_data!A356</f>
        <v>09.00.00-09.11.30</v>
      </c>
      <c r="D36" s="34" t="s">
        <v>71</v>
      </c>
      <c r="E36" s="39">
        <f>IFERROR(aurora_data!D356,0)</f>
        <v>0</v>
      </c>
      <c r="F36" s="40">
        <f>IFERROR(aurora_data!E356,0)</f>
        <v>0</v>
      </c>
      <c r="G36" s="40">
        <f>IFERROR(aurora_data!F356,0)</f>
        <v>0</v>
      </c>
      <c r="H36" s="40">
        <f>IFERROR(aurora_data!G356,0)</f>
        <v>0</v>
      </c>
      <c r="I36" s="41">
        <f>IFERROR(aurora_data!H356,0)</f>
        <v>0</v>
      </c>
      <c r="J36" s="39">
        <f>IFERROR(aurora_data!I356,0)</f>
        <v>0</v>
      </c>
      <c r="K36" s="40">
        <f>IFERROR(aurora_data!J356,0)</f>
        <v>0</v>
      </c>
      <c r="L36" s="40">
        <f>IFERROR(aurora_data!K356,0)</f>
        <v>0</v>
      </c>
      <c r="M36" s="40">
        <f>IFERROR(aurora_data!L356,0)</f>
        <v>0</v>
      </c>
      <c r="N36" s="41">
        <f>IFERROR(aurora_data!M356,0)</f>
        <v>0</v>
      </c>
      <c r="O36" s="39">
        <f>IFERROR(aurora_data!N356,0)</f>
        <v>0</v>
      </c>
      <c r="P36" s="40">
        <f>IFERROR(aurora_data!O356,0)</f>
        <v>0</v>
      </c>
      <c r="Q36" s="40">
        <f>IFERROR(aurora_data!P356,0)</f>
        <v>0</v>
      </c>
      <c r="R36" s="41">
        <f>IFERROR(aurora_data!Q356,0)</f>
        <v>0</v>
      </c>
      <c r="S36" s="40">
        <f>IFERROR(aurora_data!R356,0)</f>
        <v>0</v>
      </c>
      <c r="T36" s="40">
        <f>IFERROR(aurora_data!S356,0)</f>
        <v>0</v>
      </c>
      <c r="U36" s="76">
        <f>IFERROR(aurora_data!T356,0)</f>
        <v>0</v>
      </c>
      <c r="V36" s="61">
        <f>IFERROR(aurora_data!U256,0)</f>
        <v>3</v>
      </c>
      <c r="W36" s="39">
        <f>IFERROR(aurora_data!U356,0)</f>
        <v>1</v>
      </c>
      <c r="X36" s="70">
        <f>IFERROR(W36/$W$12,0)</f>
        <v>0.5</v>
      </c>
      <c r="Y36" s="2"/>
    </row>
    <row r="37" spans="1:25" customFormat="1">
      <c r="A37" s="2"/>
      <c r="B37" s="211"/>
      <c r="C37" s="213"/>
      <c r="D37" s="35" t="s">
        <v>96</v>
      </c>
      <c r="E37" s="110">
        <f>IFERROR(aurora_data!D357,0)</f>
        <v>0</v>
      </c>
      <c r="F37" s="62">
        <f>IFERROR(aurora_data!E357,0)</f>
        <v>0</v>
      </c>
      <c r="G37" s="62">
        <f>IFERROR(aurora_data!F357,0)</f>
        <v>0</v>
      </c>
      <c r="H37" s="62">
        <f>IFERROR(aurora_data!G357,0)</f>
        <v>0</v>
      </c>
      <c r="I37" s="63">
        <f>IFERROR(aurora_data!H357,0)</f>
        <v>0</v>
      </c>
      <c r="J37" s="36">
        <f>IFERROR(aurora_data!I357,0)</f>
        <v>0</v>
      </c>
      <c r="K37" s="62">
        <f>IFERROR(aurora_data!J357,0)</f>
        <v>0</v>
      </c>
      <c r="L37" s="62">
        <f>IFERROR(aurora_data!K357,0)</f>
        <v>0</v>
      </c>
      <c r="M37" s="62">
        <f>IFERROR(aurora_data!L357,0)</f>
        <v>0</v>
      </c>
      <c r="N37" s="63">
        <f>IFERROR(aurora_data!M357,0)</f>
        <v>0</v>
      </c>
      <c r="O37" s="36">
        <f>IFERROR(aurora_data!N357,0)</f>
        <v>0</v>
      </c>
      <c r="P37" s="62">
        <f>IFERROR(aurora_data!O357,0)</f>
        <v>0</v>
      </c>
      <c r="Q37" s="62">
        <f>IFERROR(aurora_data!P357,0)</f>
        <v>0</v>
      </c>
      <c r="R37" s="63">
        <f>IFERROR(aurora_data!Q357,0)</f>
        <v>0</v>
      </c>
      <c r="S37" s="62">
        <f>IFERROR(aurora_data!R357,0)</f>
        <v>0</v>
      </c>
      <c r="T37" s="62">
        <f>IFERROR(aurora_data!S357,0)</f>
        <v>0</v>
      </c>
      <c r="U37" s="63">
        <f>IFERROR(aurora_data!T357,0)</f>
        <v>0</v>
      </c>
      <c r="V37" s="64">
        <f>IFERROR(aurora_data!U257,0)</f>
        <v>0</v>
      </c>
      <c r="W37" s="36">
        <f>IFERROR(aurora_data!U357,0)</f>
        <v>0</v>
      </c>
      <c r="X37" s="71">
        <f t="shared" ref="X37:X43" si="3">IFERROR(W37/$W$12,0)</f>
        <v>0</v>
      </c>
      <c r="Y37" s="2"/>
    </row>
    <row r="38" spans="1:25" customFormat="1">
      <c r="A38" s="2"/>
      <c r="B38" s="211"/>
      <c r="C38" s="213"/>
      <c r="D38" s="35" t="s">
        <v>60</v>
      </c>
      <c r="E38" s="110">
        <f>IFERROR(aurora_data!D358,0)</f>
        <v>0</v>
      </c>
      <c r="F38" s="62">
        <f>IFERROR(aurora_data!E358,0)</f>
        <v>0</v>
      </c>
      <c r="G38" s="62">
        <f>IFERROR(aurora_data!F358,0)</f>
        <v>0</v>
      </c>
      <c r="H38" s="62">
        <f>IFERROR(aurora_data!G358,0)</f>
        <v>0</v>
      </c>
      <c r="I38" s="63">
        <f>IFERROR(aurora_data!H358,0)</f>
        <v>0</v>
      </c>
      <c r="J38" s="36">
        <f>IFERROR(aurora_data!I358,0)</f>
        <v>0</v>
      </c>
      <c r="K38" s="62">
        <f>IFERROR(aurora_data!J358,0)</f>
        <v>0</v>
      </c>
      <c r="L38" s="62">
        <f>IFERROR(aurora_data!K358,0)</f>
        <v>0</v>
      </c>
      <c r="M38" s="62">
        <f>IFERROR(aurora_data!L358,0)</f>
        <v>0</v>
      </c>
      <c r="N38" s="63">
        <f>IFERROR(aurora_data!M358,0)</f>
        <v>0</v>
      </c>
      <c r="O38" s="36">
        <f>IFERROR(aurora_data!N358,0)</f>
        <v>0</v>
      </c>
      <c r="P38" s="62">
        <f>IFERROR(aurora_data!O358,0)</f>
        <v>0</v>
      </c>
      <c r="Q38" s="62">
        <f>IFERROR(aurora_data!P358,0)</f>
        <v>0</v>
      </c>
      <c r="R38" s="63">
        <f>IFERROR(aurora_data!Q358,0)</f>
        <v>0</v>
      </c>
      <c r="S38" s="62">
        <f>IFERROR(aurora_data!R358,0)</f>
        <v>0</v>
      </c>
      <c r="T38" s="62">
        <f>IFERROR(aurora_data!S358,0)</f>
        <v>0</v>
      </c>
      <c r="U38" s="63">
        <f>IFERROR(aurora_data!T358,0)</f>
        <v>0</v>
      </c>
      <c r="V38" s="64">
        <f>IFERROR(aurora_data!U258,0)</f>
        <v>0</v>
      </c>
      <c r="W38" s="36">
        <f>IFERROR(aurora_data!U358,0)</f>
        <v>0</v>
      </c>
      <c r="X38" s="71">
        <f t="shared" si="3"/>
        <v>0</v>
      </c>
      <c r="Y38" s="2"/>
    </row>
    <row r="39" spans="1:25" customFormat="1">
      <c r="A39" s="2"/>
      <c r="B39" s="211"/>
      <c r="C39" s="213"/>
      <c r="D39" s="35" t="s">
        <v>97</v>
      </c>
      <c r="E39" s="36">
        <f>IFERROR(aurora_data!D359,0)</f>
        <v>0</v>
      </c>
      <c r="F39" s="62">
        <f>IFERROR(aurora_data!E359,0)</f>
        <v>0</v>
      </c>
      <c r="G39" s="62">
        <f>IFERROR(aurora_data!F359,0)</f>
        <v>0</v>
      </c>
      <c r="H39" s="62">
        <f>IFERROR(aurora_data!G359,0)</f>
        <v>0</v>
      </c>
      <c r="I39" s="63">
        <f>IFERROR(aurora_data!H359,0)</f>
        <v>0</v>
      </c>
      <c r="J39" s="36">
        <f>IFERROR(aurora_data!I359,0)</f>
        <v>0</v>
      </c>
      <c r="K39" s="62">
        <f>IFERROR(aurora_data!J359,0)</f>
        <v>0</v>
      </c>
      <c r="L39" s="62">
        <f>IFERROR(aurora_data!K359,0)</f>
        <v>0</v>
      </c>
      <c r="M39" s="62">
        <f>IFERROR(aurora_data!L359,0)</f>
        <v>0</v>
      </c>
      <c r="N39" s="63">
        <f>IFERROR(aurora_data!M359,0)</f>
        <v>0</v>
      </c>
      <c r="O39" s="36">
        <f>IFERROR(aurora_data!N359,0)</f>
        <v>0</v>
      </c>
      <c r="P39" s="62">
        <f>IFERROR(aurora_data!O359,0)</f>
        <v>0</v>
      </c>
      <c r="Q39" s="62">
        <f>IFERROR(aurora_data!P359,0)</f>
        <v>0</v>
      </c>
      <c r="R39" s="63">
        <f>IFERROR(aurora_data!Q359,0)</f>
        <v>0</v>
      </c>
      <c r="S39" s="62">
        <f>IFERROR(aurora_data!R359,0)</f>
        <v>0</v>
      </c>
      <c r="T39" s="62">
        <f>IFERROR(aurora_data!S359,0)</f>
        <v>0</v>
      </c>
      <c r="U39" s="63">
        <f>IFERROR(aurora_data!T359,0)</f>
        <v>0</v>
      </c>
      <c r="V39" s="64">
        <f>IFERROR(aurora_data!U259,0)</f>
        <v>0</v>
      </c>
      <c r="W39" s="36">
        <f>IFERROR(aurora_data!U359,0)</f>
        <v>0</v>
      </c>
      <c r="X39" s="71">
        <f t="shared" si="3"/>
        <v>0</v>
      </c>
      <c r="Y39" s="2"/>
    </row>
    <row r="40" spans="1:25" customFormat="1">
      <c r="A40" s="2"/>
      <c r="B40" s="211"/>
      <c r="C40" s="213"/>
      <c r="D40" s="35" t="s">
        <v>98</v>
      </c>
      <c r="E40" s="36">
        <f>IFERROR(aurora_data!D360,0)</f>
        <v>0</v>
      </c>
      <c r="F40" s="62">
        <f>IFERROR(aurora_data!E360,0)</f>
        <v>0</v>
      </c>
      <c r="G40" s="62">
        <f>IFERROR(aurora_data!F360,0)</f>
        <v>0</v>
      </c>
      <c r="H40" s="62">
        <f>IFERROR(aurora_data!G360,0)</f>
        <v>0</v>
      </c>
      <c r="I40" s="63">
        <f>IFERROR(aurora_data!H360,0)</f>
        <v>0</v>
      </c>
      <c r="J40" s="36">
        <f>IFERROR(aurora_data!I360,0)</f>
        <v>0</v>
      </c>
      <c r="K40" s="62">
        <f>IFERROR(aurora_data!J360,0)</f>
        <v>0</v>
      </c>
      <c r="L40" s="62">
        <f>IFERROR(aurora_data!K360,0)</f>
        <v>0</v>
      </c>
      <c r="M40" s="62">
        <f>IFERROR(aurora_data!L360,0)</f>
        <v>0</v>
      </c>
      <c r="N40" s="63">
        <f>IFERROR(aurora_data!M360,0)</f>
        <v>0</v>
      </c>
      <c r="O40" s="36">
        <f>IFERROR(aurora_data!N360,0)</f>
        <v>0</v>
      </c>
      <c r="P40" s="62">
        <f>IFERROR(aurora_data!O360,0)</f>
        <v>0</v>
      </c>
      <c r="Q40" s="62">
        <f>IFERROR(aurora_data!P360,0)</f>
        <v>0</v>
      </c>
      <c r="R40" s="63">
        <f>IFERROR(aurora_data!Q360,0)</f>
        <v>0</v>
      </c>
      <c r="S40" s="62">
        <f>IFERROR(aurora_data!R360,0)</f>
        <v>0</v>
      </c>
      <c r="T40" s="62">
        <f>IFERROR(aurora_data!S360,0)</f>
        <v>0</v>
      </c>
      <c r="U40" s="63">
        <f>IFERROR(aurora_data!T360,0)</f>
        <v>0</v>
      </c>
      <c r="V40" s="64">
        <f>IFERROR(aurora_data!U260,0)</f>
        <v>0</v>
      </c>
      <c r="W40" s="36">
        <f>IFERROR(aurora_data!U360,0)</f>
        <v>0</v>
      </c>
      <c r="X40" s="71">
        <f t="shared" si="3"/>
        <v>0</v>
      </c>
      <c r="Y40" s="2"/>
    </row>
    <row r="41" spans="1:25" customFormat="1" ht="16.5" thickBot="1">
      <c r="A41" s="2"/>
      <c r="B41" s="211"/>
      <c r="C41" s="213"/>
      <c r="D41" s="35" t="s">
        <v>99</v>
      </c>
      <c r="E41" s="36">
        <f>IFERROR(aurora_data!D361,0)</f>
        <v>0</v>
      </c>
      <c r="F41" s="62">
        <f>IFERROR(aurora_data!E361,0)</f>
        <v>0</v>
      </c>
      <c r="G41" s="62">
        <f>IFERROR(aurora_data!F361,0)</f>
        <v>0</v>
      </c>
      <c r="H41" s="62">
        <f>IFERROR(aurora_data!G361,0)</f>
        <v>0</v>
      </c>
      <c r="I41" s="63">
        <f>IFERROR(aurora_data!H361,0)</f>
        <v>0</v>
      </c>
      <c r="J41" s="36">
        <f>IFERROR(aurora_data!I361,0)</f>
        <v>0</v>
      </c>
      <c r="K41" s="62">
        <f>IFERROR(aurora_data!J361,0)</f>
        <v>0</v>
      </c>
      <c r="L41" s="62">
        <f>IFERROR(aurora_data!K361,0)</f>
        <v>0</v>
      </c>
      <c r="M41" s="62">
        <f>IFERROR(aurora_data!L361,0)</f>
        <v>0</v>
      </c>
      <c r="N41" s="63">
        <f>IFERROR(aurora_data!M361,0)</f>
        <v>0</v>
      </c>
      <c r="O41" s="36">
        <f>IFERROR(aurora_data!N361,0)</f>
        <v>0</v>
      </c>
      <c r="P41" s="62">
        <f>IFERROR(aurora_data!O361,0)</f>
        <v>0</v>
      </c>
      <c r="Q41" s="62">
        <f>IFERROR(aurora_data!P361,0)</f>
        <v>0</v>
      </c>
      <c r="R41" s="63">
        <f>IFERROR(aurora_data!Q361,0)</f>
        <v>0</v>
      </c>
      <c r="S41" s="62">
        <f>IFERROR(aurora_data!R361,0)</f>
        <v>0</v>
      </c>
      <c r="T41" s="62">
        <f>IFERROR(aurora_data!S361,0)</f>
        <v>0</v>
      </c>
      <c r="U41" s="63">
        <f>IFERROR(aurora_data!T361,0)</f>
        <v>0</v>
      </c>
      <c r="V41" s="64">
        <f>IFERROR(aurora_data!U261,0)</f>
        <v>0</v>
      </c>
      <c r="W41" s="36">
        <f>IFERROR(aurora_data!U361,0)</f>
        <v>0</v>
      </c>
      <c r="X41" s="71">
        <f t="shared" si="3"/>
        <v>0</v>
      </c>
      <c r="Y41" s="2"/>
    </row>
    <row r="42" spans="1:25" customFormat="1" ht="16.5" thickBot="1">
      <c r="A42" s="2"/>
      <c r="B42" s="211"/>
      <c r="C42" s="213"/>
      <c r="D42" s="37" t="s">
        <v>64</v>
      </c>
      <c r="E42" s="59">
        <f>IFERROR(aurora_data!D362,0)</f>
        <v>0</v>
      </c>
      <c r="F42" s="65">
        <f>IFERROR(aurora_data!E362,0)</f>
        <v>0</v>
      </c>
      <c r="G42" s="65">
        <f>IFERROR(aurora_data!F362,0)</f>
        <v>0</v>
      </c>
      <c r="H42" s="65">
        <f>IFERROR(aurora_data!G362,0)</f>
        <v>0</v>
      </c>
      <c r="I42" s="66">
        <f>IFERROR(aurora_data!H362,0)</f>
        <v>0</v>
      </c>
      <c r="J42" s="59">
        <f>IFERROR(aurora_data!I362,0)</f>
        <v>0</v>
      </c>
      <c r="K42" s="65">
        <f>IFERROR(aurora_data!J362,0)</f>
        <v>0</v>
      </c>
      <c r="L42" s="65">
        <f>IFERROR(aurora_data!K362,0)</f>
        <v>0</v>
      </c>
      <c r="M42" s="65">
        <f>IFERROR(aurora_data!L362,0)</f>
        <v>0</v>
      </c>
      <c r="N42" s="66">
        <f>IFERROR(aurora_data!M362,0)</f>
        <v>0</v>
      </c>
      <c r="O42" s="59">
        <f>IFERROR(aurora_data!N362,0)</f>
        <v>0</v>
      </c>
      <c r="P42" s="65">
        <f>IFERROR(aurora_data!O362,0)</f>
        <v>0</v>
      </c>
      <c r="Q42" s="65">
        <f>IFERROR(aurora_data!P362,0)</f>
        <v>0</v>
      </c>
      <c r="R42" s="66">
        <f>IFERROR(aurora_data!Q362,0)</f>
        <v>0</v>
      </c>
      <c r="S42" s="65">
        <f>IFERROR(aurora_data!R362,0)</f>
        <v>0</v>
      </c>
      <c r="T42" s="65">
        <f>IFERROR(aurora_data!S362,0)</f>
        <v>0</v>
      </c>
      <c r="U42" s="66">
        <f>IFERROR(aurora_data!T362,0)</f>
        <v>0</v>
      </c>
      <c r="V42" s="67">
        <f>IFERROR(aurora_data!U262,0)</f>
        <v>0</v>
      </c>
      <c r="W42" s="59">
        <f>IFERROR(aurora_data!U362,0)</f>
        <v>0</v>
      </c>
      <c r="X42" s="72">
        <f t="shared" si="3"/>
        <v>0</v>
      </c>
      <c r="Y42" s="2"/>
    </row>
    <row r="43" spans="1:25" customFormat="1" ht="16.5" thickBot="1">
      <c r="A43" s="2"/>
      <c r="B43" s="211"/>
      <c r="C43" s="213"/>
      <c r="D43" s="38" t="s">
        <v>100</v>
      </c>
      <c r="E43" s="60">
        <f>IFERROR(aurora_data!D363,0)</f>
        <v>0</v>
      </c>
      <c r="F43" s="68">
        <f>IFERROR(aurora_data!E363,0)</f>
        <v>0</v>
      </c>
      <c r="G43" s="68">
        <f>IFERROR(aurora_data!F363,0)</f>
        <v>0</v>
      </c>
      <c r="H43" s="68">
        <f>IFERROR(aurora_data!G363,0)</f>
        <v>0</v>
      </c>
      <c r="I43" s="69">
        <f>IFERROR(aurora_data!H363,0)</f>
        <v>0</v>
      </c>
      <c r="J43" s="60">
        <f>IFERROR(aurora_data!I363,0)</f>
        <v>0</v>
      </c>
      <c r="K43" s="68">
        <f>IFERROR(aurora_data!J363,0)</f>
        <v>0</v>
      </c>
      <c r="L43" s="68">
        <f>IFERROR(aurora_data!K363,0)</f>
        <v>0</v>
      </c>
      <c r="M43" s="68">
        <f>IFERROR(aurora_data!L363,0)</f>
        <v>0</v>
      </c>
      <c r="N43" s="69">
        <f>IFERROR(aurora_data!M363,0)</f>
        <v>0</v>
      </c>
      <c r="O43" s="60">
        <f>IFERROR(aurora_data!N363,0)</f>
        <v>0</v>
      </c>
      <c r="P43" s="68">
        <f>IFERROR(aurora_data!O363,0)</f>
        <v>0</v>
      </c>
      <c r="Q43" s="68">
        <f>IFERROR(aurora_data!P363,0)</f>
        <v>0</v>
      </c>
      <c r="R43" s="69">
        <f>IFERROR(aurora_data!Q363,0)</f>
        <v>0</v>
      </c>
      <c r="S43" s="68">
        <f>IFERROR(aurora_data!R363,0)</f>
        <v>0</v>
      </c>
      <c r="T43" s="68">
        <f>IFERROR(aurora_data!S363,0)</f>
        <v>0</v>
      </c>
      <c r="U43" s="74">
        <f>IFERROR(aurora_data!T363,0)</f>
        <v>0</v>
      </c>
      <c r="V43" s="75">
        <f>IFERROR(aurora_data!U263,0)</f>
        <v>0</v>
      </c>
      <c r="W43" s="60">
        <f>IFERROR(aurora_data!U363,0)</f>
        <v>0</v>
      </c>
      <c r="X43" s="73">
        <f t="shared" si="3"/>
        <v>0</v>
      </c>
      <c r="Y43" s="2"/>
    </row>
    <row r="44" spans="1:25" customFormat="1" ht="15.75" customHeight="1">
      <c r="A44" s="2"/>
      <c r="B44" s="206" t="s">
        <v>94</v>
      </c>
      <c r="C44" s="208" t="s">
        <v>55</v>
      </c>
      <c r="D44" s="34" t="s">
        <v>71</v>
      </c>
      <c r="E44" s="39">
        <f>IFERROR(aurora_data!D364,0)</f>
        <v>0</v>
      </c>
      <c r="F44" s="40">
        <f>IFERROR(aurora_data!E364,0)</f>
        <v>0</v>
      </c>
      <c r="G44" s="40">
        <f>IFERROR(aurora_data!F364,0)</f>
        <v>0</v>
      </c>
      <c r="H44" s="40">
        <f>IFERROR(aurora_data!G364,0)</f>
        <v>0</v>
      </c>
      <c r="I44" s="41">
        <f>IFERROR(aurora_data!H364,0)</f>
        <v>0</v>
      </c>
      <c r="J44" s="39">
        <f>IFERROR(aurora_data!I364,0)</f>
        <v>0</v>
      </c>
      <c r="K44" s="40">
        <f>IFERROR(aurora_data!J364,0)</f>
        <v>0</v>
      </c>
      <c r="L44" s="40">
        <f>IFERROR(aurora_data!K364,0)</f>
        <v>0</v>
      </c>
      <c r="M44" s="40">
        <f>IFERROR(aurora_data!L364,0)</f>
        <v>0</v>
      </c>
      <c r="N44" s="41">
        <f>IFERROR(aurora_data!M364,0)</f>
        <v>0</v>
      </c>
      <c r="O44" s="39">
        <f>IFERROR(aurora_data!N364,0)</f>
        <v>0</v>
      </c>
      <c r="P44" s="40">
        <f>IFERROR(aurora_data!O364,0)</f>
        <v>0</v>
      </c>
      <c r="Q44" s="40">
        <f>IFERROR(aurora_data!P364,0)</f>
        <v>0</v>
      </c>
      <c r="R44" s="41">
        <f>IFERROR(aurora_data!Q364,0)</f>
        <v>0</v>
      </c>
      <c r="S44" s="40">
        <f>IFERROR(aurora_data!R364,0)</f>
        <v>0</v>
      </c>
      <c r="T44" s="40">
        <f>IFERROR(aurora_data!S364,0)</f>
        <v>0</v>
      </c>
      <c r="U44" s="41">
        <f>IFERROR(aurora_data!T364,0)</f>
        <v>0</v>
      </c>
      <c r="V44" s="61">
        <f>IFERROR(aurora_data!U264,0)</f>
        <v>22</v>
      </c>
      <c r="W44" s="39">
        <f>IFERROR(aurora_data!U364,0)</f>
        <v>6</v>
      </c>
      <c r="X44" s="70">
        <f>IFERROR(W44/$W$44,0)</f>
        <v>1</v>
      </c>
      <c r="Y44" s="2"/>
    </row>
    <row r="45" spans="1:25" customFormat="1" ht="15.75" customHeight="1">
      <c r="A45" s="2"/>
      <c r="B45" s="207"/>
      <c r="C45" s="209"/>
      <c r="D45" s="35" t="s">
        <v>96</v>
      </c>
      <c r="E45" s="36">
        <f>IFERROR(aurora_data!D365,0)</f>
        <v>0</v>
      </c>
      <c r="F45" s="62">
        <f>IFERROR(aurora_data!E365,0)</f>
        <v>0</v>
      </c>
      <c r="G45" s="62">
        <f>IFERROR(aurora_data!F365,0)</f>
        <v>0</v>
      </c>
      <c r="H45" s="62">
        <f>IFERROR(aurora_data!G365,0)</f>
        <v>0</v>
      </c>
      <c r="I45" s="63">
        <f>IFERROR(aurora_data!H365,0)</f>
        <v>0</v>
      </c>
      <c r="J45" s="36">
        <f>IFERROR(aurora_data!I365,0)</f>
        <v>0</v>
      </c>
      <c r="K45" s="62">
        <f>IFERROR(aurora_data!J365,0)</f>
        <v>0</v>
      </c>
      <c r="L45" s="62">
        <f>IFERROR(aurora_data!K365,0)</f>
        <v>0</v>
      </c>
      <c r="M45" s="62">
        <f>IFERROR(aurora_data!L365,0)</f>
        <v>0</v>
      </c>
      <c r="N45" s="63">
        <f>IFERROR(aurora_data!M365,0)</f>
        <v>0</v>
      </c>
      <c r="O45" s="36">
        <f>IFERROR(aurora_data!N365,0)</f>
        <v>0</v>
      </c>
      <c r="P45" s="62">
        <f>IFERROR(aurora_data!O365,0)</f>
        <v>0</v>
      </c>
      <c r="Q45" s="62">
        <f>IFERROR(aurora_data!P365,0)</f>
        <v>0</v>
      </c>
      <c r="R45" s="63">
        <f>IFERROR(aurora_data!Q365,0)</f>
        <v>0</v>
      </c>
      <c r="S45" s="62">
        <f>IFERROR(aurora_data!R365,0)</f>
        <v>0</v>
      </c>
      <c r="T45" s="62">
        <f>IFERROR(aurora_data!S365,0)</f>
        <v>0</v>
      </c>
      <c r="U45" s="63">
        <f>IFERROR(aurora_data!T365,0)</f>
        <v>0</v>
      </c>
      <c r="V45" s="64">
        <f>IFERROR(aurora_data!U265,0)</f>
        <v>1</v>
      </c>
      <c r="W45" s="36">
        <f>IFERROR(aurora_data!U365,0)</f>
        <v>0</v>
      </c>
      <c r="X45" s="71">
        <f t="shared" ref="X45:X51" si="4">IFERROR(W45/$W$44,0)</f>
        <v>0</v>
      </c>
      <c r="Y45" s="2"/>
    </row>
    <row r="46" spans="1:25" customFormat="1" ht="15.75" customHeight="1">
      <c r="A46" s="2"/>
      <c r="B46" s="207"/>
      <c r="C46" s="209"/>
      <c r="D46" s="35" t="s">
        <v>60</v>
      </c>
      <c r="E46" s="36">
        <f>IFERROR(aurora_data!D366,0)</f>
        <v>0</v>
      </c>
      <c r="F46" s="62">
        <f>IFERROR(aurora_data!E366,0)</f>
        <v>0</v>
      </c>
      <c r="G46" s="62">
        <f>IFERROR(aurora_data!F366,0)</f>
        <v>0</v>
      </c>
      <c r="H46" s="62">
        <f>IFERROR(aurora_data!G366,0)</f>
        <v>0</v>
      </c>
      <c r="I46" s="63">
        <f>IFERROR(aurora_data!H366,0)</f>
        <v>0</v>
      </c>
      <c r="J46" s="36">
        <f>IFERROR(aurora_data!I366,0)</f>
        <v>0</v>
      </c>
      <c r="K46" s="62">
        <f>IFERROR(aurora_data!J366,0)</f>
        <v>0</v>
      </c>
      <c r="L46" s="62">
        <f>IFERROR(aurora_data!K366,0)</f>
        <v>0</v>
      </c>
      <c r="M46" s="62">
        <f>IFERROR(aurora_data!L366,0)</f>
        <v>0</v>
      </c>
      <c r="N46" s="63">
        <f>IFERROR(aurora_data!M366,0)</f>
        <v>0</v>
      </c>
      <c r="O46" s="36">
        <f>IFERROR(aurora_data!N366,0)</f>
        <v>0</v>
      </c>
      <c r="P46" s="62">
        <f>IFERROR(aurora_data!O366,0)</f>
        <v>0</v>
      </c>
      <c r="Q46" s="62">
        <f>IFERROR(aurora_data!P366,0)</f>
        <v>0</v>
      </c>
      <c r="R46" s="63">
        <f>IFERROR(aurora_data!Q366,0)</f>
        <v>0</v>
      </c>
      <c r="S46" s="62">
        <f>IFERROR(aurora_data!R366,0)</f>
        <v>0</v>
      </c>
      <c r="T46" s="62">
        <f>IFERROR(aurora_data!S366,0)</f>
        <v>0</v>
      </c>
      <c r="U46" s="63">
        <f>IFERROR(aurora_data!T366,0)</f>
        <v>0</v>
      </c>
      <c r="V46" s="64">
        <f>IFERROR(aurora_data!U266,0)</f>
        <v>0</v>
      </c>
      <c r="W46" s="36">
        <f>IFERROR(aurora_data!U366,0)</f>
        <v>0</v>
      </c>
      <c r="X46" s="71">
        <f t="shared" si="4"/>
        <v>0</v>
      </c>
      <c r="Y46" s="2"/>
    </row>
    <row r="47" spans="1:25" customFormat="1" ht="15.75" customHeight="1">
      <c r="A47" s="2"/>
      <c r="B47" s="207"/>
      <c r="C47" s="209"/>
      <c r="D47" s="35" t="s">
        <v>97</v>
      </c>
      <c r="E47" s="36">
        <f>IFERROR(aurora_data!D367,0)</f>
        <v>0</v>
      </c>
      <c r="F47" s="62">
        <f>IFERROR(aurora_data!E367,0)</f>
        <v>0</v>
      </c>
      <c r="G47" s="62">
        <f>IFERROR(aurora_data!F367,0)</f>
        <v>0</v>
      </c>
      <c r="H47" s="62">
        <f>IFERROR(aurora_data!G367,0)</f>
        <v>0</v>
      </c>
      <c r="I47" s="63">
        <f>IFERROR(aurora_data!H367,0)</f>
        <v>0</v>
      </c>
      <c r="J47" s="36">
        <f>IFERROR(aurora_data!I367,0)</f>
        <v>0</v>
      </c>
      <c r="K47" s="62">
        <f>IFERROR(aurora_data!J367,0)</f>
        <v>0</v>
      </c>
      <c r="L47" s="62">
        <f>IFERROR(aurora_data!K367,0)</f>
        <v>0</v>
      </c>
      <c r="M47" s="62">
        <f>IFERROR(aurora_data!L367,0)</f>
        <v>0</v>
      </c>
      <c r="N47" s="63">
        <f>IFERROR(aurora_data!M367,0)</f>
        <v>0</v>
      </c>
      <c r="O47" s="36">
        <f>IFERROR(aurora_data!N367,0)</f>
        <v>0</v>
      </c>
      <c r="P47" s="62">
        <f>IFERROR(aurora_data!O367,0)</f>
        <v>0</v>
      </c>
      <c r="Q47" s="62">
        <f>IFERROR(aurora_data!P367,0)</f>
        <v>0</v>
      </c>
      <c r="R47" s="63">
        <f>IFERROR(aurora_data!Q367,0)</f>
        <v>0</v>
      </c>
      <c r="S47" s="62">
        <f>IFERROR(aurora_data!R367,0)</f>
        <v>0</v>
      </c>
      <c r="T47" s="62">
        <f>IFERROR(aurora_data!S367,0)</f>
        <v>0</v>
      </c>
      <c r="U47" s="63">
        <f>IFERROR(aurora_data!T367,0)</f>
        <v>0</v>
      </c>
      <c r="V47" s="64">
        <f>IFERROR(aurora_data!U267,0)</f>
        <v>0</v>
      </c>
      <c r="W47" s="36">
        <f>IFERROR(aurora_data!U367,0)</f>
        <v>0</v>
      </c>
      <c r="X47" s="71">
        <f t="shared" si="4"/>
        <v>0</v>
      </c>
      <c r="Y47" s="2"/>
    </row>
    <row r="48" spans="1:25" customFormat="1" ht="16.5" customHeight="1">
      <c r="A48" s="2"/>
      <c r="B48" s="207"/>
      <c r="C48" s="209"/>
      <c r="D48" s="35" t="s">
        <v>98</v>
      </c>
      <c r="E48" s="36">
        <f>IFERROR(aurora_data!D368,0)</f>
        <v>0</v>
      </c>
      <c r="F48" s="62">
        <f>IFERROR(aurora_data!E368,0)</f>
        <v>0</v>
      </c>
      <c r="G48" s="62">
        <f>IFERROR(aurora_data!F368,0)</f>
        <v>0</v>
      </c>
      <c r="H48" s="62">
        <f>IFERROR(aurora_data!G368,0)</f>
        <v>0</v>
      </c>
      <c r="I48" s="63">
        <f>IFERROR(aurora_data!H368,0)</f>
        <v>0</v>
      </c>
      <c r="J48" s="36">
        <f>IFERROR(aurora_data!I368,0)</f>
        <v>0</v>
      </c>
      <c r="K48" s="62">
        <f>IFERROR(aurora_data!J368,0)</f>
        <v>0</v>
      </c>
      <c r="L48" s="62">
        <f>IFERROR(aurora_data!K368,0)</f>
        <v>0</v>
      </c>
      <c r="M48" s="62">
        <f>IFERROR(aurora_data!L368,0)</f>
        <v>0</v>
      </c>
      <c r="N48" s="63">
        <f>IFERROR(aurora_data!M368,0)</f>
        <v>0</v>
      </c>
      <c r="O48" s="36">
        <f>IFERROR(aurora_data!N368,0)</f>
        <v>0</v>
      </c>
      <c r="P48" s="62">
        <f>IFERROR(aurora_data!O368,0)</f>
        <v>0</v>
      </c>
      <c r="Q48" s="62">
        <f>IFERROR(aurora_data!P368,0)</f>
        <v>0</v>
      </c>
      <c r="R48" s="63">
        <f>IFERROR(aurora_data!Q368,0)</f>
        <v>0</v>
      </c>
      <c r="S48" s="62">
        <f>IFERROR(aurora_data!R368,0)</f>
        <v>0</v>
      </c>
      <c r="T48" s="62">
        <f>IFERROR(aurora_data!S368,0)</f>
        <v>0</v>
      </c>
      <c r="U48" s="63">
        <f>IFERROR(aurora_data!T368,0)</f>
        <v>0</v>
      </c>
      <c r="V48" s="64">
        <f>IFERROR(aurora_data!U268,0)</f>
        <v>0</v>
      </c>
      <c r="W48" s="36">
        <f>IFERROR(aurora_data!U368,0)</f>
        <v>0</v>
      </c>
      <c r="X48" s="71">
        <f t="shared" si="4"/>
        <v>0</v>
      </c>
      <c r="Y48" s="2"/>
    </row>
    <row r="49" spans="1:25" customFormat="1" ht="16.5" customHeight="1" thickBot="1">
      <c r="A49" s="2"/>
      <c r="B49" s="207"/>
      <c r="C49" s="209"/>
      <c r="D49" s="35" t="s">
        <v>99</v>
      </c>
      <c r="E49" s="36">
        <f>IFERROR(aurora_data!D369,0)</f>
        <v>0</v>
      </c>
      <c r="F49" s="62">
        <f>IFERROR(aurora_data!E369,0)</f>
        <v>0</v>
      </c>
      <c r="G49" s="62">
        <f>IFERROR(aurora_data!F369,0)</f>
        <v>0</v>
      </c>
      <c r="H49" s="62">
        <f>IFERROR(aurora_data!G369,0)</f>
        <v>0</v>
      </c>
      <c r="I49" s="63">
        <f>IFERROR(aurora_data!H369,0)</f>
        <v>0</v>
      </c>
      <c r="J49" s="36">
        <f>IFERROR(aurora_data!I369,0)</f>
        <v>0</v>
      </c>
      <c r="K49" s="62">
        <f>IFERROR(aurora_data!J369,0)</f>
        <v>0</v>
      </c>
      <c r="L49" s="62">
        <f>IFERROR(aurora_data!K369,0)</f>
        <v>0</v>
      </c>
      <c r="M49" s="62">
        <f>IFERROR(aurora_data!L369,0)</f>
        <v>0</v>
      </c>
      <c r="N49" s="63">
        <f>IFERROR(aurora_data!M369,0)</f>
        <v>0</v>
      </c>
      <c r="O49" s="36">
        <f>IFERROR(aurora_data!N369,0)</f>
        <v>0</v>
      </c>
      <c r="P49" s="62">
        <f>IFERROR(aurora_data!O369,0)</f>
        <v>0</v>
      </c>
      <c r="Q49" s="62">
        <f>IFERROR(aurora_data!P369,0)</f>
        <v>0</v>
      </c>
      <c r="R49" s="63">
        <f>IFERROR(aurora_data!Q369,0)</f>
        <v>0</v>
      </c>
      <c r="S49" s="62">
        <f>IFERROR(aurora_data!R369,0)</f>
        <v>0</v>
      </c>
      <c r="T49" s="62">
        <f>IFERROR(aurora_data!S369,0)</f>
        <v>0</v>
      </c>
      <c r="U49" s="63">
        <f>IFERROR(aurora_data!T369,0)</f>
        <v>0</v>
      </c>
      <c r="V49" s="64">
        <f>IFERROR(aurora_data!U269,0)</f>
        <v>0</v>
      </c>
      <c r="W49" s="36">
        <f>IFERROR(aurora_data!U369,0)</f>
        <v>0</v>
      </c>
      <c r="X49" s="71">
        <f t="shared" si="4"/>
        <v>0</v>
      </c>
      <c r="Y49" s="2"/>
    </row>
    <row r="50" spans="1:25" customFormat="1" ht="16.5" customHeight="1" thickBot="1">
      <c r="A50" s="2"/>
      <c r="B50" s="207"/>
      <c r="C50" s="209"/>
      <c r="D50" s="37" t="s">
        <v>64</v>
      </c>
      <c r="E50" s="59">
        <f>IFERROR(aurora_data!D370,0)</f>
        <v>0</v>
      </c>
      <c r="F50" s="65">
        <f>IFERROR(aurora_data!E370,0)</f>
        <v>0</v>
      </c>
      <c r="G50" s="65">
        <f>IFERROR(aurora_data!F370,0)</f>
        <v>0</v>
      </c>
      <c r="H50" s="65">
        <f>IFERROR(aurora_data!G370,0)</f>
        <v>0</v>
      </c>
      <c r="I50" s="66">
        <f>IFERROR(aurora_data!H370,0)</f>
        <v>0</v>
      </c>
      <c r="J50" s="59">
        <f>IFERROR(aurora_data!I370,0)</f>
        <v>0</v>
      </c>
      <c r="K50" s="65">
        <f>IFERROR(aurora_data!J370,0)</f>
        <v>0</v>
      </c>
      <c r="L50" s="65">
        <f>IFERROR(aurora_data!K370,0)</f>
        <v>0</v>
      </c>
      <c r="M50" s="65">
        <f>IFERROR(aurora_data!L370,0)</f>
        <v>0</v>
      </c>
      <c r="N50" s="66">
        <f>IFERROR(aurora_data!M370,0)</f>
        <v>0</v>
      </c>
      <c r="O50" s="59">
        <f>IFERROR(aurora_data!N370,0)</f>
        <v>0</v>
      </c>
      <c r="P50" s="65">
        <f>IFERROR(aurora_data!O370,0)</f>
        <v>0</v>
      </c>
      <c r="Q50" s="65">
        <f>IFERROR(aurora_data!P370,0)</f>
        <v>0</v>
      </c>
      <c r="R50" s="66">
        <f>IFERROR(aurora_data!Q370,0)</f>
        <v>0</v>
      </c>
      <c r="S50" s="65">
        <f>IFERROR(aurora_data!R370,0)</f>
        <v>0</v>
      </c>
      <c r="T50" s="65">
        <f>IFERROR(aurora_data!S370,0)</f>
        <v>0</v>
      </c>
      <c r="U50" s="66">
        <f>IFERROR(aurora_data!T370,0)</f>
        <v>0</v>
      </c>
      <c r="V50" s="67">
        <f>IFERROR(aurora_data!U270,0)</f>
        <v>1</v>
      </c>
      <c r="W50" s="59">
        <f>IFERROR(aurora_data!U370,0)</f>
        <v>0</v>
      </c>
      <c r="X50" s="72">
        <f t="shared" si="4"/>
        <v>0</v>
      </c>
      <c r="Y50" s="2"/>
    </row>
    <row r="51" spans="1:25" customFormat="1" ht="16.5" customHeight="1" thickBot="1">
      <c r="A51" s="2"/>
      <c r="B51" s="207"/>
      <c r="C51" s="209"/>
      <c r="D51" s="38" t="s">
        <v>100</v>
      </c>
      <c r="E51" s="60">
        <f>IFERROR(aurora_data!D371,0)</f>
        <v>0</v>
      </c>
      <c r="F51" s="68">
        <f>IFERROR(aurora_data!E371,0)</f>
        <v>0</v>
      </c>
      <c r="G51" s="68">
        <f>IFERROR(aurora_data!F371,0)</f>
        <v>0</v>
      </c>
      <c r="H51" s="68">
        <f>IFERROR(aurora_data!G371,0)</f>
        <v>0</v>
      </c>
      <c r="I51" s="69">
        <f>IFERROR(aurora_data!H371,0)</f>
        <v>0</v>
      </c>
      <c r="J51" s="60">
        <f>IFERROR(aurora_data!I371,0)</f>
        <v>0</v>
      </c>
      <c r="K51" s="68">
        <f>IFERROR(aurora_data!J371,0)</f>
        <v>0</v>
      </c>
      <c r="L51" s="68">
        <f>IFERROR(aurora_data!K371,0)</f>
        <v>0</v>
      </c>
      <c r="M51" s="68">
        <f>IFERROR(aurora_data!L371,0)</f>
        <v>0</v>
      </c>
      <c r="N51" s="69">
        <f>IFERROR(aurora_data!M371,0)</f>
        <v>0</v>
      </c>
      <c r="O51" s="60">
        <f>IFERROR(aurora_data!N371,0)</f>
        <v>0</v>
      </c>
      <c r="P51" s="68">
        <f>IFERROR(aurora_data!O371,0)</f>
        <v>0</v>
      </c>
      <c r="Q51" s="68">
        <f>IFERROR(aurora_data!P371,0)</f>
        <v>0</v>
      </c>
      <c r="R51" s="69">
        <f>IFERROR(aurora_data!Q371,0)</f>
        <v>0</v>
      </c>
      <c r="S51" s="68">
        <f>IFERROR(aurora_data!R371,0)</f>
        <v>0</v>
      </c>
      <c r="T51" s="68">
        <f>IFERROR(aurora_data!S371,0)</f>
        <v>0</v>
      </c>
      <c r="U51" s="74">
        <f>IFERROR(aurora_data!T371,0)</f>
        <v>0</v>
      </c>
      <c r="V51" s="75">
        <f>IFERROR(aurora_data!U271,0)</f>
        <v>0</v>
      </c>
      <c r="W51" s="60">
        <f>IFERROR(aurora_data!U371,0)</f>
        <v>0</v>
      </c>
      <c r="X51" s="73">
        <f t="shared" si="4"/>
        <v>0</v>
      </c>
      <c r="Y51" s="2"/>
    </row>
    <row r="52" spans="1:25" ht="16.5" customHeight="1">
      <c r="B52" s="97"/>
      <c r="C52" s="97"/>
    </row>
  </sheetData>
  <mergeCells count="32">
    <mergeCell ref="B44:B51"/>
    <mergeCell ref="C44:C51"/>
    <mergeCell ref="C12:C19"/>
    <mergeCell ref="B28:B35"/>
    <mergeCell ref="C28:C35"/>
    <mergeCell ref="B36:B43"/>
    <mergeCell ref="C36:C43"/>
    <mergeCell ref="B20:B27"/>
    <mergeCell ref="C20:C27"/>
    <mergeCell ref="B12:B19"/>
    <mergeCell ref="B8:D8"/>
    <mergeCell ref="E8:U8"/>
    <mergeCell ref="W8:X11"/>
    <mergeCell ref="B9:C9"/>
    <mergeCell ref="E9:I9"/>
    <mergeCell ref="J9:N9"/>
    <mergeCell ref="O9:R9"/>
    <mergeCell ref="S9:U9"/>
    <mergeCell ref="B10:B11"/>
    <mergeCell ref="E10:I10"/>
    <mergeCell ref="J10:N10"/>
    <mergeCell ref="O10:R10"/>
    <mergeCell ref="S10:U10"/>
    <mergeCell ref="A1:C1"/>
    <mergeCell ref="D1:H1"/>
    <mergeCell ref="A2:C2"/>
    <mergeCell ref="D2:H2"/>
    <mergeCell ref="K2:X6"/>
    <mergeCell ref="D3:E3"/>
    <mergeCell ref="F3:H3"/>
    <mergeCell ref="D5:G5"/>
    <mergeCell ref="D6:H6"/>
  </mergeCells>
  <conditionalFormatting sqref="E13:W13">
    <cfRule type="expression" dxfId="253" priority="8">
      <formula>ROUND(E$13,0) &gt;= ROUND(E$12,0)</formula>
    </cfRule>
  </conditionalFormatting>
  <conditionalFormatting sqref="E18:W18">
    <cfRule type="expression" dxfId="252" priority="9">
      <formula>ROUND(E$18,0) &lt; ROUND(E$12,0)</formula>
    </cfRule>
  </conditionalFormatting>
  <conditionalFormatting sqref="E21:W21">
    <cfRule type="expression" dxfId="251" priority="5">
      <formula>ROUND(E$13,0) &gt;= ROUND(E$12,0)</formula>
    </cfRule>
  </conditionalFormatting>
  <conditionalFormatting sqref="E26:W26">
    <cfRule type="expression" dxfId="250" priority="6">
      <formula>ROUND(E$18,0) &lt; ROUND(E$12,0)</formula>
    </cfRule>
  </conditionalFormatting>
  <conditionalFormatting sqref="E29:W29">
    <cfRule type="expression" dxfId="249" priority="3">
      <formula>ROUND(E$13,0) &gt;= ROUND(E$12,0)</formula>
    </cfRule>
  </conditionalFormatting>
  <conditionalFormatting sqref="E34:W34">
    <cfRule type="expression" dxfId="248" priority="4">
      <formula>ROUND(E$18,0) &lt; ROUND(E$12,0)</formula>
    </cfRule>
  </conditionalFormatting>
  <conditionalFormatting sqref="E37:W37">
    <cfRule type="expression" dxfId="247" priority="1">
      <formula>ROUND(E$13,0) &gt;= ROUND(E$12,0)</formula>
    </cfRule>
  </conditionalFormatting>
  <conditionalFormatting sqref="E42:W42">
    <cfRule type="expression" dxfId="246" priority="2">
      <formula>ROUND(E$18,0) &lt; ROUND(E$12,0)</formula>
    </cfRule>
  </conditionalFormatting>
  <conditionalFormatting sqref="E45:W45">
    <cfRule type="expression" dxfId="245" priority="7">
      <formula>ROUND(E$45,0) &gt;= ROUND(E$44,0)</formula>
    </cfRule>
  </conditionalFormatting>
  <conditionalFormatting sqref="E50:W50">
    <cfRule type="expression" dxfId="244" priority="10">
      <formula>ROUND(E$50,0) &lt; ROUND(E$44,0)</formula>
    </cfRule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ECA6A4-834B-4191-81F3-8154B163675D}">
  <sheetPr codeName="Sheet25">
    <tabColor rgb="FFFFC000"/>
  </sheetPr>
  <dimension ref="A1:Y108"/>
  <sheetViews>
    <sheetView zoomScale="85" zoomScaleNormal="85" workbookViewId="0">
      <selection sqref="A1:C1"/>
    </sheetView>
  </sheetViews>
  <sheetFormatPr defaultColWidth="2.625" defaultRowHeight="15.75"/>
  <cols>
    <col min="1" max="1" width="1.375" style="2" customWidth="1"/>
    <col min="2" max="2" width="10.875" style="2" customWidth="1"/>
    <col min="3" max="3" width="15.625" style="2" customWidth="1"/>
    <col min="4" max="4" width="22.625" style="4" customWidth="1"/>
    <col min="5" max="8" width="7.625" style="4" customWidth="1"/>
    <col min="9" max="9" width="6.625" style="4" hidden="1" customWidth="1"/>
    <col min="10" max="21" width="7.625" style="4" customWidth="1"/>
    <col min="22" max="22" width="0.625" style="2" customWidth="1"/>
    <col min="23" max="24" width="5.875" style="2" customWidth="1"/>
    <col min="25" max="25" width="12.5" style="2" customWidth="1"/>
    <col min="26" max="26" width="2.625" style="2" customWidth="1"/>
    <col min="27" max="64" width="7.625" style="2" customWidth="1"/>
    <col min="65" max="16323" width="2.625" style="2"/>
    <col min="16324" max="16324" width="1.375" style="2" customWidth="1"/>
    <col min="16325" max="16325" width="2.625" style="2" customWidth="1"/>
    <col min="16326" max="16326" width="3.5" style="2" customWidth="1"/>
    <col min="16327" max="16327" width="1" style="2" customWidth="1"/>
    <col min="16328" max="16328" width="0.875" style="2" customWidth="1"/>
    <col min="16329" max="16329" width="2.375" style="2" customWidth="1"/>
    <col min="16330" max="16384" width="20.375" style="2" customWidth="1"/>
  </cols>
  <sheetData>
    <row r="1" spans="1:25" customFormat="1" ht="25.5" customHeight="1">
      <c r="A1" s="151" t="s">
        <v>77</v>
      </c>
      <c r="B1" s="152"/>
      <c r="C1" s="153"/>
      <c r="D1" s="154" t="s">
        <v>78</v>
      </c>
      <c r="E1" s="155"/>
      <c r="F1" s="155"/>
      <c r="G1" s="155"/>
      <c r="H1" s="156"/>
      <c r="I1" s="98"/>
      <c r="J1" s="88"/>
      <c r="K1" s="100"/>
      <c r="L1" s="100"/>
      <c r="M1" s="100"/>
      <c r="N1" s="100" t="s">
        <v>79</v>
      </c>
      <c r="O1" s="100"/>
      <c r="P1" s="100"/>
      <c r="Q1" s="100"/>
      <c r="R1" s="100"/>
      <c r="S1" s="100"/>
      <c r="T1" s="100"/>
      <c r="U1" s="100"/>
      <c r="V1" s="100"/>
      <c r="W1" s="100"/>
      <c r="X1" s="106"/>
      <c r="Y1" s="108"/>
    </row>
    <row r="2" spans="1:25" customFormat="1" ht="31.5" customHeight="1">
      <c r="A2" s="157" t="s">
        <v>80</v>
      </c>
      <c r="B2" s="157"/>
      <c r="C2" s="158"/>
      <c r="D2" s="217" t="str">
        <f>_xlfn.CONCAT("Study Name: ","
OSEP – Emotional Disturbance - Paper")</f>
        <v>Study Name: 
OSEP – Emotional Disturbance - Paper</v>
      </c>
      <c r="E2" s="218"/>
      <c r="F2" s="218"/>
      <c r="G2" s="218"/>
      <c r="H2" s="219"/>
      <c r="I2" s="4"/>
      <c r="J2" s="4"/>
      <c r="K2" s="162" t="s">
        <v>81</v>
      </c>
      <c r="L2" s="163"/>
      <c r="M2" s="163"/>
      <c r="N2" s="163"/>
      <c r="O2" s="163"/>
      <c r="P2" s="163"/>
      <c r="Q2" s="163"/>
      <c r="R2" s="163"/>
      <c r="S2" s="163"/>
      <c r="T2" s="163"/>
      <c r="U2" s="163"/>
      <c r="V2" s="163"/>
      <c r="W2" s="163"/>
      <c r="X2" s="164"/>
      <c r="Y2" s="103"/>
    </row>
    <row r="3" spans="1:25" customFormat="1" ht="30.75" customHeight="1" thickBot="1">
      <c r="A3" s="2"/>
      <c r="B3" s="2"/>
      <c r="C3" s="2"/>
      <c r="D3" s="169" t="str">
        <f>_xlfn.CONCAT("Study Acronym: ","
OSEP_ED_P")</f>
        <v>Study Acronym: 
OSEP_ED_P</v>
      </c>
      <c r="E3" s="170"/>
      <c r="F3" s="171" t="s">
        <v>265</v>
      </c>
      <c r="G3" s="172"/>
      <c r="H3" s="173"/>
      <c r="I3" s="4"/>
      <c r="J3" s="4"/>
      <c r="K3" s="165"/>
      <c r="L3" s="163"/>
      <c r="M3" s="163"/>
      <c r="N3" s="163"/>
      <c r="O3" s="163"/>
      <c r="P3" s="163"/>
      <c r="Q3" s="163"/>
      <c r="R3" s="163"/>
      <c r="S3" s="163"/>
      <c r="T3" s="163"/>
      <c r="U3" s="163"/>
      <c r="V3" s="163"/>
      <c r="W3" s="163"/>
      <c r="X3" s="164"/>
      <c r="Y3" s="103"/>
    </row>
    <row r="4" spans="1:25" customFormat="1" ht="16.5" customHeight="1">
      <c r="A4" s="2"/>
      <c r="B4" s="24"/>
      <c r="C4" s="2"/>
      <c r="D4" s="2"/>
      <c r="E4" s="25"/>
      <c r="F4" s="25"/>
      <c r="G4" s="25"/>
      <c r="H4" s="25"/>
      <c r="I4" s="25"/>
      <c r="J4" s="25"/>
      <c r="K4" s="165"/>
      <c r="L4" s="163"/>
      <c r="M4" s="163"/>
      <c r="N4" s="163"/>
      <c r="O4" s="163"/>
      <c r="P4" s="163"/>
      <c r="Q4" s="163"/>
      <c r="R4" s="163"/>
      <c r="S4" s="163"/>
      <c r="T4" s="163"/>
      <c r="U4" s="163"/>
      <c r="V4" s="163"/>
      <c r="W4" s="163"/>
      <c r="X4" s="164"/>
      <c r="Y4" s="104"/>
    </row>
    <row r="5" spans="1:25" customFormat="1" ht="21.95" customHeight="1" thickBot="1">
      <c r="A5" s="2"/>
      <c r="B5" s="2"/>
      <c r="C5" s="102"/>
      <c r="D5" s="154" t="s">
        <v>82</v>
      </c>
      <c r="E5" s="155"/>
      <c r="F5" s="155"/>
      <c r="G5" s="155"/>
      <c r="H5" s="101"/>
      <c r="I5" s="98"/>
      <c r="J5" s="98"/>
      <c r="K5" s="165"/>
      <c r="L5" s="163"/>
      <c r="M5" s="163"/>
      <c r="N5" s="163"/>
      <c r="O5" s="163"/>
      <c r="P5" s="163"/>
      <c r="Q5" s="163"/>
      <c r="R5" s="163"/>
      <c r="S5" s="163"/>
      <c r="T5" s="163"/>
      <c r="U5" s="163"/>
      <c r="V5" s="163"/>
      <c r="W5" s="163"/>
      <c r="X5" s="164"/>
      <c r="Y5" s="105"/>
    </row>
    <row r="6" spans="1:25" customFormat="1" ht="60.95" customHeight="1" thickBot="1">
      <c r="A6" s="2"/>
      <c r="B6" s="2"/>
      <c r="C6" s="99"/>
      <c r="D6" s="214" t="s">
        <v>101</v>
      </c>
      <c r="E6" s="215"/>
      <c r="F6" s="215"/>
      <c r="G6" s="215"/>
      <c r="H6" s="216"/>
      <c r="I6" s="124"/>
      <c r="J6" s="125"/>
      <c r="K6" s="166"/>
      <c r="L6" s="167"/>
      <c r="M6" s="167"/>
      <c r="N6" s="167"/>
      <c r="O6" s="167"/>
      <c r="P6" s="167"/>
      <c r="Q6" s="167"/>
      <c r="R6" s="167"/>
      <c r="S6" s="167"/>
      <c r="T6" s="167"/>
      <c r="U6" s="167"/>
      <c r="V6" s="167"/>
      <c r="W6" s="167"/>
      <c r="X6" s="168"/>
      <c r="Y6" s="107"/>
    </row>
    <row r="7" spans="1:25" customFormat="1" ht="16.5" customHeight="1" thickBot="1">
      <c r="A7" s="2"/>
      <c r="B7" s="3"/>
      <c r="C7" s="26"/>
      <c r="D7" s="27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8"/>
      <c r="W7" s="3"/>
      <c r="X7" s="3"/>
      <c r="Y7" s="2"/>
    </row>
    <row r="8" spans="1:25" customFormat="1">
      <c r="A8" s="2"/>
      <c r="B8" s="177" t="str">
        <f>_xlfn.CONCAT("Last Refreshed at: ",aurora_data!V432)</f>
        <v>Last Refreshed at: 09/17/2026 @ 7:20 AM</v>
      </c>
      <c r="C8" s="178"/>
      <c r="D8" s="178"/>
      <c r="E8" s="179" t="s">
        <v>83</v>
      </c>
      <c r="F8" s="180"/>
      <c r="G8" s="180"/>
      <c r="H8" s="180"/>
      <c r="I8" s="180"/>
      <c r="J8" s="180"/>
      <c r="K8" s="180"/>
      <c r="L8" s="180"/>
      <c r="M8" s="180"/>
      <c r="N8" s="180"/>
      <c r="O8" s="180"/>
      <c r="P8" s="180"/>
      <c r="Q8" s="180"/>
      <c r="R8" s="180"/>
      <c r="S8" s="180"/>
      <c r="T8" s="180"/>
      <c r="U8" s="181"/>
      <c r="V8" s="44"/>
      <c r="W8" s="182" t="s">
        <v>84</v>
      </c>
      <c r="X8" s="183"/>
      <c r="Y8" s="2"/>
    </row>
    <row r="9" spans="1:25" customFormat="1" ht="16.5" customHeight="1" thickBot="1">
      <c r="A9" s="2"/>
      <c r="B9" s="188"/>
      <c r="C9" s="189"/>
      <c r="D9" s="29" t="s">
        <v>85</v>
      </c>
      <c r="E9" s="190" t="s">
        <v>86</v>
      </c>
      <c r="F9" s="191"/>
      <c r="G9" s="191"/>
      <c r="H9" s="191"/>
      <c r="I9" s="191"/>
      <c r="J9" s="192" t="s">
        <v>86</v>
      </c>
      <c r="K9" s="193"/>
      <c r="L9" s="193"/>
      <c r="M9" s="193"/>
      <c r="N9" s="193"/>
      <c r="O9" s="194" t="s">
        <v>86</v>
      </c>
      <c r="P9" s="195"/>
      <c r="Q9" s="195"/>
      <c r="R9" s="195"/>
      <c r="S9" s="196" t="s">
        <v>86</v>
      </c>
      <c r="T9" s="197"/>
      <c r="U9" s="197"/>
      <c r="V9" s="28"/>
      <c r="W9" s="184"/>
      <c r="X9" s="185"/>
      <c r="Y9" s="2"/>
    </row>
    <row r="10" spans="1:25" customFormat="1" ht="17.25" thickTop="1" thickBot="1">
      <c r="A10" s="2"/>
      <c r="B10" s="198" t="s">
        <v>87</v>
      </c>
      <c r="C10" s="30"/>
      <c r="D10" s="31"/>
      <c r="E10" s="199" t="s">
        <v>88</v>
      </c>
      <c r="F10" s="200"/>
      <c r="G10" s="200"/>
      <c r="H10" s="200"/>
      <c r="I10" s="201"/>
      <c r="J10" s="200" t="s">
        <v>89</v>
      </c>
      <c r="K10" s="200"/>
      <c r="L10" s="200"/>
      <c r="M10" s="200"/>
      <c r="N10" s="201"/>
      <c r="O10" s="202" t="s">
        <v>90</v>
      </c>
      <c r="P10" s="202"/>
      <c r="Q10" s="202"/>
      <c r="R10" s="202"/>
      <c r="S10" s="203" t="s">
        <v>91</v>
      </c>
      <c r="T10" s="204"/>
      <c r="U10" s="205"/>
      <c r="V10" s="32"/>
      <c r="W10" s="184"/>
      <c r="X10" s="185"/>
      <c r="Y10" s="2"/>
    </row>
    <row r="11" spans="1:25" customFormat="1" ht="17.25" thickTop="1" thickBot="1">
      <c r="A11" s="2"/>
      <c r="B11" s="198"/>
      <c r="C11" s="30" t="s">
        <v>35</v>
      </c>
      <c r="D11" s="33" t="s">
        <v>37</v>
      </c>
      <c r="E11" s="96">
        <v>1</v>
      </c>
      <c r="F11" s="94">
        <v>2</v>
      </c>
      <c r="G11" s="95" t="s">
        <v>40</v>
      </c>
      <c r="H11" s="95">
        <v>4</v>
      </c>
      <c r="I11" s="95">
        <v>5</v>
      </c>
      <c r="J11" s="89" t="s">
        <v>43</v>
      </c>
      <c r="K11" s="89" t="s">
        <v>44</v>
      </c>
      <c r="L11" s="89" t="s">
        <v>45</v>
      </c>
      <c r="M11" s="93" t="s">
        <v>92</v>
      </c>
      <c r="N11" s="93" t="s">
        <v>47</v>
      </c>
      <c r="O11" s="89" t="s">
        <v>48</v>
      </c>
      <c r="P11" s="89" t="s">
        <v>49</v>
      </c>
      <c r="Q11" s="89" t="s">
        <v>50</v>
      </c>
      <c r="R11" s="89" t="s">
        <v>51</v>
      </c>
      <c r="S11" s="90" t="s">
        <v>52</v>
      </c>
      <c r="T11" s="91" t="s">
        <v>53</v>
      </c>
      <c r="U11" s="92" t="s">
        <v>93</v>
      </c>
      <c r="V11" s="28"/>
      <c r="W11" s="186"/>
      <c r="X11" s="187"/>
      <c r="Y11" s="2"/>
    </row>
    <row r="12" spans="1:25" customFormat="1">
      <c r="A12" s="2"/>
      <c r="B12" s="210" t="s">
        <v>94</v>
      </c>
      <c r="C12" s="212" t="str">
        <f>aurora_data!A432</f>
        <v>06.00.00-06.11.30</v>
      </c>
      <c r="D12" s="34" t="s">
        <v>71</v>
      </c>
      <c r="E12" s="39">
        <f>IFERROR(aurora_data!D432,0)</f>
        <v>0</v>
      </c>
      <c r="F12" s="40">
        <f>IFERROR(aurora_data!E432,0)</f>
        <v>0</v>
      </c>
      <c r="G12" s="40">
        <f>IFERROR(aurora_data!F432,0)</f>
        <v>0</v>
      </c>
      <c r="H12" s="40">
        <f>IFERROR(aurora_data!G432,0)</f>
        <v>0</v>
      </c>
      <c r="I12" s="41">
        <f>IFERROR(aurora_data!H432,0)</f>
        <v>0</v>
      </c>
      <c r="J12" s="39">
        <f>IFERROR(aurora_data!I432,0)</f>
        <v>0</v>
      </c>
      <c r="K12" s="40">
        <f>IFERROR(aurora_data!J432,0)</f>
        <v>0</v>
      </c>
      <c r="L12" s="40">
        <f>IFERROR(aurora_data!K432,0)</f>
        <v>0</v>
      </c>
      <c r="M12" s="40">
        <f>IFERROR(aurora_data!L432,0)</f>
        <v>0</v>
      </c>
      <c r="N12" s="41">
        <f>IFERROR(aurora_data!M432,0)</f>
        <v>0</v>
      </c>
      <c r="O12" s="39">
        <f>IFERROR(aurora_data!N432,0)</f>
        <v>0</v>
      </c>
      <c r="P12" s="40">
        <f>IFERROR(aurora_data!O432,0)</f>
        <v>0</v>
      </c>
      <c r="Q12" s="40">
        <f>IFERROR(aurora_data!P432,0)</f>
        <v>0</v>
      </c>
      <c r="R12" s="41">
        <f>IFERROR(aurora_data!Q432,0)</f>
        <v>0</v>
      </c>
      <c r="S12" s="40">
        <f>IFERROR(aurora_data!R432,0)</f>
        <v>0</v>
      </c>
      <c r="T12" s="40">
        <f>IFERROR(aurora_data!S432,0)</f>
        <v>0</v>
      </c>
      <c r="U12" s="76">
        <f>IFERROR(aurora_data!T432,0)</f>
        <v>0</v>
      </c>
      <c r="V12" s="61" t="s">
        <v>95</v>
      </c>
      <c r="W12" s="39">
        <f>IFERROR(aurora_data!U432,0)</f>
        <v>1</v>
      </c>
      <c r="X12" s="70">
        <f>IFERROR(W12/$W$12,0)</f>
        <v>1</v>
      </c>
      <c r="Y12" s="2"/>
    </row>
    <row r="13" spans="1:25" customFormat="1">
      <c r="A13" s="2"/>
      <c r="B13" s="211"/>
      <c r="C13" s="213"/>
      <c r="D13" s="35" t="s">
        <v>96</v>
      </c>
      <c r="E13" s="110">
        <f>IFERROR(aurora_data!D433,0)</f>
        <v>0</v>
      </c>
      <c r="F13" s="62">
        <f>IFERROR(aurora_data!E433,0)</f>
        <v>0</v>
      </c>
      <c r="G13" s="62">
        <f>IFERROR(aurora_data!F433,0)</f>
        <v>0</v>
      </c>
      <c r="H13" s="62">
        <f>IFERROR(aurora_data!G433,0)</f>
        <v>0</v>
      </c>
      <c r="I13" s="63">
        <f>IFERROR(aurora_data!H433,0)</f>
        <v>0</v>
      </c>
      <c r="J13" s="36">
        <f>IFERROR(aurora_data!I433,0)</f>
        <v>0</v>
      </c>
      <c r="K13" s="62">
        <f>IFERROR(aurora_data!J433,0)</f>
        <v>0</v>
      </c>
      <c r="L13" s="62">
        <f>IFERROR(aurora_data!K433,0)</f>
        <v>0</v>
      </c>
      <c r="M13" s="62">
        <f>IFERROR(aurora_data!L433,0)</f>
        <v>0</v>
      </c>
      <c r="N13" s="63">
        <f>IFERROR(aurora_data!M433,0)</f>
        <v>0</v>
      </c>
      <c r="O13" s="36">
        <f>IFERROR(aurora_data!N433,0)</f>
        <v>0</v>
      </c>
      <c r="P13" s="62">
        <f>IFERROR(aurora_data!O433,0)</f>
        <v>0</v>
      </c>
      <c r="Q13" s="62">
        <f>IFERROR(aurora_data!P433,0)</f>
        <v>0</v>
      </c>
      <c r="R13" s="63">
        <f>IFERROR(aurora_data!Q433,0)</f>
        <v>0</v>
      </c>
      <c r="S13" s="62">
        <f>IFERROR(aurora_data!R433,0)</f>
        <v>0</v>
      </c>
      <c r="T13" s="62">
        <f>IFERROR(aurora_data!S433,0)</f>
        <v>0</v>
      </c>
      <c r="U13" s="63">
        <f>IFERROR(aurora_data!T433,0)</f>
        <v>0</v>
      </c>
      <c r="V13" s="64" t="s">
        <v>95</v>
      </c>
      <c r="W13" s="36">
        <f>IFERROR(aurora_data!U433,0)</f>
        <v>0</v>
      </c>
      <c r="X13" s="71">
        <f t="shared" ref="X13:X19" si="0">IFERROR(W13/$W$12,0)</f>
        <v>0</v>
      </c>
      <c r="Y13" s="2"/>
    </row>
    <row r="14" spans="1:25" customFormat="1">
      <c r="A14" s="2"/>
      <c r="B14" s="211"/>
      <c r="C14" s="213"/>
      <c r="D14" s="35" t="s">
        <v>60</v>
      </c>
      <c r="E14" s="110">
        <f>IFERROR(aurora_data!D434,0)</f>
        <v>0</v>
      </c>
      <c r="F14" s="62">
        <f>IFERROR(aurora_data!E434,0)</f>
        <v>0</v>
      </c>
      <c r="G14" s="62">
        <f>IFERROR(aurora_data!F434,0)</f>
        <v>0</v>
      </c>
      <c r="H14" s="62">
        <f>IFERROR(aurora_data!G434,0)</f>
        <v>0</v>
      </c>
      <c r="I14" s="63">
        <f>IFERROR(aurora_data!H434,0)</f>
        <v>0</v>
      </c>
      <c r="J14" s="36">
        <f>IFERROR(aurora_data!I434,0)</f>
        <v>0</v>
      </c>
      <c r="K14" s="62">
        <f>IFERROR(aurora_data!J434,0)</f>
        <v>0</v>
      </c>
      <c r="L14" s="62">
        <f>IFERROR(aurora_data!K434,0)</f>
        <v>0</v>
      </c>
      <c r="M14" s="62">
        <f>IFERROR(aurora_data!L434,0)</f>
        <v>0</v>
      </c>
      <c r="N14" s="63">
        <f>IFERROR(aurora_data!M434,0)</f>
        <v>0</v>
      </c>
      <c r="O14" s="36">
        <f>IFERROR(aurora_data!N434,0)</f>
        <v>0</v>
      </c>
      <c r="P14" s="62">
        <f>IFERROR(aurora_data!O434,0)</f>
        <v>0</v>
      </c>
      <c r="Q14" s="62">
        <f>IFERROR(aurora_data!P434,0)</f>
        <v>0</v>
      </c>
      <c r="R14" s="63">
        <f>IFERROR(aurora_data!Q434,0)</f>
        <v>0</v>
      </c>
      <c r="S14" s="62">
        <f>IFERROR(aurora_data!R434,0)</f>
        <v>0</v>
      </c>
      <c r="T14" s="62">
        <f>IFERROR(aurora_data!S434,0)</f>
        <v>0</v>
      </c>
      <c r="U14" s="63">
        <f>IFERROR(aurora_data!T434,0)</f>
        <v>0</v>
      </c>
      <c r="V14" s="64" t="s">
        <v>95</v>
      </c>
      <c r="W14" s="36">
        <f>IFERROR(aurora_data!U434,0)</f>
        <v>0</v>
      </c>
      <c r="X14" s="71">
        <f t="shared" si="0"/>
        <v>0</v>
      </c>
      <c r="Y14" s="2"/>
    </row>
    <row r="15" spans="1:25" customFormat="1">
      <c r="A15" s="2"/>
      <c r="B15" s="211"/>
      <c r="C15" s="213"/>
      <c r="D15" s="35" t="s">
        <v>97</v>
      </c>
      <c r="E15" s="36">
        <f>IFERROR(aurora_data!D435,0)</f>
        <v>0</v>
      </c>
      <c r="F15" s="62">
        <f>IFERROR(aurora_data!E435,0)</f>
        <v>0</v>
      </c>
      <c r="G15" s="62">
        <f>IFERROR(aurora_data!F435,0)</f>
        <v>0</v>
      </c>
      <c r="H15" s="62">
        <f>IFERROR(aurora_data!G435,0)</f>
        <v>0</v>
      </c>
      <c r="I15" s="63">
        <f>IFERROR(aurora_data!H435,0)</f>
        <v>0</v>
      </c>
      <c r="J15" s="36">
        <f>IFERROR(aurora_data!I435,0)</f>
        <v>0</v>
      </c>
      <c r="K15" s="62">
        <f>IFERROR(aurora_data!J435,0)</f>
        <v>0</v>
      </c>
      <c r="L15" s="62">
        <f>IFERROR(aurora_data!K435,0)</f>
        <v>0</v>
      </c>
      <c r="M15" s="62">
        <f>IFERROR(aurora_data!L435,0)</f>
        <v>0</v>
      </c>
      <c r="N15" s="63">
        <f>IFERROR(aurora_data!M435,0)</f>
        <v>0</v>
      </c>
      <c r="O15" s="36">
        <f>IFERROR(aurora_data!N435,0)</f>
        <v>0</v>
      </c>
      <c r="P15" s="62">
        <f>IFERROR(aurora_data!O435,0)</f>
        <v>0</v>
      </c>
      <c r="Q15" s="62">
        <f>IFERROR(aurora_data!P435,0)</f>
        <v>0</v>
      </c>
      <c r="R15" s="63">
        <f>IFERROR(aurora_data!Q435,0)</f>
        <v>0</v>
      </c>
      <c r="S15" s="62">
        <f>IFERROR(aurora_data!R435,0)</f>
        <v>0</v>
      </c>
      <c r="T15" s="62">
        <f>IFERROR(aurora_data!S435,0)</f>
        <v>0</v>
      </c>
      <c r="U15" s="63">
        <f>IFERROR(aurora_data!T435,0)</f>
        <v>0</v>
      </c>
      <c r="V15" s="64" t="s">
        <v>95</v>
      </c>
      <c r="W15" s="36">
        <f>IFERROR(aurora_data!U435,0)</f>
        <v>0</v>
      </c>
      <c r="X15" s="71">
        <f t="shared" si="0"/>
        <v>0</v>
      </c>
      <c r="Y15" s="2"/>
    </row>
    <row r="16" spans="1:25" customFormat="1">
      <c r="A16" s="2"/>
      <c r="B16" s="211"/>
      <c r="C16" s="213"/>
      <c r="D16" s="35" t="s">
        <v>98</v>
      </c>
      <c r="E16" s="36">
        <f>IFERROR(aurora_data!D436,0)</f>
        <v>0</v>
      </c>
      <c r="F16" s="62">
        <f>IFERROR(aurora_data!E436,0)</f>
        <v>0</v>
      </c>
      <c r="G16" s="62">
        <f>IFERROR(aurora_data!F436,0)</f>
        <v>0</v>
      </c>
      <c r="H16" s="62">
        <f>IFERROR(aurora_data!G436,0)</f>
        <v>0</v>
      </c>
      <c r="I16" s="63">
        <f>IFERROR(aurora_data!H436,0)</f>
        <v>0</v>
      </c>
      <c r="J16" s="36">
        <f>IFERROR(aurora_data!I436,0)</f>
        <v>0</v>
      </c>
      <c r="K16" s="62">
        <f>IFERROR(aurora_data!J436,0)</f>
        <v>0</v>
      </c>
      <c r="L16" s="62">
        <f>IFERROR(aurora_data!K436,0)</f>
        <v>0</v>
      </c>
      <c r="M16" s="62">
        <f>IFERROR(aurora_data!L436,0)</f>
        <v>0</v>
      </c>
      <c r="N16" s="63">
        <f>IFERROR(aurora_data!M436,0)</f>
        <v>0</v>
      </c>
      <c r="O16" s="36">
        <f>IFERROR(aurora_data!N436,0)</f>
        <v>0</v>
      </c>
      <c r="P16" s="62">
        <f>IFERROR(aurora_data!O436,0)</f>
        <v>0</v>
      </c>
      <c r="Q16" s="62">
        <f>IFERROR(aurora_data!P436,0)</f>
        <v>0</v>
      </c>
      <c r="R16" s="63">
        <f>IFERROR(aurora_data!Q436,0)</f>
        <v>0</v>
      </c>
      <c r="S16" s="62">
        <f>IFERROR(aurora_data!R436,0)</f>
        <v>0</v>
      </c>
      <c r="T16" s="62">
        <f>IFERROR(aurora_data!S436,0)</f>
        <v>0</v>
      </c>
      <c r="U16" s="63">
        <f>IFERROR(aurora_data!T436,0)</f>
        <v>0</v>
      </c>
      <c r="V16" s="64" t="s">
        <v>95</v>
      </c>
      <c r="W16" s="36">
        <f>IFERROR(aurora_data!U436,0)</f>
        <v>0</v>
      </c>
      <c r="X16" s="71">
        <f t="shared" si="0"/>
        <v>0</v>
      </c>
      <c r="Y16" s="2"/>
    </row>
    <row r="17" spans="1:25" customFormat="1" ht="16.5" thickBot="1">
      <c r="A17" s="2"/>
      <c r="B17" s="211"/>
      <c r="C17" s="213"/>
      <c r="D17" s="35" t="s">
        <v>99</v>
      </c>
      <c r="E17" s="36">
        <f>IFERROR(aurora_data!D437,0)</f>
        <v>0</v>
      </c>
      <c r="F17" s="62">
        <f>IFERROR(aurora_data!E437,0)</f>
        <v>0</v>
      </c>
      <c r="G17" s="62">
        <f>IFERROR(aurora_data!F437,0)</f>
        <v>0</v>
      </c>
      <c r="H17" s="62">
        <f>IFERROR(aurora_data!G437,0)</f>
        <v>0</v>
      </c>
      <c r="I17" s="63">
        <f>IFERROR(aurora_data!H437,0)</f>
        <v>0</v>
      </c>
      <c r="J17" s="36">
        <f>IFERROR(aurora_data!I437,0)</f>
        <v>0</v>
      </c>
      <c r="K17" s="62">
        <f>IFERROR(aurora_data!J437,0)</f>
        <v>0</v>
      </c>
      <c r="L17" s="62">
        <f>IFERROR(aurora_data!K437,0)</f>
        <v>0</v>
      </c>
      <c r="M17" s="62">
        <f>IFERROR(aurora_data!L437,0)</f>
        <v>0</v>
      </c>
      <c r="N17" s="63">
        <f>IFERROR(aurora_data!M437,0)</f>
        <v>0</v>
      </c>
      <c r="O17" s="36">
        <f>IFERROR(aurora_data!N437,0)</f>
        <v>0</v>
      </c>
      <c r="P17" s="62">
        <f>IFERROR(aurora_data!O437,0)</f>
        <v>0</v>
      </c>
      <c r="Q17" s="62">
        <f>IFERROR(aurora_data!P437,0)</f>
        <v>0</v>
      </c>
      <c r="R17" s="63">
        <f>IFERROR(aurora_data!Q437,0)</f>
        <v>0</v>
      </c>
      <c r="S17" s="62">
        <f>IFERROR(aurora_data!R437,0)</f>
        <v>0</v>
      </c>
      <c r="T17" s="62">
        <f>IFERROR(aurora_data!S437,0)</f>
        <v>0</v>
      </c>
      <c r="U17" s="63">
        <f>IFERROR(aurora_data!T437,0)</f>
        <v>0</v>
      </c>
      <c r="V17" s="64" t="s">
        <v>95</v>
      </c>
      <c r="W17" s="36">
        <f>IFERROR(aurora_data!U437,0)</f>
        <v>0</v>
      </c>
      <c r="X17" s="71">
        <f t="shared" si="0"/>
        <v>0</v>
      </c>
      <c r="Y17" s="2"/>
    </row>
    <row r="18" spans="1:25" customFormat="1" ht="16.5" thickBot="1">
      <c r="A18" s="2"/>
      <c r="B18" s="211"/>
      <c r="C18" s="213"/>
      <c r="D18" s="37" t="s">
        <v>64</v>
      </c>
      <c r="E18" s="59">
        <f>IFERROR(aurora_data!D438,0)</f>
        <v>0</v>
      </c>
      <c r="F18" s="65">
        <f>IFERROR(aurora_data!E438,0)</f>
        <v>0</v>
      </c>
      <c r="G18" s="65">
        <f>IFERROR(aurora_data!F438,0)</f>
        <v>0</v>
      </c>
      <c r="H18" s="65">
        <f>IFERROR(aurora_data!G438,0)</f>
        <v>0</v>
      </c>
      <c r="I18" s="66">
        <f>IFERROR(aurora_data!H438,0)</f>
        <v>0</v>
      </c>
      <c r="J18" s="59">
        <f>IFERROR(aurora_data!I438,0)</f>
        <v>0</v>
      </c>
      <c r="K18" s="65">
        <f>IFERROR(aurora_data!J438,0)</f>
        <v>0</v>
      </c>
      <c r="L18" s="65">
        <f>IFERROR(aurora_data!K438,0)</f>
        <v>0</v>
      </c>
      <c r="M18" s="65">
        <f>IFERROR(aurora_data!L438,0)</f>
        <v>0</v>
      </c>
      <c r="N18" s="66">
        <f>IFERROR(aurora_data!M438,0)</f>
        <v>0</v>
      </c>
      <c r="O18" s="59">
        <f>IFERROR(aurora_data!N438,0)</f>
        <v>0</v>
      </c>
      <c r="P18" s="65">
        <f>IFERROR(aurora_data!O438,0)</f>
        <v>0</v>
      </c>
      <c r="Q18" s="65">
        <f>IFERROR(aurora_data!P438,0)</f>
        <v>0</v>
      </c>
      <c r="R18" s="66">
        <f>IFERROR(aurora_data!Q438,0)</f>
        <v>0</v>
      </c>
      <c r="S18" s="65">
        <f>IFERROR(aurora_data!R438,0)</f>
        <v>0</v>
      </c>
      <c r="T18" s="65">
        <f>IFERROR(aurora_data!S438,0)</f>
        <v>0</v>
      </c>
      <c r="U18" s="66">
        <f>IFERROR(aurora_data!T438,0)</f>
        <v>0</v>
      </c>
      <c r="V18" s="67" t="s">
        <v>95</v>
      </c>
      <c r="W18" s="59">
        <f>IFERROR(aurora_data!U438,0)</f>
        <v>0</v>
      </c>
      <c r="X18" s="72">
        <f t="shared" si="0"/>
        <v>0</v>
      </c>
      <c r="Y18" s="2"/>
    </row>
    <row r="19" spans="1:25" customFormat="1" ht="16.5" thickBot="1">
      <c r="A19" s="2"/>
      <c r="B19" s="211"/>
      <c r="C19" s="213"/>
      <c r="D19" s="38" t="s">
        <v>100</v>
      </c>
      <c r="E19" s="60">
        <f>IFERROR(aurora_data!D439,0)</f>
        <v>0</v>
      </c>
      <c r="F19" s="68">
        <f>IFERROR(aurora_data!E439,0)</f>
        <v>0</v>
      </c>
      <c r="G19" s="68">
        <f>IFERROR(aurora_data!F439,0)</f>
        <v>0</v>
      </c>
      <c r="H19" s="68">
        <f>IFERROR(aurora_data!G439,0)</f>
        <v>0</v>
      </c>
      <c r="I19" s="69">
        <f>IFERROR(aurora_data!H439,0)</f>
        <v>0</v>
      </c>
      <c r="J19" s="60">
        <f>IFERROR(aurora_data!I439,0)</f>
        <v>0</v>
      </c>
      <c r="K19" s="68">
        <f>IFERROR(aurora_data!J439,0)</f>
        <v>0</v>
      </c>
      <c r="L19" s="68">
        <f>IFERROR(aurora_data!K439,0)</f>
        <v>0</v>
      </c>
      <c r="M19" s="68">
        <f>IFERROR(aurora_data!L439,0)</f>
        <v>0</v>
      </c>
      <c r="N19" s="69">
        <f>IFERROR(aurora_data!M439,0)</f>
        <v>0</v>
      </c>
      <c r="O19" s="60">
        <f>IFERROR(aurora_data!N439,0)</f>
        <v>0</v>
      </c>
      <c r="P19" s="68">
        <f>IFERROR(aurora_data!O439,0)</f>
        <v>0</v>
      </c>
      <c r="Q19" s="68">
        <f>IFERROR(aurora_data!P439,0)</f>
        <v>0</v>
      </c>
      <c r="R19" s="69">
        <f>IFERROR(aurora_data!Q439,0)</f>
        <v>0</v>
      </c>
      <c r="S19" s="68">
        <f>IFERROR(aurora_data!R439,0)</f>
        <v>0</v>
      </c>
      <c r="T19" s="68">
        <f>IFERROR(aurora_data!S439,0)</f>
        <v>0</v>
      </c>
      <c r="U19" s="74">
        <f>IFERROR(aurora_data!T439,0)</f>
        <v>0</v>
      </c>
      <c r="V19" s="75" t="s">
        <v>95</v>
      </c>
      <c r="W19" s="60">
        <f>IFERROR(aurora_data!U439,0)</f>
        <v>0</v>
      </c>
      <c r="X19" s="73">
        <f t="shared" si="0"/>
        <v>0</v>
      </c>
      <c r="Y19" s="2"/>
    </row>
    <row r="20" spans="1:25" customFormat="1">
      <c r="A20" s="2"/>
      <c r="B20" s="210" t="s">
        <v>94</v>
      </c>
      <c r="C20" s="212" t="str">
        <f>aurora_data!A440</f>
        <v>07.00.00-07.11.30</v>
      </c>
      <c r="D20" s="34" t="s">
        <v>71</v>
      </c>
      <c r="E20" s="39">
        <f>IFERROR(aurora_data!D440,0)</f>
        <v>0</v>
      </c>
      <c r="F20" s="40">
        <f>IFERROR(aurora_data!E440,0)</f>
        <v>0</v>
      </c>
      <c r="G20" s="40">
        <f>IFERROR(aurora_data!F440,0)</f>
        <v>0</v>
      </c>
      <c r="H20" s="40">
        <f>IFERROR(aurora_data!G440,0)</f>
        <v>0</v>
      </c>
      <c r="I20" s="41">
        <f>IFERROR(aurora_data!H440,0)</f>
        <v>0</v>
      </c>
      <c r="J20" s="39">
        <f>IFERROR(aurora_data!I440,0)</f>
        <v>0</v>
      </c>
      <c r="K20" s="40">
        <f>IFERROR(aurora_data!J440,0)</f>
        <v>0</v>
      </c>
      <c r="L20" s="40">
        <f>IFERROR(aurora_data!K440,0)</f>
        <v>0</v>
      </c>
      <c r="M20" s="40">
        <f>IFERROR(aurora_data!L440,0)</f>
        <v>0</v>
      </c>
      <c r="N20" s="41">
        <f>IFERROR(aurora_data!M440,0)</f>
        <v>0</v>
      </c>
      <c r="O20" s="39">
        <f>IFERROR(aurora_data!N440,0)</f>
        <v>0</v>
      </c>
      <c r="P20" s="40">
        <f>IFERROR(aurora_data!O440,0)</f>
        <v>0</v>
      </c>
      <c r="Q20" s="40">
        <f>IFERROR(aurora_data!P440,0)</f>
        <v>0</v>
      </c>
      <c r="R20" s="41">
        <f>IFERROR(aurora_data!Q440,0)</f>
        <v>0</v>
      </c>
      <c r="S20" s="40">
        <f>IFERROR(aurora_data!R440,0)</f>
        <v>0</v>
      </c>
      <c r="T20" s="40">
        <f>IFERROR(aurora_data!S440,0)</f>
        <v>0</v>
      </c>
      <c r="U20" s="76">
        <f>IFERROR(aurora_data!T440,0)</f>
        <v>0</v>
      </c>
      <c r="V20" s="61" t="s">
        <v>95</v>
      </c>
      <c r="W20" s="39">
        <f>IFERROR(aurora_data!U440,0)</f>
        <v>2</v>
      </c>
      <c r="X20" s="70">
        <f>IFERROR(W20/$W$20,0)</f>
        <v>1</v>
      </c>
      <c r="Y20" s="2"/>
    </row>
    <row r="21" spans="1:25" customFormat="1" ht="16.5" customHeight="1">
      <c r="A21" s="2"/>
      <c r="B21" s="211"/>
      <c r="C21" s="213"/>
      <c r="D21" s="35" t="s">
        <v>96</v>
      </c>
      <c r="E21" s="36">
        <f>IFERROR(aurora_data!D441,0)</f>
        <v>0</v>
      </c>
      <c r="F21" s="62">
        <f>IFERROR(aurora_data!E441,0)</f>
        <v>0</v>
      </c>
      <c r="G21" s="62">
        <f>IFERROR(aurora_data!F441,0)</f>
        <v>0</v>
      </c>
      <c r="H21" s="62">
        <f>IFERROR(aurora_data!G441,0)</f>
        <v>0</v>
      </c>
      <c r="I21" s="63">
        <f>IFERROR(aurora_data!H441,0)</f>
        <v>0</v>
      </c>
      <c r="J21" s="36">
        <f>IFERROR(aurora_data!I441,0)</f>
        <v>0</v>
      </c>
      <c r="K21" s="62">
        <f>IFERROR(aurora_data!J441,0)</f>
        <v>0</v>
      </c>
      <c r="L21" s="62">
        <f>IFERROR(aurora_data!K441,0)</f>
        <v>0</v>
      </c>
      <c r="M21" s="62">
        <f>IFERROR(aurora_data!L441,0)</f>
        <v>0</v>
      </c>
      <c r="N21" s="63">
        <f>IFERROR(aurora_data!M441,0)</f>
        <v>0</v>
      </c>
      <c r="O21" s="36">
        <f>IFERROR(aurora_data!N441,0)</f>
        <v>0</v>
      </c>
      <c r="P21" s="62">
        <f>IFERROR(aurora_data!O441,0)</f>
        <v>0</v>
      </c>
      <c r="Q21" s="62">
        <f>IFERROR(aurora_data!P441,0)</f>
        <v>0</v>
      </c>
      <c r="R21" s="63">
        <f>IFERROR(aurora_data!Q441,0)</f>
        <v>0</v>
      </c>
      <c r="S21" s="62">
        <f>IFERROR(aurora_data!R441,0)</f>
        <v>0</v>
      </c>
      <c r="T21" s="62">
        <f>IFERROR(aurora_data!S441,0)</f>
        <v>0</v>
      </c>
      <c r="U21" s="63">
        <f>IFERROR(aurora_data!T441,0)</f>
        <v>0</v>
      </c>
      <c r="V21" s="64" t="s">
        <v>95</v>
      </c>
      <c r="W21" s="36">
        <f>IFERROR(aurora_data!U441,0)</f>
        <v>0</v>
      </c>
      <c r="X21" s="71">
        <f t="shared" ref="X21:X27" si="1">IFERROR(W21/$W$20,0)</f>
        <v>0</v>
      </c>
      <c r="Y21" s="2"/>
    </row>
    <row r="22" spans="1:25" customFormat="1" ht="16.5" customHeight="1">
      <c r="A22" s="2"/>
      <c r="B22" s="211"/>
      <c r="C22" s="213"/>
      <c r="D22" s="35" t="s">
        <v>60</v>
      </c>
      <c r="E22" s="36">
        <f>IFERROR(aurora_data!D442,0)</f>
        <v>0</v>
      </c>
      <c r="F22" s="62">
        <f>IFERROR(aurora_data!E442,0)</f>
        <v>0</v>
      </c>
      <c r="G22" s="62">
        <f>IFERROR(aurora_data!F442,0)</f>
        <v>0</v>
      </c>
      <c r="H22" s="62">
        <f>IFERROR(aurora_data!G442,0)</f>
        <v>0</v>
      </c>
      <c r="I22" s="63">
        <f>IFERROR(aurora_data!H442,0)</f>
        <v>0</v>
      </c>
      <c r="J22" s="36">
        <f>IFERROR(aurora_data!I442,0)</f>
        <v>0</v>
      </c>
      <c r="K22" s="62">
        <f>IFERROR(aurora_data!J442,0)</f>
        <v>0</v>
      </c>
      <c r="L22" s="62">
        <f>IFERROR(aurora_data!K442,0)</f>
        <v>0</v>
      </c>
      <c r="M22" s="62">
        <f>IFERROR(aurora_data!L442,0)</f>
        <v>0</v>
      </c>
      <c r="N22" s="63">
        <f>IFERROR(aurora_data!M442,0)</f>
        <v>0</v>
      </c>
      <c r="O22" s="36">
        <f>IFERROR(aurora_data!N442,0)</f>
        <v>0</v>
      </c>
      <c r="P22" s="62">
        <f>IFERROR(aurora_data!O442,0)</f>
        <v>0</v>
      </c>
      <c r="Q22" s="62">
        <f>IFERROR(aurora_data!P442,0)</f>
        <v>0</v>
      </c>
      <c r="R22" s="63">
        <f>IFERROR(aurora_data!Q442,0)</f>
        <v>0</v>
      </c>
      <c r="S22" s="62">
        <f>IFERROR(aurora_data!R442,0)</f>
        <v>0</v>
      </c>
      <c r="T22" s="62">
        <f>IFERROR(aurora_data!S442,0)</f>
        <v>0</v>
      </c>
      <c r="U22" s="63">
        <f>IFERROR(aurora_data!T442,0)</f>
        <v>0</v>
      </c>
      <c r="V22" s="64" t="s">
        <v>95</v>
      </c>
      <c r="W22" s="36">
        <f>IFERROR(aurora_data!U442,0)</f>
        <v>0</v>
      </c>
      <c r="X22" s="71">
        <f t="shared" si="1"/>
        <v>0</v>
      </c>
      <c r="Y22" s="2"/>
    </row>
    <row r="23" spans="1:25" customFormat="1">
      <c r="A23" s="2"/>
      <c r="B23" s="211"/>
      <c r="C23" s="213"/>
      <c r="D23" s="35" t="s">
        <v>97</v>
      </c>
      <c r="E23" s="36">
        <f>IFERROR(aurora_data!D443,0)</f>
        <v>0</v>
      </c>
      <c r="F23" s="62">
        <f>IFERROR(aurora_data!E443,0)</f>
        <v>0</v>
      </c>
      <c r="G23" s="62">
        <f>IFERROR(aurora_data!F443,0)</f>
        <v>0</v>
      </c>
      <c r="H23" s="62">
        <f>IFERROR(aurora_data!G443,0)</f>
        <v>0</v>
      </c>
      <c r="I23" s="63">
        <f>IFERROR(aurora_data!H443,0)</f>
        <v>0</v>
      </c>
      <c r="J23" s="36">
        <f>IFERROR(aurora_data!I443,0)</f>
        <v>0</v>
      </c>
      <c r="K23" s="62">
        <f>IFERROR(aurora_data!J443,0)</f>
        <v>0</v>
      </c>
      <c r="L23" s="62">
        <f>IFERROR(aurora_data!K443,0)</f>
        <v>0</v>
      </c>
      <c r="M23" s="62">
        <f>IFERROR(aurora_data!L443,0)</f>
        <v>0</v>
      </c>
      <c r="N23" s="63">
        <f>IFERROR(aurora_data!M443,0)</f>
        <v>0</v>
      </c>
      <c r="O23" s="36">
        <f>IFERROR(aurora_data!N443,0)</f>
        <v>0</v>
      </c>
      <c r="P23" s="62">
        <f>IFERROR(aurora_data!O443,0)</f>
        <v>0</v>
      </c>
      <c r="Q23" s="62">
        <f>IFERROR(aurora_data!P443,0)</f>
        <v>0</v>
      </c>
      <c r="R23" s="63">
        <f>IFERROR(aurora_data!Q443,0)</f>
        <v>0</v>
      </c>
      <c r="S23" s="62">
        <f>IFERROR(aurora_data!R443,0)</f>
        <v>0</v>
      </c>
      <c r="T23" s="62">
        <f>IFERROR(aurora_data!S443,0)</f>
        <v>0</v>
      </c>
      <c r="U23" s="63">
        <f>IFERROR(aurora_data!T443,0)</f>
        <v>0</v>
      </c>
      <c r="V23" s="64" t="s">
        <v>95</v>
      </c>
      <c r="W23" s="36">
        <f>IFERROR(aurora_data!U443,0)</f>
        <v>0</v>
      </c>
      <c r="X23" s="71">
        <f t="shared" si="1"/>
        <v>0</v>
      </c>
      <c r="Y23" s="2"/>
    </row>
    <row r="24" spans="1:25" customFormat="1" ht="16.5" customHeight="1">
      <c r="A24" s="2"/>
      <c r="B24" s="211"/>
      <c r="C24" s="213"/>
      <c r="D24" s="35" t="s">
        <v>98</v>
      </c>
      <c r="E24" s="36">
        <f>IFERROR(aurora_data!D444,0)</f>
        <v>0</v>
      </c>
      <c r="F24" s="62">
        <f>IFERROR(aurora_data!E444,0)</f>
        <v>0</v>
      </c>
      <c r="G24" s="62">
        <f>IFERROR(aurora_data!F444,0)</f>
        <v>0</v>
      </c>
      <c r="H24" s="62">
        <f>IFERROR(aurora_data!G444,0)</f>
        <v>0</v>
      </c>
      <c r="I24" s="63">
        <f>IFERROR(aurora_data!H444,0)</f>
        <v>0</v>
      </c>
      <c r="J24" s="36">
        <f>IFERROR(aurora_data!I444,0)</f>
        <v>0</v>
      </c>
      <c r="K24" s="62">
        <f>IFERROR(aurora_data!J444,0)</f>
        <v>0</v>
      </c>
      <c r="L24" s="62">
        <f>IFERROR(aurora_data!K444,0)</f>
        <v>0</v>
      </c>
      <c r="M24" s="62">
        <f>IFERROR(aurora_data!L444,0)</f>
        <v>0</v>
      </c>
      <c r="N24" s="63">
        <f>IFERROR(aurora_data!M444,0)</f>
        <v>0</v>
      </c>
      <c r="O24" s="36">
        <f>IFERROR(aurora_data!N444,0)</f>
        <v>0</v>
      </c>
      <c r="P24" s="62">
        <f>IFERROR(aurora_data!O444,0)</f>
        <v>0</v>
      </c>
      <c r="Q24" s="62">
        <f>IFERROR(aurora_data!P444,0)</f>
        <v>0</v>
      </c>
      <c r="R24" s="63">
        <f>IFERROR(aurora_data!Q444,0)</f>
        <v>0</v>
      </c>
      <c r="S24" s="62">
        <f>IFERROR(aurora_data!R444,0)</f>
        <v>0</v>
      </c>
      <c r="T24" s="62">
        <f>IFERROR(aurora_data!S444,0)</f>
        <v>0</v>
      </c>
      <c r="U24" s="63">
        <f>IFERROR(aurora_data!T444,0)</f>
        <v>0</v>
      </c>
      <c r="V24" s="64" t="s">
        <v>95</v>
      </c>
      <c r="W24" s="36">
        <f>IFERROR(aurora_data!U444,0)</f>
        <v>0</v>
      </c>
      <c r="X24" s="71">
        <f t="shared" si="1"/>
        <v>0</v>
      </c>
      <c r="Y24" s="2"/>
    </row>
    <row r="25" spans="1:25" customFormat="1" ht="16.5" customHeight="1" thickBot="1">
      <c r="A25" s="2"/>
      <c r="B25" s="211"/>
      <c r="C25" s="213"/>
      <c r="D25" s="35" t="s">
        <v>99</v>
      </c>
      <c r="E25" s="36">
        <f>IFERROR(aurora_data!D445,0)</f>
        <v>0</v>
      </c>
      <c r="F25" s="62">
        <f>IFERROR(aurora_data!E445,0)</f>
        <v>0</v>
      </c>
      <c r="G25" s="62">
        <f>IFERROR(aurora_data!F445,0)</f>
        <v>0</v>
      </c>
      <c r="H25" s="62">
        <f>IFERROR(aurora_data!G445,0)</f>
        <v>0</v>
      </c>
      <c r="I25" s="63">
        <f>IFERROR(aurora_data!H445,0)</f>
        <v>0</v>
      </c>
      <c r="J25" s="36">
        <f>IFERROR(aurora_data!I445,0)</f>
        <v>0</v>
      </c>
      <c r="K25" s="62">
        <f>IFERROR(aurora_data!J445,0)</f>
        <v>0</v>
      </c>
      <c r="L25" s="62">
        <f>IFERROR(aurora_data!K445,0)</f>
        <v>0</v>
      </c>
      <c r="M25" s="62">
        <f>IFERROR(aurora_data!L445,0)</f>
        <v>0</v>
      </c>
      <c r="N25" s="63">
        <f>IFERROR(aurora_data!M445,0)</f>
        <v>0</v>
      </c>
      <c r="O25" s="36">
        <f>IFERROR(aurora_data!N445,0)</f>
        <v>0</v>
      </c>
      <c r="P25" s="62">
        <f>IFERROR(aurora_data!O445,0)</f>
        <v>0</v>
      </c>
      <c r="Q25" s="62">
        <f>IFERROR(aurora_data!P445,0)</f>
        <v>0</v>
      </c>
      <c r="R25" s="63">
        <f>IFERROR(aurora_data!Q445,0)</f>
        <v>0</v>
      </c>
      <c r="S25" s="62">
        <f>IFERROR(aurora_data!R445,0)</f>
        <v>0</v>
      </c>
      <c r="T25" s="62">
        <f>IFERROR(aurora_data!S445,0)</f>
        <v>0</v>
      </c>
      <c r="U25" s="63">
        <f>IFERROR(aurora_data!T445,0)</f>
        <v>0</v>
      </c>
      <c r="V25" s="64" t="s">
        <v>95</v>
      </c>
      <c r="W25" s="36">
        <f>IFERROR(aurora_data!U445,0)</f>
        <v>0</v>
      </c>
      <c r="X25" s="71">
        <f t="shared" si="1"/>
        <v>0</v>
      </c>
      <c r="Y25" s="2"/>
    </row>
    <row r="26" spans="1:25" customFormat="1" ht="16.5" customHeight="1" thickBot="1">
      <c r="A26" s="2"/>
      <c r="B26" s="211"/>
      <c r="C26" s="213"/>
      <c r="D26" s="37" t="s">
        <v>64</v>
      </c>
      <c r="E26" s="59">
        <f>IFERROR(aurora_data!D446,0)</f>
        <v>0</v>
      </c>
      <c r="F26" s="65">
        <f>IFERROR(aurora_data!E446,0)</f>
        <v>0</v>
      </c>
      <c r="G26" s="65">
        <f>IFERROR(aurora_data!F446,0)</f>
        <v>0</v>
      </c>
      <c r="H26" s="65">
        <f>IFERROR(aurora_data!G446,0)</f>
        <v>0</v>
      </c>
      <c r="I26" s="66">
        <f>IFERROR(aurora_data!H446,0)</f>
        <v>0</v>
      </c>
      <c r="J26" s="59">
        <f>IFERROR(aurora_data!I446,0)</f>
        <v>0</v>
      </c>
      <c r="K26" s="65">
        <f>IFERROR(aurora_data!J446,0)</f>
        <v>0</v>
      </c>
      <c r="L26" s="65">
        <f>IFERROR(aurora_data!K446,0)</f>
        <v>0</v>
      </c>
      <c r="M26" s="65">
        <f>IFERROR(aurora_data!L446,0)</f>
        <v>0</v>
      </c>
      <c r="N26" s="66">
        <f>IFERROR(aurora_data!M446,0)</f>
        <v>0</v>
      </c>
      <c r="O26" s="59">
        <f>IFERROR(aurora_data!N446,0)</f>
        <v>0</v>
      </c>
      <c r="P26" s="65">
        <f>IFERROR(aurora_data!O446,0)</f>
        <v>0</v>
      </c>
      <c r="Q26" s="65">
        <f>IFERROR(aurora_data!P446,0)</f>
        <v>0</v>
      </c>
      <c r="R26" s="66">
        <f>IFERROR(aurora_data!Q446,0)</f>
        <v>0</v>
      </c>
      <c r="S26" s="65">
        <f>IFERROR(aurora_data!R446,0)</f>
        <v>0</v>
      </c>
      <c r="T26" s="65">
        <f>IFERROR(aurora_data!S446,0)</f>
        <v>0</v>
      </c>
      <c r="U26" s="66">
        <f>IFERROR(aurora_data!T446,0)</f>
        <v>0</v>
      </c>
      <c r="V26" s="67" t="s">
        <v>95</v>
      </c>
      <c r="W26" s="59">
        <f>IFERROR(aurora_data!U446,0)</f>
        <v>0</v>
      </c>
      <c r="X26" s="72">
        <f t="shared" si="1"/>
        <v>0</v>
      </c>
      <c r="Y26" s="2"/>
    </row>
    <row r="27" spans="1:25" customFormat="1" ht="16.5" thickBot="1">
      <c r="A27" s="2"/>
      <c r="B27" s="211"/>
      <c r="C27" s="213"/>
      <c r="D27" s="38" t="s">
        <v>100</v>
      </c>
      <c r="E27" s="60">
        <f>IFERROR(aurora_data!D447,0)</f>
        <v>0</v>
      </c>
      <c r="F27" s="68">
        <f>IFERROR(aurora_data!E447,0)</f>
        <v>0</v>
      </c>
      <c r="G27" s="68">
        <f>IFERROR(aurora_data!F447,0)</f>
        <v>0</v>
      </c>
      <c r="H27" s="68">
        <f>IFERROR(aurora_data!G447,0)</f>
        <v>0</v>
      </c>
      <c r="I27" s="69">
        <f>IFERROR(aurora_data!H447,0)</f>
        <v>0</v>
      </c>
      <c r="J27" s="60">
        <f>IFERROR(aurora_data!I447,0)</f>
        <v>0</v>
      </c>
      <c r="K27" s="68">
        <f>IFERROR(aurora_data!J447,0)</f>
        <v>0</v>
      </c>
      <c r="L27" s="68">
        <f>IFERROR(aurora_data!K447,0)</f>
        <v>0</v>
      </c>
      <c r="M27" s="68">
        <f>IFERROR(aurora_data!L447,0)</f>
        <v>0</v>
      </c>
      <c r="N27" s="69">
        <f>IFERROR(aurora_data!M447,0)</f>
        <v>0</v>
      </c>
      <c r="O27" s="60">
        <f>IFERROR(aurora_data!N447,0)</f>
        <v>0</v>
      </c>
      <c r="P27" s="68">
        <f>IFERROR(aurora_data!O447,0)</f>
        <v>0</v>
      </c>
      <c r="Q27" s="68">
        <f>IFERROR(aurora_data!P447,0)</f>
        <v>0</v>
      </c>
      <c r="R27" s="69">
        <f>IFERROR(aurora_data!Q447,0)</f>
        <v>0</v>
      </c>
      <c r="S27" s="68">
        <f>IFERROR(aurora_data!R447,0)</f>
        <v>0</v>
      </c>
      <c r="T27" s="68">
        <f>IFERROR(aurora_data!S447,0)</f>
        <v>0</v>
      </c>
      <c r="U27" s="74">
        <f>IFERROR(aurora_data!T447,0)</f>
        <v>0</v>
      </c>
      <c r="V27" s="75" t="s">
        <v>95</v>
      </c>
      <c r="W27" s="60">
        <f>IFERROR(aurora_data!U447,0)</f>
        <v>0</v>
      </c>
      <c r="X27" s="73">
        <f t="shared" si="1"/>
        <v>0</v>
      </c>
      <c r="Y27" s="2"/>
    </row>
    <row r="28" spans="1:25" customFormat="1">
      <c r="A28" s="2"/>
      <c r="B28" s="210" t="s">
        <v>94</v>
      </c>
      <c r="C28" s="212" t="str">
        <f>aurora_data!A448</f>
        <v>08.00.00-08.11.30</v>
      </c>
      <c r="D28" s="34" t="s">
        <v>71</v>
      </c>
      <c r="E28" s="39">
        <f>IFERROR(aurora_data!D448,0)</f>
        <v>0</v>
      </c>
      <c r="F28" s="40">
        <f>IFERROR(aurora_data!E448,0)</f>
        <v>0</v>
      </c>
      <c r="G28" s="40">
        <f>IFERROR(aurora_data!F448,0)</f>
        <v>0</v>
      </c>
      <c r="H28" s="40">
        <f>IFERROR(aurora_data!G448,0)</f>
        <v>0</v>
      </c>
      <c r="I28" s="41">
        <f>IFERROR(aurora_data!H448,0)</f>
        <v>0</v>
      </c>
      <c r="J28" s="39">
        <f>IFERROR(aurora_data!I448,0)</f>
        <v>0</v>
      </c>
      <c r="K28" s="40">
        <f>IFERROR(aurora_data!J448,0)</f>
        <v>0</v>
      </c>
      <c r="L28" s="40">
        <f>IFERROR(aurora_data!K448,0)</f>
        <v>0</v>
      </c>
      <c r="M28" s="40">
        <f>IFERROR(aurora_data!L448,0)</f>
        <v>0</v>
      </c>
      <c r="N28" s="41">
        <f>IFERROR(aurora_data!M448,0)</f>
        <v>0</v>
      </c>
      <c r="O28" s="39">
        <f>IFERROR(aurora_data!N448,0)</f>
        <v>0</v>
      </c>
      <c r="P28" s="40">
        <f>IFERROR(aurora_data!O448,0)</f>
        <v>0</v>
      </c>
      <c r="Q28" s="40">
        <f>IFERROR(aurora_data!P448,0)</f>
        <v>0</v>
      </c>
      <c r="R28" s="41">
        <f>IFERROR(aurora_data!Q448,0)</f>
        <v>0</v>
      </c>
      <c r="S28" s="40">
        <f>IFERROR(aurora_data!R448,0)</f>
        <v>0</v>
      </c>
      <c r="T28" s="40">
        <f>IFERROR(aurora_data!S448,0)</f>
        <v>0</v>
      </c>
      <c r="U28" s="76">
        <f>IFERROR(aurora_data!T448,0)</f>
        <v>0</v>
      </c>
      <c r="V28" s="61" t="s">
        <v>95</v>
      </c>
      <c r="W28" s="39">
        <f>IFERROR(aurora_data!U448,0)</f>
        <v>1</v>
      </c>
      <c r="X28" s="70">
        <f>IFERROR(W28/$W$20,0)</f>
        <v>0.5</v>
      </c>
      <c r="Y28" s="2"/>
    </row>
    <row r="29" spans="1:25" customFormat="1" ht="16.5" customHeight="1">
      <c r="A29" s="2"/>
      <c r="B29" s="211"/>
      <c r="C29" s="213"/>
      <c r="D29" s="35" t="s">
        <v>96</v>
      </c>
      <c r="E29" s="36">
        <f>IFERROR(aurora_data!D449,0)</f>
        <v>0</v>
      </c>
      <c r="F29" s="62">
        <f>IFERROR(aurora_data!E449,0)</f>
        <v>0</v>
      </c>
      <c r="G29" s="62">
        <f>IFERROR(aurora_data!F449,0)</f>
        <v>0</v>
      </c>
      <c r="H29" s="62">
        <f>IFERROR(aurora_data!G449,0)</f>
        <v>0</v>
      </c>
      <c r="I29" s="63">
        <f>IFERROR(aurora_data!H449,0)</f>
        <v>0</v>
      </c>
      <c r="J29" s="36">
        <f>IFERROR(aurora_data!I449,0)</f>
        <v>0</v>
      </c>
      <c r="K29" s="62">
        <f>IFERROR(aurora_data!J449,0)</f>
        <v>0</v>
      </c>
      <c r="L29" s="62">
        <f>IFERROR(aurora_data!K449,0)</f>
        <v>0</v>
      </c>
      <c r="M29" s="62">
        <f>IFERROR(aurora_data!L449,0)</f>
        <v>0</v>
      </c>
      <c r="N29" s="63">
        <f>IFERROR(aurora_data!M449,0)</f>
        <v>0</v>
      </c>
      <c r="O29" s="36">
        <f>IFERROR(aurora_data!N449,0)</f>
        <v>0</v>
      </c>
      <c r="P29" s="62">
        <f>IFERROR(aurora_data!O449,0)</f>
        <v>0</v>
      </c>
      <c r="Q29" s="62">
        <f>IFERROR(aurora_data!P449,0)</f>
        <v>0</v>
      </c>
      <c r="R29" s="63">
        <f>IFERROR(aurora_data!Q449,0)</f>
        <v>0</v>
      </c>
      <c r="S29" s="62">
        <f>IFERROR(aurora_data!R449,0)</f>
        <v>0</v>
      </c>
      <c r="T29" s="62">
        <f>IFERROR(aurora_data!S449,0)</f>
        <v>0</v>
      </c>
      <c r="U29" s="63">
        <f>IFERROR(aurora_data!T449,0)</f>
        <v>0</v>
      </c>
      <c r="V29" s="64" t="s">
        <v>95</v>
      </c>
      <c r="W29" s="36">
        <f>IFERROR(aurora_data!U449,0)</f>
        <v>0</v>
      </c>
      <c r="X29" s="71">
        <f t="shared" ref="X29:X35" si="2">IFERROR(W29/$W$20,0)</f>
        <v>0</v>
      </c>
      <c r="Y29" s="2"/>
    </row>
    <row r="30" spans="1:25" customFormat="1" ht="16.5" customHeight="1">
      <c r="A30" s="2"/>
      <c r="B30" s="211"/>
      <c r="C30" s="213"/>
      <c r="D30" s="35" t="s">
        <v>60</v>
      </c>
      <c r="E30" s="36">
        <f>IFERROR(aurora_data!D450,0)</f>
        <v>0</v>
      </c>
      <c r="F30" s="62">
        <f>IFERROR(aurora_data!E450,0)</f>
        <v>0</v>
      </c>
      <c r="G30" s="62">
        <f>IFERROR(aurora_data!F450,0)</f>
        <v>0</v>
      </c>
      <c r="H30" s="62">
        <f>IFERROR(aurora_data!G450,0)</f>
        <v>0</v>
      </c>
      <c r="I30" s="63">
        <f>IFERROR(aurora_data!H450,0)</f>
        <v>0</v>
      </c>
      <c r="J30" s="36">
        <f>IFERROR(aurora_data!I450,0)</f>
        <v>0</v>
      </c>
      <c r="K30" s="62">
        <f>IFERROR(aurora_data!J450,0)</f>
        <v>0</v>
      </c>
      <c r="L30" s="62">
        <f>IFERROR(aurora_data!K450,0)</f>
        <v>0</v>
      </c>
      <c r="M30" s="62">
        <f>IFERROR(aurora_data!L450,0)</f>
        <v>0</v>
      </c>
      <c r="N30" s="63">
        <f>IFERROR(aurora_data!M450,0)</f>
        <v>0</v>
      </c>
      <c r="O30" s="36">
        <f>IFERROR(aurora_data!N450,0)</f>
        <v>0</v>
      </c>
      <c r="P30" s="62">
        <f>IFERROR(aurora_data!O450,0)</f>
        <v>0</v>
      </c>
      <c r="Q30" s="62">
        <f>IFERROR(aurora_data!P450,0)</f>
        <v>0</v>
      </c>
      <c r="R30" s="63">
        <f>IFERROR(aurora_data!Q450,0)</f>
        <v>0</v>
      </c>
      <c r="S30" s="62">
        <f>IFERROR(aurora_data!R450,0)</f>
        <v>0</v>
      </c>
      <c r="T30" s="62">
        <f>IFERROR(aurora_data!S450,0)</f>
        <v>0</v>
      </c>
      <c r="U30" s="63">
        <f>IFERROR(aurora_data!T450,0)</f>
        <v>0</v>
      </c>
      <c r="V30" s="64" t="s">
        <v>95</v>
      </c>
      <c r="W30" s="36">
        <f>IFERROR(aurora_data!U450,0)</f>
        <v>0</v>
      </c>
      <c r="X30" s="71">
        <f t="shared" si="2"/>
        <v>0</v>
      </c>
      <c r="Y30" s="2"/>
    </row>
    <row r="31" spans="1:25" customFormat="1">
      <c r="A31" s="2"/>
      <c r="B31" s="211"/>
      <c r="C31" s="213"/>
      <c r="D31" s="35" t="s">
        <v>97</v>
      </c>
      <c r="E31" s="36">
        <f>IFERROR(aurora_data!D451,0)</f>
        <v>0</v>
      </c>
      <c r="F31" s="62">
        <f>IFERROR(aurora_data!E451,0)</f>
        <v>0</v>
      </c>
      <c r="G31" s="62">
        <f>IFERROR(aurora_data!F451,0)</f>
        <v>0</v>
      </c>
      <c r="H31" s="62">
        <f>IFERROR(aurora_data!G451,0)</f>
        <v>0</v>
      </c>
      <c r="I31" s="63">
        <f>IFERROR(aurora_data!H451,0)</f>
        <v>0</v>
      </c>
      <c r="J31" s="36">
        <f>IFERROR(aurora_data!I451,0)</f>
        <v>0</v>
      </c>
      <c r="K31" s="62">
        <f>IFERROR(aurora_data!J451,0)</f>
        <v>0</v>
      </c>
      <c r="L31" s="62">
        <f>IFERROR(aurora_data!K451,0)</f>
        <v>0</v>
      </c>
      <c r="M31" s="62">
        <f>IFERROR(aurora_data!L451,0)</f>
        <v>0</v>
      </c>
      <c r="N31" s="63">
        <f>IFERROR(aurora_data!M451,0)</f>
        <v>0</v>
      </c>
      <c r="O31" s="36">
        <f>IFERROR(aurora_data!N451,0)</f>
        <v>0</v>
      </c>
      <c r="P31" s="62">
        <f>IFERROR(aurora_data!O451,0)</f>
        <v>0</v>
      </c>
      <c r="Q31" s="62">
        <f>IFERROR(aurora_data!P451,0)</f>
        <v>0</v>
      </c>
      <c r="R31" s="63">
        <f>IFERROR(aurora_data!Q451,0)</f>
        <v>0</v>
      </c>
      <c r="S31" s="62">
        <f>IFERROR(aurora_data!R451,0)</f>
        <v>0</v>
      </c>
      <c r="T31" s="62">
        <f>IFERROR(aurora_data!S451,0)</f>
        <v>0</v>
      </c>
      <c r="U31" s="63">
        <f>IFERROR(aurora_data!T451,0)</f>
        <v>0</v>
      </c>
      <c r="V31" s="64" t="s">
        <v>95</v>
      </c>
      <c r="W31" s="36">
        <f>IFERROR(aurora_data!U451,0)</f>
        <v>0</v>
      </c>
      <c r="X31" s="71">
        <f t="shared" si="2"/>
        <v>0</v>
      </c>
      <c r="Y31" s="2"/>
    </row>
    <row r="32" spans="1:25" customFormat="1" ht="16.5" customHeight="1">
      <c r="A32" s="2"/>
      <c r="B32" s="211"/>
      <c r="C32" s="213"/>
      <c r="D32" s="35" t="s">
        <v>98</v>
      </c>
      <c r="E32" s="36">
        <f>IFERROR(aurora_data!D452,0)</f>
        <v>0</v>
      </c>
      <c r="F32" s="62">
        <f>IFERROR(aurora_data!E452,0)</f>
        <v>0</v>
      </c>
      <c r="G32" s="62">
        <f>IFERROR(aurora_data!F452,0)</f>
        <v>0</v>
      </c>
      <c r="H32" s="62">
        <f>IFERROR(aurora_data!G452,0)</f>
        <v>0</v>
      </c>
      <c r="I32" s="63">
        <f>IFERROR(aurora_data!H452,0)</f>
        <v>0</v>
      </c>
      <c r="J32" s="36">
        <f>IFERROR(aurora_data!I452,0)</f>
        <v>0</v>
      </c>
      <c r="K32" s="62">
        <f>IFERROR(aurora_data!J452,0)</f>
        <v>0</v>
      </c>
      <c r="L32" s="62">
        <f>IFERROR(aurora_data!K452,0)</f>
        <v>0</v>
      </c>
      <c r="M32" s="62">
        <f>IFERROR(aurora_data!L452,0)</f>
        <v>0</v>
      </c>
      <c r="N32" s="63">
        <f>IFERROR(aurora_data!M452,0)</f>
        <v>0</v>
      </c>
      <c r="O32" s="36">
        <f>IFERROR(aurora_data!N452,0)</f>
        <v>0</v>
      </c>
      <c r="P32" s="62">
        <f>IFERROR(aurora_data!O452,0)</f>
        <v>0</v>
      </c>
      <c r="Q32" s="62">
        <f>IFERROR(aurora_data!P452,0)</f>
        <v>0</v>
      </c>
      <c r="R32" s="63">
        <f>IFERROR(aurora_data!Q452,0)</f>
        <v>0</v>
      </c>
      <c r="S32" s="62">
        <f>IFERROR(aurora_data!R452,0)</f>
        <v>0</v>
      </c>
      <c r="T32" s="62">
        <f>IFERROR(aurora_data!S452,0)</f>
        <v>0</v>
      </c>
      <c r="U32" s="63">
        <f>IFERROR(aurora_data!T452,0)</f>
        <v>0</v>
      </c>
      <c r="V32" s="64" t="s">
        <v>95</v>
      </c>
      <c r="W32" s="36">
        <f>IFERROR(aurora_data!U452,0)</f>
        <v>0</v>
      </c>
      <c r="X32" s="71">
        <f t="shared" si="2"/>
        <v>0</v>
      </c>
      <c r="Y32" s="2"/>
    </row>
    <row r="33" spans="1:25" customFormat="1" ht="16.5" customHeight="1" thickBot="1">
      <c r="A33" s="2"/>
      <c r="B33" s="211"/>
      <c r="C33" s="213"/>
      <c r="D33" s="35" t="s">
        <v>99</v>
      </c>
      <c r="E33" s="36">
        <f>IFERROR(aurora_data!D453,0)</f>
        <v>0</v>
      </c>
      <c r="F33" s="62">
        <f>IFERROR(aurora_data!E453,0)</f>
        <v>0</v>
      </c>
      <c r="G33" s="62">
        <f>IFERROR(aurora_data!F453,0)</f>
        <v>0</v>
      </c>
      <c r="H33" s="62">
        <f>IFERROR(aurora_data!G453,0)</f>
        <v>0</v>
      </c>
      <c r="I33" s="63">
        <f>IFERROR(aurora_data!H453,0)</f>
        <v>0</v>
      </c>
      <c r="J33" s="36">
        <f>IFERROR(aurora_data!I453,0)</f>
        <v>0</v>
      </c>
      <c r="K33" s="62">
        <f>IFERROR(aurora_data!J453,0)</f>
        <v>0</v>
      </c>
      <c r="L33" s="62">
        <f>IFERROR(aurora_data!K453,0)</f>
        <v>0</v>
      </c>
      <c r="M33" s="62">
        <f>IFERROR(aurora_data!L453,0)</f>
        <v>0</v>
      </c>
      <c r="N33" s="63">
        <f>IFERROR(aurora_data!M453,0)</f>
        <v>0</v>
      </c>
      <c r="O33" s="36">
        <f>IFERROR(aurora_data!N453,0)</f>
        <v>0</v>
      </c>
      <c r="P33" s="62">
        <f>IFERROR(aurora_data!O453,0)</f>
        <v>0</v>
      </c>
      <c r="Q33" s="62">
        <f>IFERROR(aurora_data!P453,0)</f>
        <v>0</v>
      </c>
      <c r="R33" s="63">
        <f>IFERROR(aurora_data!Q453,0)</f>
        <v>0</v>
      </c>
      <c r="S33" s="62">
        <f>IFERROR(aurora_data!R453,0)</f>
        <v>0</v>
      </c>
      <c r="T33" s="62">
        <f>IFERROR(aurora_data!S453,0)</f>
        <v>0</v>
      </c>
      <c r="U33" s="63">
        <f>IFERROR(aurora_data!T453,0)</f>
        <v>0</v>
      </c>
      <c r="V33" s="64" t="s">
        <v>95</v>
      </c>
      <c r="W33" s="36">
        <f>IFERROR(aurora_data!U453,0)</f>
        <v>0</v>
      </c>
      <c r="X33" s="71">
        <f t="shared" si="2"/>
        <v>0</v>
      </c>
      <c r="Y33" s="2"/>
    </row>
    <row r="34" spans="1:25" customFormat="1" ht="16.5" customHeight="1" thickBot="1">
      <c r="A34" s="2"/>
      <c r="B34" s="211"/>
      <c r="C34" s="213"/>
      <c r="D34" s="37" t="s">
        <v>64</v>
      </c>
      <c r="E34" s="59">
        <f>IFERROR(aurora_data!D454,0)</f>
        <v>0</v>
      </c>
      <c r="F34" s="65">
        <f>IFERROR(aurora_data!E454,0)</f>
        <v>0</v>
      </c>
      <c r="G34" s="65">
        <f>IFERROR(aurora_data!F454,0)</f>
        <v>0</v>
      </c>
      <c r="H34" s="65">
        <f>IFERROR(aurora_data!G454,0)</f>
        <v>0</v>
      </c>
      <c r="I34" s="66">
        <f>IFERROR(aurora_data!H454,0)</f>
        <v>0</v>
      </c>
      <c r="J34" s="59">
        <f>IFERROR(aurora_data!I454,0)</f>
        <v>0</v>
      </c>
      <c r="K34" s="65">
        <f>IFERROR(aurora_data!J454,0)</f>
        <v>0</v>
      </c>
      <c r="L34" s="65">
        <f>IFERROR(aurora_data!K454,0)</f>
        <v>0</v>
      </c>
      <c r="M34" s="65">
        <f>IFERROR(aurora_data!L454,0)</f>
        <v>0</v>
      </c>
      <c r="N34" s="66">
        <f>IFERROR(aurora_data!M454,0)</f>
        <v>0</v>
      </c>
      <c r="O34" s="59">
        <f>IFERROR(aurora_data!N454,0)</f>
        <v>0</v>
      </c>
      <c r="P34" s="65">
        <f>IFERROR(aurora_data!O454,0)</f>
        <v>0</v>
      </c>
      <c r="Q34" s="65">
        <f>IFERROR(aurora_data!P454,0)</f>
        <v>0</v>
      </c>
      <c r="R34" s="66">
        <f>IFERROR(aurora_data!Q454,0)</f>
        <v>0</v>
      </c>
      <c r="S34" s="65">
        <f>IFERROR(aurora_data!R454,0)</f>
        <v>0</v>
      </c>
      <c r="T34" s="65">
        <f>IFERROR(aurora_data!S454,0)</f>
        <v>0</v>
      </c>
      <c r="U34" s="66">
        <f>IFERROR(aurora_data!T454,0)</f>
        <v>0</v>
      </c>
      <c r="V34" s="67" t="s">
        <v>95</v>
      </c>
      <c r="W34" s="59">
        <f>IFERROR(aurora_data!U454,0)</f>
        <v>0</v>
      </c>
      <c r="X34" s="72">
        <f t="shared" si="2"/>
        <v>0</v>
      </c>
      <c r="Y34" s="2"/>
    </row>
    <row r="35" spans="1:25" customFormat="1" ht="16.5" thickBot="1">
      <c r="A35" s="2"/>
      <c r="B35" s="211"/>
      <c r="C35" s="213"/>
      <c r="D35" s="38" t="s">
        <v>100</v>
      </c>
      <c r="E35" s="60">
        <f>IFERROR(aurora_data!D455,0)</f>
        <v>0</v>
      </c>
      <c r="F35" s="68">
        <f>IFERROR(aurora_data!E455,0)</f>
        <v>0</v>
      </c>
      <c r="G35" s="68">
        <f>IFERROR(aurora_data!F455,0)</f>
        <v>0</v>
      </c>
      <c r="H35" s="68">
        <f>IFERROR(aurora_data!G455,0)</f>
        <v>0</v>
      </c>
      <c r="I35" s="69">
        <f>IFERROR(aurora_data!H455,0)</f>
        <v>0</v>
      </c>
      <c r="J35" s="60">
        <f>IFERROR(aurora_data!I455,0)</f>
        <v>0</v>
      </c>
      <c r="K35" s="68">
        <f>IFERROR(aurora_data!J455,0)</f>
        <v>0</v>
      </c>
      <c r="L35" s="68">
        <f>IFERROR(aurora_data!K455,0)</f>
        <v>0</v>
      </c>
      <c r="M35" s="68">
        <f>IFERROR(aurora_data!L455,0)</f>
        <v>0</v>
      </c>
      <c r="N35" s="69">
        <f>IFERROR(aurora_data!M455,0)</f>
        <v>0</v>
      </c>
      <c r="O35" s="60">
        <f>IFERROR(aurora_data!N455,0)</f>
        <v>0</v>
      </c>
      <c r="P35" s="68">
        <f>IFERROR(aurora_data!O455,0)</f>
        <v>0</v>
      </c>
      <c r="Q35" s="68">
        <f>IFERROR(aurora_data!P455,0)</f>
        <v>0</v>
      </c>
      <c r="R35" s="69">
        <f>IFERROR(aurora_data!Q455,0)</f>
        <v>0</v>
      </c>
      <c r="S35" s="68">
        <f>IFERROR(aurora_data!R455,0)</f>
        <v>0</v>
      </c>
      <c r="T35" s="68">
        <f>IFERROR(aurora_data!S455,0)</f>
        <v>0</v>
      </c>
      <c r="U35" s="74">
        <f>IFERROR(aurora_data!T455,0)</f>
        <v>0</v>
      </c>
      <c r="V35" s="75" t="s">
        <v>95</v>
      </c>
      <c r="W35" s="60">
        <f>IFERROR(aurora_data!U455,0)</f>
        <v>0</v>
      </c>
      <c r="X35" s="73">
        <f t="shared" si="2"/>
        <v>0</v>
      </c>
      <c r="Y35" s="2"/>
    </row>
    <row r="36" spans="1:25" customFormat="1">
      <c r="A36" s="2"/>
      <c r="B36" s="210" t="s">
        <v>94</v>
      </c>
      <c r="C36" s="212" t="str">
        <f>aurora_data!A456</f>
        <v>09.00.00-09.11.30</v>
      </c>
      <c r="D36" s="34" t="s">
        <v>71</v>
      </c>
      <c r="E36" s="39">
        <f>IFERROR(aurora_data!D456,0)</f>
        <v>0</v>
      </c>
      <c r="F36" s="40">
        <f>IFERROR(aurora_data!E456,0)</f>
        <v>0</v>
      </c>
      <c r="G36" s="40">
        <f>IFERROR(aurora_data!F456,0)</f>
        <v>0</v>
      </c>
      <c r="H36" s="40">
        <f>IFERROR(aurora_data!G456,0)</f>
        <v>0</v>
      </c>
      <c r="I36" s="41">
        <f>IFERROR(aurora_data!H456,0)</f>
        <v>0</v>
      </c>
      <c r="J36" s="39">
        <f>IFERROR(aurora_data!I456,0)</f>
        <v>0</v>
      </c>
      <c r="K36" s="40">
        <f>IFERROR(aurora_data!J456,0)</f>
        <v>0</v>
      </c>
      <c r="L36" s="40">
        <f>IFERROR(aurora_data!K456,0)</f>
        <v>0</v>
      </c>
      <c r="M36" s="40">
        <f>IFERROR(aurora_data!L456,0)</f>
        <v>0</v>
      </c>
      <c r="N36" s="41">
        <f>IFERROR(aurora_data!M456,0)</f>
        <v>0</v>
      </c>
      <c r="O36" s="39">
        <f>IFERROR(aurora_data!N456,0)</f>
        <v>0</v>
      </c>
      <c r="P36" s="40">
        <f>IFERROR(aurora_data!O456,0)</f>
        <v>0</v>
      </c>
      <c r="Q36" s="40">
        <f>IFERROR(aurora_data!P456,0)</f>
        <v>0</v>
      </c>
      <c r="R36" s="41">
        <f>IFERROR(aurora_data!Q456,0)</f>
        <v>0</v>
      </c>
      <c r="S36" s="40">
        <f>IFERROR(aurora_data!R456,0)</f>
        <v>0</v>
      </c>
      <c r="T36" s="40">
        <f>IFERROR(aurora_data!S456,0)</f>
        <v>0</v>
      </c>
      <c r="U36" s="76">
        <f>IFERROR(aurora_data!T456,0)</f>
        <v>0</v>
      </c>
      <c r="V36" s="61" t="s">
        <v>95</v>
      </c>
      <c r="W36" s="39">
        <f>IFERROR(aurora_data!U456,0)</f>
        <v>2</v>
      </c>
      <c r="X36" s="70">
        <f>IFERROR(W36/$W$20,0)</f>
        <v>1</v>
      </c>
      <c r="Y36" s="2"/>
    </row>
    <row r="37" spans="1:25" customFormat="1" ht="16.5" customHeight="1">
      <c r="A37" s="2"/>
      <c r="B37" s="211"/>
      <c r="C37" s="213"/>
      <c r="D37" s="35" t="s">
        <v>96</v>
      </c>
      <c r="E37" s="36">
        <f>IFERROR(aurora_data!D457,0)</f>
        <v>0</v>
      </c>
      <c r="F37" s="62">
        <f>IFERROR(aurora_data!E457,0)</f>
        <v>0</v>
      </c>
      <c r="G37" s="62">
        <f>IFERROR(aurora_data!F457,0)</f>
        <v>0</v>
      </c>
      <c r="H37" s="62">
        <f>IFERROR(aurora_data!G457,0)</f>
        <v>0</v>
      </c>
      <c r="I37" s="63">
        <f>IFERROR(aurora_data!H457,0)</f>
        <v>0</v>
      </c>
      <c r="J37" s="36">
        <f>IFERROR(aurora_data!I457,0)</f>
        <v>0</v>
      </c>
      <c r="K37" s="62">
        <f>IFERROR(aurora_data!J457,0)</f>
        <v>0</v>
      </c>
      <c r="L37" s="62">
        <f>IFERROR(aurora_data!K457,0)</f>
        <v>0</v>
      </c>
      <c r="M37" s="62">
        <f>IFERROR(aurora_data!L457,0)</f>
        <v>0</v>
      </c>
      <c r="N37" s="63">
        <f>IFERROR(aurora_data!M457,0)</f>
        <v>0</v>
      </c>
      <c r="O37" s="36">
        <f>IFERROR(aurora_data!N457,0)</f>
        <v>0</v>
      </c>
      <c r="P37" s="62">
        <f>IFERROR(aurora_data!O457,0)</f>
        <v>0</v>
      </c>
      <c r="Q37" s="62">
        <f>IFERROR(aurora_data!P457,0)</f>
        <v>0</v>
      </c>
      <c r="R37" s="63">
        <f>IFERROR(aurora_data!Q457,0)</f>
        <v>0</v>
      </c>
      <c r="S37" s="62">
        <f>IFERROR(aurora_data!R457,0)</f>
        <v>0</v>
      </c>
      <c r="T37" s="62">
        <f>IFERROR(aurora_data!S457,0)</f>
        <v>0</v>
      </c>
      <c r="U37" s="63">
        <f>IFERROR(aurora_data!T457,0)</f>
        <v>0</v>
      </c>
      <c r="V37" s="64" t="s">
        <v>95</v>
      </c>
      <c r="W37" s="36">
        <f>IFERROR(aurora_data!U457,0)</f>
        <v>0</v>
      </c>
      <c r="X37" s="71">
        <f t="shared" ref="X37:X43" si="3">IFERROR(W37/$W$20,0)</f>
        <v>0</v>
      </c>
      <c r="Y37" s="2"/>
    </row>
    <row r="38" spans="1:25" customFormat="1" ht="16.5" customHeight="1">
      <c r="A38" s="2"/>
      <c r="B38" s="211"/>
      <c r="C38" s="213"/>
      <c r="D38" s="35" t="s">
        <v>60</v>
      </c>
      <c r="E38" s="36">
        <f>IFERROR(aurora_data!D458,0)</f>
        <v>0</v>
      </c>
      <c r="F38" s="62">
        <f>IFERROR(aurora_data!E458,0)</f>
        <v>0</v>
      </c>
      <c r="G38" s="62">
        <f>IFERROR(aurora_data!F458,0)</f>
        <v>0</v>
      </c>
      <c r="H38" s="62">
        <f>IFERROR(aurora_data!G458,0)</f>
        <v>0</v>
      </c>
      <c r="I38" s="63">
        <f>IFERROR(aurora_data!H458,0)</f>
        <v>0</v>
      </c>
      <c r="J38" s="36">
        <f>IFERROR(aurora_data!I458,0)</f>
        <v>0</v>
      </c>
      <c r="K38" s="62">
        <f>IFERROR(aurora_data!J458,0)</f>
        <v>0</v>
      </c>
      <c r="L38" s="62">
        <f>IFERROR(aurora_data!K458,0)</f>
        <v>0</v>
      </c>
      <c r="M38" s="62">
        <f>IFERROR(aurora_data!L458,0)</f>
        <v>0</v>
      </c>
      <c r="N38" s="63">
        <f>IFERROR(aurora_data!M458,0)</f>
        <v>0</v>
      </c>
      <c r="O38" s="36">
        <f>IFERROR(aurora_data!N458,0)</f>
        <v>0</v>
      </c>
      <c r="P38" s="62">
        <f>IFERROR(aurora_data!O458,0)</f>
        <v>0</v>
      </c>
      <c r="Q38" s="62">
        <f>IFERROR(aurora_data!P458,0)</f>
        <v>0</v>
      </c>
      <c r="R38" s="63">
        <f>IFERROR(aurora_data!Q458,0)</f>
        <v>0</v>
      </c>
      <c r="S38" s="62">
        <f>IFERROR(aurora_data!R458,0)</f>
        <v>0</v>
      </c>
      <c r="T38" s="62">
        <f>IFERROR(aurora_data!S458,0)</f>
        <v>0</v>
      </c>
      <c r="U38" s="63">
        <f>IFERROR(aurora_data!T458,0)</f>
        <v>0</v>
      </c>
      <c r="V38" s="64" t="s">
        <v>95</v>
      </c>
      <c r="W38" s="36">
        <f>IFERROR(aurora_data!U458,0)</f>
        <v>0</v>
      </c>
      <c r="X38" s="71">
        <f t="shared" si="3"/>
        <v>0</v>
      </c>
      <c r="Y38" s="2"/>
    </row>
    <row r="39" spans="1:25" customFormat="1">
      <c r="A39" s="2"/>
      <c r="B39" s="211"/>
      <c r="C39" s="213"/>
      <c r="D39" s="35" t="s">
        <v>97</v>
      </c>
      <c r="E39" s="36">
        <f>IFERROR(aurora_data!D459,0)</f>
        <v>0</v>
      </c>
      <c r="F39" s="62">
        <f>IFERROR(aurora_data!E459,0)</f>
        <v>0</v>
      </c>
      <c r="G39" s="62">
        <f>IFERROR(aurora_data!F459,0)</f>
        <v>0</v>
      </c>
      <c r="H39" s="62">
        <f>IFERROR(aurora_data!G459,0)</f>
        <v>0</v>
      </c>
      <c r="I39" s="63">
        <f>IFERROR(aurora_data!H459,0)</f>
        <v>0</v>
      </c>
      <c r="J39" s="36">
        <f>IFERROR(aurora_data!I459,0)</f>
        <v>0</v>
      </c>
      <c r="K39" s="62">
        <f>IFERROR(aurora_data!J459,0)</f>
        <v>0</v>
      </c>
      <c r="L39" s="62">
        <f>IFERROR(aurora_data!K459,0)</f>
        <v>0</v>
      </c>
      <c r="M39" s="62">
        <f>IFERROR(aurora_data!L459,0)</f>
        <v>0</v>
      </c>
      <c r="N39" s="63">
        <f>IFERROR(aurora_data!M459,0)</f>
        <v>0</v>
      </c>
      <c r="O39" s="36">
        <f>IFERROR(aurora_data!N459,0)</f>
        <v>0</v>
      </c>
      <c r="P39" s="62">
        <f>IFERROR(aurora_data!O459,0)</f>
        <v>0</v>
      </c>
      <c r="Q39" s="62">
        <f>IFERROR(aurora_data!P459,0)</f>
        <v>0</v>
      </c>
      <c r="R39" s="63">
        <f>IFERROR(aurora_data!Q459,0)</f>
        <v>0</v>
      </c>
      <c r="S39" s="62">
        <f>IFERROR(aurora_data!R459,0)</f>
        <v>0</v>
      </c>
      <c r="T39" s="62">
        <f>IFERROR(aurora_data!S459,0)</f>
        <v>0</v>
      </c>
      <c r="U39" s="63">
        <f>IFERROR(aurora_data!T459,0)</f>
        <v>0</v>
      </c>
      <c r="V39" s="64" t="s">
        <v>95</v>
      </c>
      <c r="W39" s="36">
        <f>IFERROR(aurora_data!U459,0)</f>
        <v>0</v>
      </c>
      <c r="X39" s="71">
        <f t="shared" si="3"/>
        <v>0</v>
      </c>
      <c r="Y39" s="2"/>
    </row>
    <row r="40" spans="1:25" customFormat="1" ht="16.5" customHeight="1">
      <c r="A40" s="2"/>
      <c r="B40" s="211"/>
      <c r="C40" s="213"/>
      <c r="D40" s="35" t="s">
        <v>98</v>
      </c>
      <c r="E40" s="36">
        <f>IFERROR(aurora_data!D460,0)</f>
        <v>0</v>
      </c>
      <c r="F40" s="62">
        <f>IFERROR(aurora_data!E460,0)</f>
        <v>0</v>
      </c>
      <c r="G40" s="62">
        <f>IFERROR(aurora_data!F460,0)</f>
        <v>0</v>
      </c>
      <c r="H40" s="62">
        <f>IFERROR(aurora_data!G460,0)</f>
        <v>0</v>
      </c>
      <c r="I40" s="63">
        <f>IFERROR(aurora_data!H460,0)</f>
        <v>0</v>
      </c>
      <c r="J40" s="36">
        <f>IFERROR(aurora_data!I460,0)</f>
        <v>0</v>
      </c>
      <c r="K40" s="62">
        <f>IFERROR(aurora_data!J460,0)</f>
        <v>0</v>
      </c>
      <c r="L40" s="62">
        <f>IFERROR(aurora_data!K460,0)</f>
        <v>0</v>
      </c>
      <c r="M40" s="62">
        <f>IFERROR(aurora_data!L460,0)</f>
        <v>0</v>
      </c>
      <c r="N40" s="63">
        <f>IFERROR(aurora_data!M460,0)</f>
        <v>0</v>
      </c>
      <c r="O40" s="36">
        <f>IFERROR(aurora_data!N460,0)</f>
        <v>0</v>
      </c>
      <c r="P40" s="62">
        <f>IFERROR(aurora_data!O460,0)</f>
        <v>0</v>
      </c>
      <c r="Q40" s="62">
        <f>IFERROR(aurora_data!P460,0)</f>
        <v>0</v>
      </c>
      <c r="R40" s="63">
        <f>IFERROR(aurora_data!Q460,0)</f>
        <v>0</v>
      </c>
      <c r="S40" s="62">
        <f>IFERROR(aurora_data!R460,0)</f>
        <v>0</v>
      </c>
      <c r="T40" s="62">
        <f>IFERROR(aurora_data!S460,0)</f>
        <v>0</v>
      </c>
      <c r="U40" s="63">
        <f>IFERROR(aurora_data!T460,0)</f>
        <v>0</v>
      </c>
      <c r="V40" s="64" t="s">
        <v>95</v>
      </c>
      <c r="W40" s="36">
        <f>IFERROR(aurora_data!U460,0)</f>
        <v>0</v>
      </c>
      <c r="X40" s="71">
        <f t="shared" si="3"/>
        <v>0</v>
      </c>
      <c r="Y40" s="2"/>
    </row>
    <row r="41" spans="1:25" customFormat="1" ht="16.5" customHeight="1" thickBot="1">
      <c r="A41" s="2"/>
      <c r="B41" s="211"/>
      <c r="C41" s="213"/>
      <c r="D41" s="35" t="s">
        <v>99</v>
      </c>
      <c r="E41" s="36">
        <f>IFERROR(aurora_data!D461,0)</f>
        <v>0</v>
      </c>
      <c r="F41" s="62">
        <f>IFERROR(aurora_data!E461,0)</f>
        <v>0</v>
      </c>
      <c r="G41" s="62">
        <f>IFERROR(aurora_data!F461,0)</f>
        <v>0</v>
      </c>
      <c r="H41" s="62">
        <f>IFERROR(aurora_data!G461,0)</f>
        <v>0</v>
      </c>
      <c r="I41" s="63">
        <f>IFERROR(aurora_data!H461,0)</f>
        <v>0</v>
      </c>
      <c r="J41" s="36">
        <f>IFERROR(aurora_data!I461,0)</f>
        <v>0</v>
      </c>
      <c r="K41" s="62">
        <f>IFERROR(aurora_data!J461,0)</f>
        <v>0</v>
      </c>
      <c r="L41" s="62">
        <f>IFERROR(aurora_data!K461,0)</f>
        <v>0</v>
      </c>
      <c r="M41" s="62">
        <f>IFERROR(aurora_data!L461,0)</f>
        <v>0</v>
      </c>
      <c r="N41" s="63">
        <f>IFERROR(aurora_data!M461,0)</f>
        <v>0</v>
      </c>
      <c r="O41" s="36">
        <f>IFERROR(aurora_data!N461,0)</f>
        <v>0</v>
      </c>
      <c r="P41" s="62">
        <f>IFERROR(aurora_data!O461,0)</f>
        <v>0</v>
      </c>
      <c r="Q41" s="62">
        <f>IFERROR(aurora_data!P461,0)</f>
        <v>0</v>
      </c>
      <c r="R41" s="63">
        <f>IFERROR(aurora_data!Q461,0)</f>
        <v>0</v>
      </c>
      <c r="S41" s="62">
        <f>IFERROR(aurora_data!R461,0)</f>
        <v>0</v>
      </c>
      <c r="T41" s="62">
        <f>IFERROR(aurora_data!S461,0)</f>
        <v>0</v>
      </c>
      <c r="U41" s="63">
        <f>IFERROR(aurora_data!T461,0)</f>
        <v>0</v>
      </c>
      <c r="V41" s="64" t="s">
        <v>95</v>
      </c>
      <c r="W41" s="36">
        <f>IFERROR(aurora_data!U461,0)</f>
        <v>0</v>
      </c>
      <c r="X41" s="71">
        <f t="shared" si="3"/>
        <v>0</v>
      </c>
      <c r="Y41" s="2"/>
    </row>
    <row r="42" spans="1:25" customFormat="1" ht="16.5" customHeight="1" thickBot="1">
      <c r="A42" s="2"/>
      <c r="B42" s="211"/>
      <c r="C42" s="213"/>
      <c r="D42" s="37" t="s">
        <v>64</v>
      </c>
      <c r="E42" s="59">
        <f>IFERROR(aurora_data!D462,0)</f>
        <v>0</v>
      </c>
      <c r="F42" s="65">
        <f>IFERROR(aurora_data!E462,0)</f>
        <v>0</v>
      </c>
      <c r="G42" s="65">
        <f>IFERROR(aurora_data!F462,0)</f>
        <v>0</v>
      </c>
      <c r="H42" s="65">
        <f>IFERROR(aurora_data!G462,0)</f>
        <v>0</v>
      </c>
      <c r="I42" s="66">
        <f>IFERROR(aurora_data!H462,0)</f>
        <v>0</v>
      </c>
      <c r="J42" s="59">
        <f>IFERROR(aurora_data!I462,0)</f>
        <v>0</v>
      </c>
      <c r="K42" s="65">
        <f>IFERROR(aurora_data!J462,0)</f>
        <v>0</v>
      </c>
      <c r="L42" s="65">
        <f>IFERROR(aurora_data!K462,0)</f>
        <v>0</v>
      </c>
      <c r="M42" s="65">
        <f>IFERROR(aurora_data!L462,0)</f>
        <v>0</v>
      </c>
      <c r="N42" s="66">
        <f>IFERROR(aurora_data!M462,0)</f>
        <v>0</v>
      </c>
      <c r="O42" s="59">
        <f>IFERROR(aurora_data!N462,0)</f>
        <v>0</v>
      </c>
      <c r="P42" s="65">
        <f>IFERROR(aurora_data!O462,0)</f>
        <v>0</v>
      </c>
      <c r="Q42" s="65">
        <f>IFERROR(aurora_data!P462,0)</f>
        <v>0</v>
      </c>
      <c r="R42" s="66">
        <f>IFERROR(aurora_data!Q462,0)</f>
        <v>0</v>
      </c>
      <c r="S42" s="65">
        <f>IFERROR(aurora_data!R462,0)</f>
        <v>0</v>
      </c>
      <c r="T42" s="65">
        <f>IFERROR(aurora_data!S462,0)</f>
        <v>0</v>
      </c>
      <c r="U42" s="66">
        <f>IFERROR(aurora_data!T462,0)</f>
        <v>0</v>
      </c>
      <c r="V42" s="67" t="s">
        <v>95</v>
      </c>
      <c r="W42" s="59">
        <f>IFERROR(aurora_data!U462,0)</f>
        <v>0</v>
      </c>
      <c r="X42" s="72">
        <f t="shared" si="3"/>
        <v>0</v>
      </c>
      <c r="Y42" s="2"/>
    </row>
    <row r="43" spans="1:25" customFormat="1" ht="16.5" thickBot="1">
      <c r="A43" s="2"/>
      <c r="B43" s="211"/>
      <c r="C43" s="213"/>
      <c r="D43" s="38" t="s">
        <v>100</v>
      </c>
      <c r="E43" s="60">
        <f>IFERROR(aurora_data!D463,0)</f>
        <v>0</v>
      </c>
      <c r="F43" s="68">
        <f>IFERROR(aurora_data!E463,0)</f>
        <v>0</v>
      </c>
      <c r="G43" s="68">
        <f>IFERROR(aurora_data!F463,0)</f>
        <v>0</v>
      </c>
      <c r="H43" s="68">
        <f>IFERROR(aurora_data!G463,0)</f>
        <v>0</v>
      </c>
      <c r="I43" s="69">
        <f>IFERROR(aurora_data!H463,0)</f>
        <v>0</v>
      </c>
      <c r="J43" s="60">
        <f>IFERROR(aurora_data!I463,0)</f>
        <v>0</v>
      </c>
      <c r="K43" s="68">
        <f>IFERROR(aurora_data!J463,0)</f>
        <v>0</v>
      </c>
      <c r="L43" s="68">
        <f>IFERROR(aurora_data!K463,0)</f>
        <v>0</v>
      </c>
      <c r="M43" s="68">
        <f>IFERROR(aurora_data!L463,0)</f>
        <v>0</v>
      </c>
      <c r="N43" s="69">
        <f>IFERROR(aurora_data!M463,0)</f>
        <v>0</v>
      </c>
      <c r="O43" s="60">
        <f>IFERROR(aurora_data!N463,0)</f>
        <v>0</v>
      </c>
      <c r="P43" s="68">
        <f>IFERROR(aurora_data!O463,0)</f>
        <v>0</v>
      </c>
      <c r="Q43" s="68">
        <f>IFERROR(aurora_data!P463,0)</f>
        <v>0</v>
      </c>
      <c r="R43" s="69">
        <f>IFERROR(aurora_data!Q463,0)</f>
        <v>0</v>
      </c>
      <c r="S43" s="68">
        <f>IFERROR(aurora_data!R463,0)</f>
        <v>0</v>
      </c>
      <c r="T43" s="68">
        <f>IFERROR(aurora_data!S463,0)</f>
        <v>0</v>
      </c>
      <c r="U43" s="74">
        <f>IFERROR(aurora_data!T463,0)</f>
        <v>0</v>
      </c>
      <c r="V43" s="75" t="s">
        <v>95</v>
      </c>
      <c r="W43" s="60">
        <f>IFERROR(aurora_data!U463,0)</f>
        <v>0</v>
      </c>
      <c r="X43" s="73">
        <f t="shared" si="3"/>
        <v>0</v>
      </c>
      <c r="Y43" s="2"/>
    </row>
    <row r="44" spans="1:25" customFormat="1">
      <c r="A44" s="2"/>
      <c r="B44" s="210" t="s">
        <v>94</v>
      </c>
      <c r="C44" s="212" t="str">
        <f>aurora_data!A464</f>
        <v>10.00.00-10.11.30</v>
      </c>
      <c r="D44" s="34" t="s">
        <v>71</v>
      </c>
      <c r="E44" s="39">
        <f>IFERROR(aurora_data!D464,0)</f>
        <v>0</v>
      </c>
      <c r="F44" s="40">
        <f>IFERROR(aurora_data!E464,0)</f>
        <v>0</v>
      </c>
      <c r="G44" s="40">
        <f>IFERROR(aurora_data!F464,0)</f>
        <v>0</v>
      </c>
      <c r="H44" s="40">
        <f>IFERROR(aurora_data!G464,0)</f>
        <v>0</v>
      </c>
      <c r="I44" s="41">
        <f>IFERROR(aurora_data!H464,0)</f>
        <v>0</v>
      </c>
      <c r="J44" s="39">
        <f>IFERROR(aurora_data!I464,0)</f>
        <v>0</v>
      </c>
      <c r="K44" s="40">
        <f>IFERROR(aurora_data!J464,0)</f>
        <v>0</v>
      </c>
      <c r="L44" s="40">
        <f>IFERROR(aurora_data!K464,0)</f>
        <v>0</v>
      </c>
      <c r="M44" s="40">
        <f>IFERROR(aurora_data!L464,0)</f>
        <v>0</v>
      </c>
      <c r="N44" s="41">
        <f>IFERROR(aurora_data!M464,0)</f>
        <v>0</v>
      </c>
      <c r="O44" s="39">
        <f>IFERROR(aurora_data!N464,0)</f>
        <v>0</v>
      </c>
      <c r="P44" s="40">
        <f>IFERROR(aurora_data!O464,0)</f>
        <v>0</v>
      </c>
      <c r="Q44" s="40">
        <f>IFERROR(aurora_data!P464,0)</f>
        <v>0</v>
      </c>
      <c r="R44" s="41">
        <f>IFERROR(aurora_data!Q464,0)</f>
        <v>0</v>
      </c>
      <c r="S44" s="40">
        <f>IFERROR(aurora_data!R464,0)</f>
        <v>0</v>
      </c>
      <c r="T44" s="40">
        <f>IFERROR(aurora_data!S464,0)</f>
        <v>0</v>
      </c>
      <c r="U44" s="76">
        <f>IFERROR(aurora_data!T464,0)</f>
        <v>0</v>
      </c>
      <c r="V44" s="61" t="s">
        <v>95</v>
      </c>
      <c r="W44" s="39">
        <f>IFERROR(aurora_data!U464,0)</f>
        <v>1</v>
      </c>
      <c r="X44" s="70">
        <f>IFERROR(W44/$W$20,0)</f>
        <v>0.5</v>
      </c>
      <c r="Y44" s="2"/>
    </row>
    <row r="45" spans="1:25" customFormat="1" ht="16.5" customHeight="1">
      <c r="A45" s="2"/>
      <c r="B45" s="211"/>
      <c r="C45" s="213"/>
      <c r="D45" s="35" t="s">
        <v>96</v>
      </c>
      <c r="E45" s="36">
        <f>IFERROR(aurora_data!D465,0)</f>
        <v>0</v>
      </c>
      <c r="F45" s="62">
        <f>IFERROR(aurora_data!E465,0)</f>
        <v>0</v>
      </c>
      <c r="G45" s="62">
        <f>IFERROR(aurora_data!F465,0)</f>
        <v>0</v>
      </c>
      <c r="H45" s="62">
        <f>IFERROR(aurora_data!G465,0)</f>
        <v>0</v>
      </c>
      <c r="I45" s="63">
        <f>IFERROR(aurora_data!H465,0)</f>
        <v>0</v>
      </c>
      <c r="J45" s="36">
        <f>IFERROR(aurora_data!I465,0)</f>
        <v>0</v>
      </c>
      <c r="K45" s="62">
        <f>IFERROR(aurora_data!J465,0)</f>
        <v>0</v>
      </c>
      <c r="L45" s="62">
        <f>IFERROR(aurora_data!K465,0)</f>
        <v>0</v>
      </c>
      <c r="M45" s="62">
        <f>IFERROR(aurora_data!L465,0)</f>
        <v>0</v>
      </c>
      <c r="N45" s="63">
        <f>IFERROR(aurora_data!M465,0)</f>
        <v>0</v>
      </c>
      <c r="O45" s="36">
        <f>IFERROR(aurora_data!N465,0)</f>
        <v>0</v>
      </c>
      <c r="P45" s="62">
        <f>IFERROR(aurora_data!O465,0)</f>
        <v>0</v>
      </c>
      <c r="Q45" s="62">
        <f>IFERROR(aurora_data!P465,0)</f>
        <v>0</v>
      </c>
      <c r="R45" s="63">
        <f>IFERROR(aurora_data!Q465,0)</f>
        <v>0</v>
      </c>
      <c r="S45" s="62">
        <f>IFERROR(aurora_data!R465,0)</f>
        <v>0</v>
      </c>
      <c r="T45" s="62">
        <f>IFERROR(aurora_data!S465,0)</f>
        <v>0</v>
      </c>
      <c r="U45" s="63">
        <f>IFERROR(aurora_data!T465,0)</f>
        <v>0</v>
      </c>
      <c r="V45" s="64" t="s">
        <v>95</v>
      </c>
      <c r="W45" s="36">
        <f>IFERROR(aurora_data!U465,0)</f>
        <v>0</v>
      </c>
      <c r="X45" s="71">
        <f t="shared" ref="X45:X51" si="4">IFERROR(W45/$W$20,0)</f>
        <v>0</v>
      </c>
      <c r="Y45" s="2"/>
    </row>
    <row r="46" spans="1:25" customFormat="1" ht="16.5" customHeight="1">
      <c r="A46" s="2"/>
      <c r="B46" s="211"/>
      <c r="C46" s="213"/>
      <c r="D46" s="35" t="s">
        <v>60</v>
      </c>
      <c r="E46" s="36">
        <f>IFERROR(aurora_data!D466,0)</f>
        <v>0</v>
      </c>
      <c r="F46" s="62">
        <f>IFERROR(aurora_data!E466,0)</f>
        <v>0</v>
      </c>
      <c r="G46" s="62">
        <f>IFERROR(aurora_data!F466,0)</f>
        <v>0</v>
      </c>
      <c r="H46" s="62">
        <f>IFERROR(aurora_data!G466,0)</f>
        <v>0</v>
      </c>
      <c r="I46" s="63">
        <f>IFERROR(aurora_data!H466,0)</f>
        <v>0</v>
      </c>
      <c r="J46" s="36">
        <f>IFERROR(aurora_data!I466,0)</f>
        <v>0</v>
      </c>
      <c r="K46" s="62">
        <f>IFERROR(aurora_data!J466,0)</f>
        <v>0</v>
      </c>
      <c r="L46" s="62">
        <f>IFERROR(aurora_data!K466,0)</f>
        <v>0</v>
      </c>
      <c r="M46" s="62">
        <f>IFERROR(aurora_data!L466,0)</f>
        <v>0</v>
      </c>
      <c r="N46" s="63">
        <f>IFERROR(aurora_data!M466,0)</f>
        <v>0</v>
      </c>
      <c r="O46" s="36">
        <f>IFERROR(aurora_data!N466,0)</f>
        <v>0</v>
      </c>
      <c r="P46" s="62">
        <f>IFERROR(aurora_data!O466,0)</f>
        <v>0</v>
      </c>
      <c r="Q46" s="62">
        <f>IFERROR(aurora_data!P466,0)</f>
        <v>0</v>
      </c>
      <c r="R46" s="63">
        <f>IFERROR(aurora_data!Q466,0)</f>
        <v>0</v>
      </c>
      <c r="S46" s="62">
        <f>IFERROR(aurora_data!R466,0)</f>
        <v>0</v>
      </c>
      <c r="T46" s="62">
        <f>IFERROR(aurora_data!S466,0)</f>
        <v>0</v>
      </c>
      <c r="U46" s="63">
        <f>IFERROR(aurora_data!T466,0)</f>
        <v>0</v>
      </c>
      <c r="V46" s="64" t="s">
        <v>95</v>
      </c>
      <c r="W46" s="36">
        <f>IFERROR(aurora_data!U466,0)</f>
        <v>0</v>
      </c>
      <c r="X46" s="71">
        <f t="shared" si="4"/>
        <v>0</v>
      </c>
      <c r="Y46" s="2"/>
    </row>
    <row r="47" spans="1:25" customFormat="1">
      <c r="A47" s="2"/>
      <c r="B47" s="211"/>
      <c r="C47" s="213"/>
      <c r="D47" s="35" t="s">
        <v>97</v>
      </c>
      <c r="E47" s="36">
        <f>IFERROR(aurora_data!D467,0)</f>
        <v>0</v>
      </c>
      <c r="F47" s="62">
        <f>IFERROR(aurora_data!E467,0)</f>
        <v>0</v>
      </c>
      <c r="G47" s="62">
        <f>IFERROR(aurora_data!F467,0)</f>
        <v>0</v>
      </c>
      <c r="H47" s="62">
        <f>IFERROR(aurora_data!G467,0)</f>
        <v>0</v>
      </c>
      <c r="I47" s="63">
        <f>IFERROR(aurora_data!H467,0)</f>
        <v>0</v>
      </c>
      <c r="J47" s="36">
        <f>IFERROR(aurora_data!I467,0)</f>
        <v>0</v>
      </c>
      <c r="K47" s="62">
        <f>IFERROR(aurora_data!J467,0)</f>
        <v>0</v>
      </c>
      <c r="L47" s="62">
        <f>IFERROR(aurora_data!K467,0)</f>
        <v>0</v>
      </c>
      <c r="M47" s="62">
        <f>IFERROR(aurora_data!L467,0)</f>
        <v>0</v>
      </c>
      <c r="N47" s="63">
        <f>IFERROR(aurora_data!M467,0)</f>
        <v>0</v>
      </c>
      <c r="O47" s="36">
        <f>IFERROR(aurora_data!N467,0)</f>
        <v>0</v>
      </c>
      <c r="P47" s="62">
        <f>IFERROR(aurora_data!O467,0)</f>
        <v>0</v>
      </c>
      <c r="Q47" s="62">
        <f>IFERROR(aurora_data!P467,0)</f>
        <v>0</v>
      </c>
      <c r="R47" s="63">
        <f>IFERROR(aurora_data!Q467,0)</f>
        <v>0</v>
      </c>
      <c r="S47" s="62">
        <f>IFERROR(aurora_data!R467,0)</f>
        <v>0</v>
      </c>
      <c r="T47" s="62">
        <f>IFERROR(aurora_data!S467,0)</f>
        <v>0</v>
      </c>
      <c r="U47" s="63">
        <f>IFERROR(aurora_data!T467,0)</f>
        <v>0</v>
      </c>
      <c r="V47" s="64" t="s">
        <v>95</v>
      </c>
      <c r="W47" s="36">
        <f>IFERROR(aurora_data!U467,0)</f>
        <v>0</v>
      </c>
      <c r="X47" s="71">
        <f t="shared" si="4"/>
        <v>0</v>
      </c>
      <c r="Y47" s="2"/>
    </row>
    <row r="48" spans="1:25" customFormat="1" ht="16.5" customHeight="1">
      <c r="A48" s="2"/>
      <c r="B48" s="211"/>
      <c r="C48" s="213"/>
      <c r="D48" s="35" t="s">
        <v>98</v>
      </c>
      <c r="E48" s="36">
        <f>IFERROR(aurora_data!D468,0)</f>
        <v>0</v>
      </c>
      <c r="F48" s="62">
        <f>IFERROR(aurora_data!E468,0)</f>
        <v>0</v>
      </c>
      <c r="G48" s="62">
        <f>IFERROR(aurora_data!F468,0)</f>
        <v>0</v>
      </c>
      <c r="H48" s="62">
        <f>IFERROR(aurora_data!G468,0)</f>
        <v>0</v>
      </c>
      <c r="I48" s="63">
        <f>IFERROR(aurora_data!H468,0)</f>
        <v>0</v>
      </c>
      <c r="J48" s="36">
        <f>IFERROR(aurora_data!I468,0)</f>
        <v>0</v>
      </c>
      <c r="K48" s="62">
        <f>IFERROR(aurora_data!J468,0)</f>
        <v>0</v>
      </c>
      <c r="L48" s="62">
        <f>IFERROR(aurora_data!K468,0)</f>
        <v>0</v>
      </c>
      <c r="M48" s="62">
        <f>IFERROR(aurora_data!L468,0)</f>
        <v>0</v>
      </c>
      <c r="N48" s="63">
        <f>IFERROR(aurora_data!M468,0)</f>
        <v>0</v>
      </c>
      <c r="O48" s="36">
        <f>IFERROR(aurora_data!N468,0)</f>
        <v>0</v>
      </c>
      <c r="P48" s="62">
        <f>IFERROR(aurora_data!O468,0)</f>
        <v>0</v>
      </c>
      <c r="Q48" s="62">
        <f>IFERROR(aurora_data!P468,0)</f>
        <v>0</v>
      </c>
      <c r="R48" s="63">
        <f>IFERROR(aurora_data!Q468,0)</f>
        <v>0</v>
      </c>
      <c r="S48" s="62">
        <f>IFERROR(aurora_data!R468,0)</f>
        <v>0</v>
      </c>
      <c r="T48" s="62">
        <f>IFERROR(aurora_data!S468,0)</f>
        <v>0</v>
      </c>
      <c r="U48" s="63">
        <f>IFERROR(aurora_data!T468,0)</f>
        <v>0</v>
      </c>
      <c r="V48" s="64" t="s">
        <v>95</v>
      </c>
      <c r="W48" s="36">
        <f>IFERROR(aurora_data!U468,0)</f>
        <v>0</v>
      </c>
      <c r="X48" s="71">
        <f t="shared" si="4"/>
        <v>0</v>
      </c>
      <c r="Y48" s="2"/>
    </row>
    <row r="49" spans="1:25" customFormat="1" ht="16.5" customHeight="1" thickBot="1">
      <c r="A49" s="2"/>
      <c r="B49" s="211"/>
      <c r="C49" s="213"/>
      <c r="D49" s="35" t="s">
        <v>99</v>
      </c>
      <c r="E49" s="36">
        <f>IFERROR(aurora_data!D469,0)</f>
        <v>0</v>
      </c>
      <c r="F49" s="62">
        <f>IFERROR(aurora_data!E469,0)</f>
        <v>0</v>
      </c>
      <c r="G49" s="62">
        <f>IFERROR(aurora_data!F469,0)</f>
        <v>0</v>
      </c>
      <c r="H49" s="62">
        <f>IFERROR(aurora_data!G469,0)</f>
        <v>0</v>
      </c>
      <c r="I49" s="63">
        <f>IFERROR(aurora_data!H469,0)</f>
        <v>0</v>
      </c>
      <c r="J49" s="36">
        <f>IFERROR(aurora_data!I469,0)</f>
        <v>0</v>
      </c>
      <c r="K49" s="62">
        <f>IFERROR(aurora_data!J469,0)</f>
        <v>0</v>
      </c>
      <c r="L49" s="62">
        <f>IFERROR(aurora_data!K469,0)</f>
        <v>0</v>
      </c>
      <c r="M49" s="62">
        <f>IFERROR(aurora_data!L469,0)</f>
        <v>0</v>
      </c>
      <c r="N49" s="63">
        <f>IFERROR(aurora_data!M469,0)</f>
        <v>0</v>
      </c>
      <c r="O49" s="36">
        <f>IFERROR(aurora_data!N469,0)</f>
        <v>0</v>
      </c>
      <c r="P49" s="62">
        <f>IFERROR(aurora_data!O469,0)</f>
        <v>0</v>
      </c>
      <c r="Q49" s="62">
        <f>IFERROR(aurora_data!P469,0)</f>
        <v>0</v>
      </c>
      <c r="R49" s="63">
        <f>IFERROR(aurora_data!Q469,0)</f>
        <v>0</v>
      </c>
      <c r="S49" s="62">
        <f>IFERROR(aurora_data!R469,0)</f>
        <v>0</v>
      </c>
      <c r="T49" s="62">
        <f>IFERROR(aurora_data!S469,0)</f>
        <v>0</v>
      </c>
      <c r="U49" s="63">
        <f>IFERROR(aurora_data!T469,0)</f>
        <v>0</v>
      </c>
      <c r="V49" s="64" t="s">
        <v>95</v>
      </c>
      <c r="W49" s="36">
        <f>IFERROR(aurora_data!U469,0)</f>
        <v>0</v>
      </c>
      <c r="X49" s="71">
        <f t="shared" si="4"/>
        <v>0</v>
      </c>
      <c r="Y49" s="2"/>
    </row>
    <row r="50" spans="1:25" customFormat="1" ht="16.5" customHeight="1" thickBot="1">
      <c r="A50" s="2"/>
      <c r="B50" s="211"/>
      <c r="C50" s="213"/>
      <c r="D50" s="37" t="s">
        <v>64</v>
      </c>
      <c r="E50" s="59">
        <f>IFERROR(aurora_data!D470,0)</f>
        <v>0</v>
      </c>
      <c r="F50" s="65">
        <f>IFERROR(aurora_data!E470,0)</f>
        <v>0</v>
      </c>
      <c r="G50" s="65">
        <f>IFERROR(aurora_data!F470,0)</f>
        <v>0</v>
      </c>
      <c r="H50" s="65">
        <f>IFERROR(aurora_data!G470,0)</f>
        <v>0</v>
      </c>
      <c r="I50" s="66">
        <f>IFERROR(aurora_data!H470,0)</f>
        <v>0</v>
      </c>
      <c r="J50" s="59">
        <f>IFERROR(aurora_data!I470,0)</f>
        <v>0</v>
      </c>
      <c r="K50" s="65">
        <f>IFERROR(aurora_data!J470,0)</f>
        <v>0</v>
      </c>
      <c r="L50" s="65">
        <f>IFERROR(aurora_data!K470,0)</f>
        <v>0</v>
      </c>
      <c r="M50" s="65">
        <f>IFERROR(aurora_data!L470,0)</f>
        <v>0</v>
      </c>
      <c r="N50" s="66">
        <f>IFERROR(aurora_data!M470,0)</f>
        <v>0</v>
      </c>
      <c r="O50" s="59">
        <f>IFERROR(aurora_data!N470,0)</f>
        <v>0</v>
      </c>
      <c r="P50" s="65">
        <f>IFERROR(aurora_data!O470,0)</f>
        <v>0</v>
      </c>
      <c r="Q50" s="65">
        <f>IFERROR(aurora_data!P470,0)</f>
        <v>0</v>
      </c>
      <c r="R50" s="66">
        <f>IFERROR(aurora_data!Q470,0)</f>
        <v>0</v>
      </c>
      <c r="S50" s="65">
        <f>IFERROR(aurora_data!R470,0)</f>
        <v>0</v>
      </c>
      <c r="T50" s="65">
        <f>IFERROR(aurora_data!S470,0)</f>
        <v>0</v>
      </c>
      <c r="U50" s="66">
        <f>IFERROR(aurora_data!T470,0)</f>
        <v>0</v>
      </c>
      <c r="V50" s="67" t="s">
        <v>95</v>
      </c>
      <c r="W50" s="59">
        <f>IFERROR(aurora_data!U470,0)</f>
        <v>0</v>
      </c>
      <c r="X50" s="72">
        <f t="shared" si="4"/>
        <v>0</v>
      </c>
      <c r="Y50" s="2"/>
    </row>
    <row r="51" spans="1:25" customFormat="1" ht="16.5" thickBot="1">
      <c r="A51" s="2"/>
      <c r="B51" s="211"/>
      <c r="C51" s="213"/>
      <c r="D51" s="38" t="s">
        <v>100</v>
      </c>
      <c r="E51" s="60">
        <f>IFERROR(aurora_data!D471,0)</f>
        <v>0</v>
      </c>
      <c r="F51" s="68">
        <f>IFERROR(aurora_data!E471,0)</f>
        <v>0</v>
      </c>
      <c r="G51" s="68">
        <f>IFERROR(aurora_data!F471,0)</f>
        <v>0</v>
      </c>
      <c r="H51" s="68">
        <f>IFERROR(aurora_data!G471,0)</f>
        <v>0</v>
      </c>
      <c r="I51" s="69">
        <f>IFERROR(aurora_data!H471,0)</f>
        <v>0</v>
      </c>
      <c r="J51" s="60">
        <f>IFERROR(aurora_data!I471,0)</f>
        <v>0</v>
      </c>
      <c r="K51" s="68">
        <f>IFERROR(aurora_data!J471,0)</f>
        <v>0</v>
      </c>
      <c r="L51" s="68">
        <f>IFERROR(aurora_data!K471,0)</f>
        <v>0</v>
      </c>
      <c r="M51" s="68">
        <f>IFERROR(aurora_data!L471,0)</f>
        <v>0</v>
      </c>
      <c r="N51" s="69">
        <f>IFERROR(aurora_data!M471,0)</f>
        <v>0</v>
      </c>
      <c r="O51" s="60">
        <f>IFERROR(aurora_data!N471,0)</f>
        <v>0</v>
      </c>
      <c r="P51" s="68">
        <f>IFERROR(aurora_data!O471,0)</f>
        <v>0</v>
      </c>
      <c r="Q51" s="68">
        <f>IFERROR(aurora_data!P471,0)</f>
        <v>0</v>
      </c>
      <c r="R51" s="69">
        <f>IFERROR(aurora_data!Q471,0)</f>
        <v>0</v>
      </c>
      <c r="S51" s="68">
        <f>IFERROR(aurora_data!R471,0)</f>
        <v>0</v>
      </c>
      <c r="T51" s="68">
        <f>IFERROR(aurora_data!S471,0)</f>
        <v>0</v>
      </c>
      <c r="U51" s="74">
        <f>IFERROR(aurora_data!T471,0)</f>
        <v>0</v>
      </c>
      <c r="V51" s="75" t="s">
        <v>95</v>
      </c>
      <c r="W51" s="60">
        <f>IFERROR(aurora_data!U471,0)</f>
        <v>0</v>
      </c>
      <c r="X51" s="73">
        <f t="shared" si="4"/>
        <v>0</v>
      </c>
      <c r="Y51" s="2"/>
    </row>
    <row r="52" spans="1:25" customFormat="1">
      <c r="A52" s="2"/>
      <c r="B52" s="210" t="s">
        <v>94</v>
      </c>
      <c r="C52" s="212" t="str">
        <f>aurora_data!A472</f>
        <v>11.00.00-11.11.30</v>
      </c>
      <c r="D52" s="34" t="s">
        <v>71</v>
      </c>
      <c r="E52" s="39">
        <f>IFERROR(aurora_data!D472,0)</f>
        <v>0</v>
      </c>
      <c r="F52" s="40">
        <f>IFERROR(aurora_data!E472,0)</f>
        <v>0</v>
      </c>
      <c r="G52" s="40">
        <f>IFERROR(aurora_data!F472,0)</f>
        <v>0</v>
      </c>
      <c r="H52" s="40">
        <f>IFERROR(aurora_data!G472,0)</f>
        <v>0</v>
      </c>
      <c r="I52" s="41">
        <f>IFERROR(aurora_data!H472,0)</f>
        <v>0</v>
      </c>
      <c r="J52" s="39">
        <f>IFERROR(aurora_data!I472,0)</f>
        <v>0</v>
      </c>
      <c r="K52" s="40">
        <f>IFERROR(aurora_data!J472,0)</f>
        <v>0</v>
      </c>
      <c r="L52" s="40">
        <f>IFERROR(aurora_data!K472,0)</f>
        <v>0</v>
      </c>
      <c r="M52" s="40">
        <f>IFERROR(aurora_data!L472,0)</f>
        <v>0</v>
      </c>
      <c r="N52" s="41">
        <f>IFERROR(aurora_data!M472,0)</f>
        <v>0</v>
      </c>
      <c r="O52" s="39">
        <f>IFERROR(aurora_data!N472,0)</f>
        <v>0</v>
      </c>
      <c r="P52" s="40">
        <f>IFERROR(aurora_data!O472,0)</f>
        <v>0</v>
      </c>
      <c r="Q52" s="40">
        <f>IFERROR(aurora_data!P472,0)</f>
        <v>0</v>
      </c>
      <c r="R52" s="41">
        <f>IFERROR(aurora_data!Q472,0)</f>
        <v>0</v>
      </c>
      <c r="S52" s="40">
        <f>IFERROR(aurora_data!R472,0)</f>
        <v>0</v>
      </c>
      <c r="T52" s="40">
        <f>IFERROR(aurora_data!S472,0)</f>
        <v>0</v>
      </c>
      <c r="U52" s="76">
        <f>IFERROR(aurora_data!T472,0)</f>
        <v>0</v>
      </c>
      <c r="V52" s="61" t="s">
        <v>95</v>
      </c>
      <c r="W52" s="39">
        <f>IFERROR(aurora_data!U472,0)</f>
        <v>2</v>
      </c>
      <c r="X52" s="70">
        <f>IFERROR(W52/$W$20,0)</f>
        <v>1</v>
      </c>
      <c r="Y52" s="2"/>
    </row>
    <row r="53" spans="1:25" customFormat="1" ht="16.5" customHeight="1">
      <c r="A53" s="2"/>
      <c r="B53" s="211"/>
      <c r="C53" s="213"/>
      <c r="D53" s="35" t="s">
        <v>96</v>
      </c>
      <c r="E53" s="36">
        <f>IFERROR(aurora_data!D473,0)</f>
        <v>0</v>
      </c>
      <c r="F53" s="62">
        <f>IFERROR(aurora_data!E473,0)</f>
        <v>0</v>
      </c>
      <c r="G53" s="62">
        <f>IFERROR(aurora_data!F473,0)</f>
        <v>0</v>
      </c>
      <c r="H53" s="62">
        <f>IFERROR(aurora_data!G473,0)</f>
        <v>0</v>
      </c>
      <c r="I53" s="63">
        <f>IFERROR(aurora_data!H473,0)</f>
        <v>0</v>
      </c>
      <c r="J53" s="36">
        <f>IFERROR(aurora_data!I473,0)</f>
        <v>0</v>
      </c>
      <c r="K53" s="62">
        <f>IFERROR(aurora_data!J473,0)</f>
        <v>0</v>
      </c>
      <c r="L53" s="62">
        <f>IFERROR(aurora_data!K473,0)</f>
        <v>0</v>
      </c>
      <c r="M53" s="62">
        <f>IFERROR(aurora_data!L473,0)</f>
        <v>0</v>
      </c>
      <c r="N53" s="63">
        <f>IFERROR(aurora_data!M473,0)</f>
        <v>0</v>
      </c>
      <c r="O53" s="36">
        <f>IFERROR(aurora_data!N473,0)</f>
        <v>0</v>
      </c>
      <c r="P53" s="62">
        <f>IFERROR(aurora_data!O473,0)</f>
        <v>0</v>
      </c>
      <c r="Q53" s="62">
        <f>IFERROR(aurora_data!P473,0)</f>
        <v>0</v>
      </c>
      <c r="R53" s="63">
        <f>IFERROR(aurora_data!Q473,0)</f>
        <v>0</v>
      </c>
      <c r="S53" s="62">
        <f>IFERROR(aurora_data!R473,0)</f>
        <v>0</v>
      </c>
      <c r="T53" s="62">
        <f>IFERROR(aurora_data!S473,0)</f>
        <v>0</v>
      </c>
      <c r="U53" s="63">
        <f>IFERROR(aurora_data!T473,0)</f>
        <v>0</v>
      </c>
      <c r="V53" s="64" t="s">
        <v>95</v>
      </c>
      <c r="W53" s="36">
        <f>IFERROR(aurora_data!U473,0)</f>
        <v>0</v>
      </c>
      <c r="X53" s="71">
        <f t="shared" ref="X53:X59" si="5">IFERROR(W53/$W$20,0)</f>
        <v>0</v>
      </c>
      <c r="Y53" s="2"/>
    </row>
    <row r="54" spans="1:25" customFormat="1" ht="16.5" customHeight="1">
      <c r="A54" s="2"/>
      <c r="B54" s="211"/>
      <c r="C54" s="213"/>
      <c r="D54" s="35" t="s">
        <v>60</v>
      </c>
      <c r="E54" s="36">
        <f>IFERROR(aurora_data!D474,0)</f>
        <v>0</v>
      </c>
      <c r="F54" s="62">
        <f>IFERROR(aurora_data!E474,0)</f>
        <v>0</v>
      </c>
      <c r="G54" s="62">
        <f>IFERROR(aurora_data!F474,0)</f>
        <v>0</v>
      </c>
      <c r="H54" s="62">
        <f>IFERROR(aurora_data!G474,0)</f>
        <v>0</v>
      </c>
      <c r="I54" s="63">
        <f>IFERROR(aurora_data!H474,0)</f>
        <v>0</v>
      </c>
      <c r="J54" s="36">
        <f>IFERROR(aurora_data!I474,0)</f>
        <v>0</v>
      </c>
      <c r="K54" s="62">
        <f>IFERROR(aurora_data!J474,0)</f>
        <v>0</v>
      </c>
      <c r="L54" s="62">
        <f>IFERROR(aurora_data!K474,0)</f>
        <v>0</v>
      </c>
      <c r="M54" s="62">
        <f>IFERROR(aurora_data!L474,0)</f>
        <v>0</v>
      </c>
      <c r="N54" s="63">
        <f>IFERROR(aurora_data!M474,0)</f>
        <v>0</v>
      </c>
      <c r="O54" s="36">
        <f>IFERROR(aurora_data!N474,0)</f>
        <v>0</v>
      </c>
      <c r="P54" s="62">
        <f>IFERROR(aurora_data!O474,0)</f>
        <v>0</v>
      </c>
      <c r="Q54" s="62">
        <f>IFERROR(aurora_data!P474,0)</f>
        <v>0</v>
      </c>
      <c r="R54" s="63">
        <f>IFERROR(aurora_data!Q474,0)</f>
        <v>0</v>
      </c>
      <c r="S54" s="62">
        <f>IFERROR(aurora_data!R474,0)</f>
        <v>0</v>
      </c>
      <c r="T54" s="62">
        <f>IFERROR(aurora_data!S474,0)</f>
        <v>0</v>
      </c>
      <c r="U54" s="63">
        <f>IFERROR(aurora_data!T474,0)</f>
        <v>0</v>
      </c>
      <c r="V54" s="64" t="s">
        <v>95</v>
      </c>
      <c r="W54" s="36">
        <f>IFERROR(aurora_data!U474,0)</f>
        <v>0</v>
      </c>
      <c r="X54" s="71">
        <f t="shared" si="5"/>
        <v>0</v>
      </c>
      <c r="Y54" s="2"/>
    </row>
    <row r="55" spans="1:25" customFormat="1">
      <c r="A55" s="2"/>
      <c r="B55" s="211"/>
      <c r="C55" s="213"/>
      <c r="D55" s="35" t="s">
        <v>97</v>
      </c>
      <c r="E55" s="36">
        <f>IFERROR(aurora_data!D475,0)</f>
        <v>0</v>
      </c>
      <c r="F55" s="62">
        <f>IFERROR(aurora_data!E475,0)</f>
        <v>0</v>
      </c>
      <c r="G55" s="62">
        <f>IFERROR(aurora_data!F475,0)</f>
        <v>0</v>
      </c>
      <c r="H55" s="62">
        <f>IFERROR(aurora_data!G475,0)</f>
        <v>0</v>
      </c>
      <c r="I55" s="63">
        <f>IFERROR(aurora_data!H475,0)</f>
        <v>0</v>
      </c>
      <c r="J55" s="36">
        <f>IFERROR(aurora_data!I475,0)</f>
        <v>0</v>
      </c>
      <c r="K55" s="62">
        <f>IFERROR(aurora_data!J475,0)</f>
        <v>0</v>
      </c>
      <c r="L55" s="62">
        <f>IFERROR(aurora_data!K475,0)</f>
        <v>0</v>
      </c>
      <c r="M55" s="62">
        <f>IFERROR(aurora_data!L475,0)</f>
        <v>0</v>
      </c>
      <c r="N55" s="63">
        <f>IFERROR(aurora_data!M475,0)</f>
        <v>0</v>
      </c>
      <c r="O55" s="36">
        <f>IFERROR(aurora_data!N475,0)</f>
        <v>0</v>
      </c>
      <c r="P55" s="62">
        <f>IFERROR(aurora_data!O475,0)</f>
        <v>0</v>
      </c>
      <c r="Q55" s="62">
        <f>IFERROR(aurora_data!P475,0)</f>
        <v>0</v>
      </c>
      <c r="R55" s="63">
        <f>IFERROR(aurora_data!Q475,0)</f>
        <v>0</v>
      </c>
      <c r="S55" s="62">
        <f>IFERROR(aurora_data!R475,0)</f>
        <v>0</v>
      </c>
      <c r="T55" s="62">
        <f>IFERROR(aurora_data!S475,0)</f>
        <v>0</v>
      </c>
      <c r="U55" s="63">
        <f>IFERROR(aurora_data!T475,0)</f>
        <v>0</v>
      </c>
      <c r="V55" s="64" t="s">
        <v>95</v>
      </c>
      <c r="W55" s="36">
        <f>IFERROR(aurora_data!U475,0)</f>
        <v>0</v>
      </c>
      <c r="X55" s="71">
        <f t="shared" si="5"/>
        <v>0</v>
      </c>
      <c r="Y55" s="2"/>
    </row>
    <row r="56" spans="1:25" customFormat="1" ht="16.5" customHeight="1">
      <c r="A56" s="2"/>
      <c r="B56" s="211"/>
      <c r="C56" s="213"/>
      <c r="D56" s="35" t="s">
        <v>98</v>
      </c>
      <c r="E56" s="36">
        <f>IFERROR(aurora_data!D476,0)</f>
        <v>0</v>
      </c>
      <c r="F56" s="62">
        <f>IFERROR(aurora_data!E476,0)</f>
        <v>0</v>
      </c>
      <c r="G56" s="62">
        <f>IFERROR(aurora_data!F476,0)</f>
        <v>0</v>
      </c>
      <c r="H56" s="62">
        <f>IFERROR(aurora_data!G476,0)</f>
        <v>0</v>
      </c>
      <c r="I56" s="63">
        <f>IFERROR(aurora_data!H476,0)</f>
        <v>0</v>
      </c>
      <c r="J56" s="36">
        <f>IFERROR(aurora_data!I476,0)</f>
        <v>0</v>
      </c>
      <c r="K56" s="62">
        <f>IFERROR(aurora_data!J476,0)</f>
        <v>0</v>
      </c>
      <c r="L56" s="62">
        <f>IFERROR(aurora_data!K476,0)</f>
        <v>0</v>
      </c>
      <c r="M56" s="62">
        <f>IFERROR(aurora_data!L476,0)</f>
        <v>0</v>
      </c>
      <c r="N56" s="63">
        <f>IFERROR(aurora_data!M476,0)</f>
        <v>0</v>
      </c>
      <c r="O56" s="36">
        <f>IFERROR(aurora_data!N476,0)</f>
        <v>0</v>
      </c>
      <c r="P56" s="62">
        <f>IFERROR(aurora_data!O476,0)</f>
        <v>0</v>
      </c>
      <c r="Q56" s="62">
        <f>IFERROR(aurora_data!P476,0)</f>
        <v>0</v>
      </c>
      <c r="R56" s="63">
        <f>IFERROR(aurora_data!Q476,0)</f>
        <v>0</v>
      </c>
      <c r="S56" s="62">
        <f>IFERROR(aurora_data!R476,0)</f>
        <v>0</v>
      </c>
      <c r="T56" s="62">
        <f>IFERROR(aurora_data!S476,0)</f>
        <v>0</v>
      </c>
      <c r="U56" s="63">
        <f>IFERROR(aurora_data!T476,0)</f>
        <v>0</v>
      </c>
      <c r="V56" s="64" t="s">
        <v>95</v>
      </c>
      <c r="W56" s="36">
        <f>IFERROR(aurora_data!U476,0)</f>
        <v>0</v>
      </c>
      <c r="X56" s="71">
        <f t="shared" si="5"/>
        <v>0</v>
      </c>
      <c r="Y56" s="2"/>
    </row>
    <row r="57" spans="1:25" customFormat="1" ht="16.5" customHeight="1" thickBot="1">
      <c r="A57" s="2"/>
      <c r="B57" s="211"/>
      <c r="C57" s="213"/>
      <c r="D57" s="35" t="s">
        <v>99</v>
      </c>
      <c r="E57" s="36">
        <f>IFERROR(aurora_data!D477,0)</f>
        <v>0</v>
      </c>
      <c r="F57" s="62">
        <f>IFERROR(aurora_data!E477,0)</f>
        <v>0</v>
      </c>
      <c r="G57" s="62">
        <f>IFERROR(aurora_data!F477,0)</f>
        <v>0</v>
      </c>
      <c r="H57" s="62">
        <f>IFERROR(aurora_data!G477,0)</f>
        <v>0</v>
      </c>
      <c r="I57" s="63">
        <f>IFERROR(aurora_data!H477,0)</f>
        <v>0</v>
      </c>
      <c r="J57" s="36">
        <f>IFERROR(aurora_data!I477,0)</f>
        <v>0</v>
      </c>
      <c r="K57" s="62">
        <f>IFERROR(aurora_data!J477,0)</f>
        <v>0</v>
      </c>
      <c r="L57" s="62">
        <f>IFERROR(aurora_data!K477,0)</f>
        <v>0</v>
      </c>
      <c r="M57" s="62">
        <f>IFERROR(aurora_data!L477,0)</f>
        <v>0</v>
      </c>
      <c r="N57" s="63">
        <f>IFERROR(aurora_data!M477,0)</f>
        <v>0</v>
      </c>
      <c r="O57" s="36">
        <f>IFERROR(aurora_data!N477,0)</f>
        <v>0</v>
      </c>
      <c r="P57" s="62">
        <f>IFERROR(aurora_data!O477,0)</f>
        <v>0</v>
      </c>
      <c r="Q57" s="62">
        <f>IFERROR(aurora_data!P477,0)</f>
        <v>0</v>
      </c>
      <c r="R57" s="63">
        <f>IFERROR(aurora_data!Q477,0)</f>
        <v>0</v>
      </c>
      <c r="S57" s="62">
        <f>IFERROR(aurora_data!R477,0)</f>
        <v>0</v>
      </c>
      <c r="T57" s="62">
        <f>IFERROR(aurora_data!S477,0)</f>
        <v>0</v>
      </c>
      <c r="U57" s="63">
        <f>IFERROR(aurora_data!T477,0)</f>
        <v>0</v>
      </c>
      <c r="V57" s="64" t="s">
        <v>95</v>
      </c>
      <c r="W57" s="36">
        <f>IFERROR(aurora_data!U477,0)</f>
        <v>0</v>
      </c>
      <c r="X57" s="71">
        <f t="shared" si="5"/>
        <v>0</v>
      </c>
      <c r="Y57" s="2"/>
    </row>
    <row r="58" spans="1:25" customFormat="1" ht="16.5" customHeight="1" thickBot="1">
      <c r="A58" s="2"/>
      <c r="B58" s="211"/>
      <c r="C58" s="213"/>
      <c r="D58" s="37" t="s">
        <v>64</v>
      </c>
      <c r="E58" s="59">
        <f>IFERROR(aurora_data!D478,0)</f>
        <v>0</v>
      </c>
      <c r="F58" s="65">
        <f>IFERROR(aurora_data!E478,0)</f>
        <v>0</v>
      </c>
      <c r="G58" s="65">
        <f>IFERROR(aurora_data!F478,0)</f>
        <v>0</v>
      </c>
      <c r="H58" s="65">
        <f>IFERROR(aurora_data!G478,0)</f>
        <v>0</v>
      </c>
      <c r="I58" s="66">
        <f>IFERROR(aurora_data!H478,0)</f>
        <v>0</v>
      </c>
      <c r="J58" s="59">
        <f>IFERROR(aurora_data!I478,0)</f>
        <v>0</v>
      </c>
      <c r="K58" s="65">
        <f>IFERROR(aurora_data!J478,0)</f>
        <v>0</v>
      </c>
      <c r="L58" s="65">
        <f>IFERROR(aurora_data!K478,0)</f>
        <v>0</v>
      </c>
      <c r="M58" s="65">
        <f>IFERROR(aurora_data!L478,0)</f>
        <v>0</v>
      </c>
      <c r="N58" s="66">
        <f>IFERROR(aurora_data!M478,0)</f>
        <v>0</v>
      </c>
      <c r="O58" s="59">
        <f>IFERROR(aurora_data!N478,0)</f>
        <v>0</v>
      </c>
      <c r="P58" s="65">
        <f>IFERROR(aurora_data!O478,0)</f>
        <v>0</v>
      </c>
      <c r="Q58" s="65">
        <f>IFERROR(aurora_data!P478,0)</f>
        <v>0</v>
      </c>
      <c r="R58" s="66">
        <f>IFERROR(aurora_data!Q478,0)</f>
        <v>0</v>
      </c>
      <c r="S58" s="65">
        <f>IFERROR(aurora_data!R478,0)</f>
        <v>0</v>
      </c>
      <c r="T58" s="65">
        <f>IFERROR(aurora_data!S478,0)</f>
        <v>0</v>
      </c>
      <c r="U58" s="66">
        <f>IFERROR(aurora_data!T478,0)</f>
        <v>0</v>
      </c>
      <c r="V58" s="67" t="s">
        <v>95</v>
      </c>
      <c r="W58" s="59">
        <f>IFERROR(aurora_data!U478,0)</f>
        <v>0</v>
      </c>
      <c r="X58" s="72">
        <f t="shared" si="5"/>
        <v>0</v>
      </c>
      <c r="Y58" s="2"/>
    </row>
    <row r="59" spans="1:25" customFormat="1" ht="16.5" thickBot="1">
      <c r="A59" s="2"/>
      <c r="B59" s="211"/>
      <c r="C59" s="213"/>
      <c r="D59" s="38" t="s">
        <v>100</v>
      </c>
      <c r="E59" s="60">
        <f>IFERROR(aurora_data!D479,0)</f>
        <v>0</v>
      </c>
      <c r="F59" s="68">
        <f>IFERROR(aurora_data!E479,0)</f>
        <v>0</v>
      </c>
      <c r="G59" s="68">
        <f>IFERROR(aurora_data!F479,0)</f>
        <v>0</v>
      </c>
      <c r="H59" s="68">
        <f>IFERROR(aurora_data!G479,0)</f>
        <v>0</v>
      </c>
      <c r="I59" s="69">
        <f>IFERROR(aurora_data!H479,0)</f>
        <v>0</v>
      </c>
      <c r="J59" s="60">
        <f>IFERROR(aurora_data!I479,0)</f>
        <v>0</v>
      </c>
      <c r="K59" s="68">
        <f>IFERROR(aurora_data!J479,0)</f>
        <v>0</v>
      </c>
      <c r="L59" s="68">
        <f>IFERROR(aurora_data!K479,0)</f>
        <v>0</v>
      </c>
      <c r="M59" s="68">
        <f>IFERROR(aurora_data!L479,0)</f>
        <v>0</v>
      </c>
      <c r="N59" s="69">
        <f>IFERROR(aurora_data!M479,0)</f>
        <v>0</v>
      </c>
      <c r="O59" s="60">
        <f>IFERROR(aurora_data!N479,0)</f>
        <v>0</v>
      </c>
      <c r="P59" s="68">
        <f>IFERROR(aurora_data!O479,0)</f>
        <v>0</v>
      </c>
      <c r="Q59" s="68">
        <f>IFERROR(aurora_data!P479,0)</f>
        <v>0</v>
      </c>
      <c r="R59" s="69">
        <f>IFERROR(aurora_data!Q479,0)</f>
        <v>0</v>
      </c>
      <c r="S59" s="68">
        <f>IFERROR(aurora_data!R479,0)</f>
        <v>0</v>
      </c>
      <c r="T59" s="68">
        <f>IFERROR(aurora_data!S479,0)</f>
        <v>0</v>
      </c>
      <c r="U59" s="74">
        <f>IFERROR(aurora_data!T479,0)</f>
        <v>0</v>
      </c>
      <c r="V59" s="75" t="s">
        <v>95</v>
      </c>
      <c r="W59" s="60">
        <f>IFERROR(aurora_data!U479,0)</f>
        <v>0</v>
      </c>
      <c r="X59" s="73">
        <f t="shared" si="5"/>
        <v>0</v>
      </c>
      <c r="Y59" s="2"/>
    </row>
    <row r="60" spans="1:25" customFormat="1">
      <c r="A60" s="2"/>
      <c r="B60" s="210" t="s">
        <v>94</v>
      </c>
      <c r="C60" s="212" t="str">
        <f>aurora_data!A480</f>
        <v>12.00.00-12.11.30</v>
      </c>
      <c r="D60" s="34" t="s">
        <v>71</v>
      </c>
      <c r="E60" s="39">
        <f>IFERROR(aurora_data!D480,0)</f>
        <v>0</v>
      </c>
      <c r="F60" s="40">
        <f>IFERROR(aurora_data!E480,0)</f>
        <v>0</v>
      </c>
      <c r="G60" s="40">
        <f>IFERROR(aurora_data!F480,0)</f>
        <v>0</v>
      </c>
      <c r="H60" s="40">
        <f>IFERROR(aurora_data!G480,0)</f>
        <v>0</v>
      </c>
      <c r="I60" s="41">
        <f>IFERROR(aurora_data!H480,0)</f>
        <v>0</v>
      </c>
      <c r="J60" s="39">
        <f>IFERROR(aurora_data!I480,0)</f>
        <v>0</v>
      </c>
      <c r="K60" s="40">
        <f>IFERROR(aurora_data!J480,0)</f>
        <v>0</v>
      </c>
      <c r="L60" s="40">
        <f>IFERROR(aurora_data!K480,0)</f>
        <v>0</v>
      </c>
      <c r="M60" s="40">
        <f>IFERROR(aurora_data!L480,0)</f>
        <v>0</v>
      </c>
      <c r="N60" s="41">
        <f>IFERROR(aurora_data!M480,0)</f>
        <v>0</v>
      </c>
      <c r="O60" s="39">
        <f>IFERROR(aurora_data!N480,0)</f>
        <v>0</v>
      </c>
      <c r="P60" s="40">
        <f>IFERROR(aurora_data!O480,0)</f>
        <v>0</v>
      </c>
      <c r="Q60" s="40">
        <f>IFERROR(aurora_data!P480,0)</f>
        <v>0</v>
      </c>
      <c r="R60" s="41">
        <f>IFERROR(aurora_data!Q480,0)</f>
        <v>0</v>
      </c>
      <c r="S60" s="40">
        <f>IFERROR(aurora_data!R480,0)</f>
        <v>0</v>
      </c>
      <c r="T60" s="40">
        <f>IFERROR(aurora_data!S480,0)</f>
        <v>0</v>
      </c>
      <c r="U60" s="76">
        <f>IFERROR(aurora_data!T480,0)</f>
        <v>0</v>
      </c>
      <c r="V60" s="61" t="s">
        <v>95</v>
      </c>
      <c r="W60" s="39">
        <f>IFERROR(aurora_data!U480,0)</f>
        <v>1</v>
      </c>
      <c r="X60" s="70">
        <f>IFERROR(W60/$W$20,0)</f>
        <v>0.5</v>
      </c>
      <c r="Y60" s="2"/>
    </row>
    <row r="61" spans="1:25" customFormat="1" ht="16.5" customHeight="1">
      <c r="A61" s="2"/>
      <c r="B61" s="211"/>
      <c r="C61" s="213"/>
      <c r="D61" s="35" t="s">
        <v>96</v>
      </c>
      <c r="E61" s="36">
        <f>IFERROR(aurora_data!D481,0)</f>
        <v>0</v>
      </c>
      <c r="F61" s="62">
        <f>IFERROR(aurora_data!E481,0)</f>
        <v>0</v>
      </c>
      <c r="G61" s="62">
        <f>IFERROR(aurora_data!F481,0)</f>
        <v>0</v>
      </c>
      <c r="H61" s="62">
        <f>IFERROR(aurora_data!G481,0)</f>
        <v>0</v>
      </c>
      <c r="I61" s="63">
        <f>IFERROR(aurora_data!H481,0)</f>
        <v>0</v>
      </c>
      <c r="J61" s="36">
        <f>IFERROR(aurora_data!I481,0)</f>
        <v>0</v>
      </c>
      <c r="K61" s="62">
        <f>IFERROR(aurora_data!J481,0)</f>
        <v>0</v>
      </c>
      <c r="L61" s="62">
        <f>IFERROR(aurora_data!K481,0)</f>
        <v>0</v>
      </c>
      <c r="M61" s="62">
        <f>IFERROR(aurora_data!L481,0)</f>
        <v>0</v>
      </c>
      <c r="N61" s="63">
        <f>IFERROR(aurora_data!M481,0)</f>
        <v>0</v>
      </c>
      <c r="O61" s="36">
        <f>IFERROR(aurora_data!N481,0)</f>
        <v>0</v>
      </c>
      <c r="P61" s="62">
        <f>IFERROR(aurora_data!O481,0)</f>
        <v>0</v>
      </c>
      <c r="Q61" s="62">
        <f>IFERROR(aurora_data!P481,0)</f>
        <v>0</v>
      </c>
      <c r="R61" s="63">
        <f>IFERROR(aurora_data!Q481,0)</f>
        <v>0</v>
      </c>
      <c r="S61" s="62">
        <f>IFERROR(aurora_data!R481,0)</f>
        <v>0</v>
      </c>
      <c r="T61" s="62">
        <f>IFERROR(aurora_data!S481,0)</f>
        <v>0</v>
      </c>
      <c r="U61" s="63">
        <f>IFERROR(aurora_data!T481,0)</f>
        <v>0</v>
      </c>
      <c r="V61" s="64" t="s">
        <v>95</v>
      </c>
      <c r="W61" s="36">
        <f>IFERROR(aurora_data!U481,0)</f>
        <v>0</v>
      </c>
      <c r="X61" s="71">
        <f t="shared" ref="X61:X67" si="6">IFERROR(W61/$W$20,0)</f>
        <v>0</v>
      </c>
      <c r="Y61" s="2"/>
    </row>
    <row r="62" spans="1:25" customFormat="1" ht="16.5" customHeight="1">
      <c r="A62" s="2"/>
      <c r="B62" s="211"/>
      <c r="C62" s="213"/>
      <c r="D62" s="35" t="s">
        <v>60</v>
      </c>
      <c r="E62" s="36">
        <f>IFERROR(aurora_data!D482,0)</f>
        <v>0</v>
      </c>
      <c r="F62" s="62">
        <f>IFERROR(aurora_data!E482,0)</f>
        <v>0</v>
      </c>
      <c r="G62" s="62">
        <f>IFERROR(aurora_data!F482,0)</f>
        <v>0</v>
      </c>
      <c r="H62" s="62">
        <f>IFERROR(aurora_data!G482,0)</f>
        <v>0</v>
      </c>
      <c r="I62" s="63">
        <f>IFERROR(aurora_data!H482,0)</f>
        <v>0</v>
      </c>
      <c r="J62" s="36">
        <f>IFERROR(aurora_data!I482,0)</f>
        <v>0</v>
      </c>
      <c r="K62" s="62">
        <f>IFERROR(aurora_data!J482,0)</f>
        <v>0</v>
      </c>
      <c r="L62" s="62">
        <f>IFERROR(aurora_data!K482,0)</f>
        <v>0</v>
      </c>
      <c r="M62" s="62">
        <f>IFERROR(aurora_data!L482,0)</f>
        <v>0</v>
      </c>
      <c r="N62" s="63">
        <f>IFERROR(aurora_data!M482,0)</f>
        <v>0</v>
      </c>
      <c r="O62" s="36">
        <f>IFERROR(aurora_data!N482,0)</f>
        <v>0</v>
      </c>
      <c r="P62" s="62">
        <f>IFERROR(aurora_data!O482,0)</f>
        <v>0</v>
      </c>
      <c r="Q62" s="62">
        <f>IFERROR(aurora_data!P482,0)</f>
        <v>0</v>
      </c>
      <c r="R62" s="63">
        <f>IFERROR(aurora_data!Q482,0)</f>
        <v>0</v>
      </c>
      <c r="S62" s="62">
        <f>IFERROR(aurora_data!R482,0)</f>
        <v>0</v>
      </c>
      <c r="T62" s="62">
        <f>IFERROR(aurora_data!S482,0)</f>
        <v>0</v>
      </c>
      <c r="U62" s="63">
        <f>IFERROR(aurora_data!T482,0)</f>
        <v>0</v>
      </c>
      <c r="V62" s="64" t="s">
        <v>95</v>
      </c>
      <c r="W62" s="36">
        <f>IFERROR(aurora_data!U482,0)</f>
        <v>0</v>
      </c>
      <c r="X62" s="71">
        <f t="shared" si="6"/>
        <v>0</v>
      </c>
      <c r="Y62" s="2"/>
    </row>
    <row r="63" spans="1:25" customFormat="1">
      <c r="A63" s="2"/>
      <c r="B63" s="211"/>
      <c r="C63" s="213"/>
      <c r="D63" s="35" t="s">
        <v>97</v>
      </c>
      <c r="E63" s="36">
        <f>IFERROR(aurora_data!D483,0)</f>
        <v>0</v>
      </c>
      <c r="F63" s="62">
        <f>IFERROR(aurora_data!E483,0)</f>
        <v>0</v>
      </c>
      <c r="G63" s="62">
        <f>IFERROR(aurora_data!F483,0)</f>
        <v>0</v>
      </c>
      <c r="H63" s="62">
        <f>IFERROR(aurora_data!G483,0)</f>
        <v>0</v>
      </c>
      <c r="I63" s="63">
        <f>IFERROR(aurora_data!H483,0)</f>
        <v>0</v>
      </c>
      <c r="J63" s="36">
        <f>IFERROR(aurora_data!I483,0)</f>
        <v>0</v>
      </c>
      <c r="K63" s="62">
        <f>IFERROR(aurora_data!J483,0)</f>
        <v>0</v>
      </c>
      <c r="L63" s="62">
        <f>IFERROR(aurora_data!K483,0)</f>
        <v>0</v>
      </c>
      <c r="M63" s="62">
        <f>IFERROR(aurora_data!L483,0)</f>
        <v>0</v>
      </c>
      <c r="N63" s="63">
        <f>IFERROR(aurora_data!M483,0)</f>
        <v>0</v>
      </c>
      <c r="O63" s="36">
        <f>IFERROR(aurora_data!N483,0)</f>
        <v>0</v>
      </c>
      <c r="P63" s="62">
        <f>IFERROR(aurora_data!O483,0)</f>
        <v>0</v>
      </c>
      <c r="Q63" s="62">
        <f>IFERROR(aurora_data!P483,0)</f>
        <v>0</v>
      </c>
      <c r="R63" s="63">
        <f>IFERROR(aurora_data!Q483,0)</f>
        <v>0</v>
      </c>
      <c r="S63" s="62">
        <f>IFERROR(aurora_data!R483,0)</f>
        <v>0</v>
      </c>
      <c r="T63" s="62">
        <f>IFERROR(aurora_data!S483,0)</f>
        <v>0</v>
      </c>
      <c r="U63" s="63">
        <f>IFERROR(aurora_data!T483,0)</f>
        <v>0</v>
      </c>
      <c r="V63" s="64" t="s">
        <v>95</v>
      </c>
      <c r="W63" s="36">
        <f>IFERROR(aurora_data!U483,0)</f>
        <v>0</v>
      </c>
      <c r="X63" s="71">
        <f t="shared" si="6"/>
        <v>0</v>
      </c>
      <c r="Y63" s="2"/>
    </row>
    <row r="64" spans="1:25" customFormat="1" ht="16.5" customHeight="1">
      <c r="A64" s="2"/>
      <c r="B64" s="211"/>
      <c r="C64" s="213"/>
      <c r="D64" s="35" t="s">
        <v>98</v>
      </c>
      <c r="E64" s="36">
        <f>IFERROR(aurora_data!D484,0)</f>
        <v>0</v>
      </c>
      <c r="F64" s="62">
        <f>IFERROR(aurora_data!E484,0)</f>
        <v>0</v>
      </c>
      <c r="G64" s="62">
        <f>IFERROR(aurora_data!F484,0)</f>
        <v>0</v>
      </c>
      <c r="H64" s="62">
        <f>IFERROR(aurora_data!G484,0)</f>
        <v>0</v>
      </c>
      <c r="I64" s="63">
        <f>IFERROR(aurora_data!H484,0)</f>
        <v>0</v>
      </c>
      <c r="J64" s="36">
        <f>IFERROR(aurora_data!I484,0)</f>
        <v>0</v>
      </c>
      <c r="K64" s="62">
        <f>IFERROR(aurora_data!J484,0)</f>
        <v>0</v>
      </c>
      <c r="L64" s="62">
        <f>IFERROR(aurora_data!K484,0)</f>
        <v>0</v>
      </c>
      <c r="M64" s="62">
        <f>IFERROR(aurora_data!L484,0)</f>
        <v>0</v>
      </c>
      <c r="N64" s="63">
        <f>IFERROR(aurora_data!M484,0)</f>
        <v>0</v>
      </c>
      <c r="O64" s="36">
        <f>IFERROR(aurora_data!N484,0)</f>
        <v>0</v>
      </c>
      <c r="P64" s="62">
        <f>IFERROR(aurora_data!O484,0)</f>
        <v>0</v>
      </c>
      <c r="Q64" s="62">
        <f>IFERROR(aurora_data!P484,0)</f>
        <v>0</v>
      </c>
      <c r="R64" s="63">
        <f>IFERROR(aurora_data!Q484,0)</f>
        <v>0</v>
      </c>
      <c r="S64" s="62">
        <f>IFERROR(aurora_data!R484,0)</f>
        <v>0</v>
      </c>
      <c r="T64" s="62">
        <f>IFERROR(aurora_data!S484,0)</f>
        <v>0</v>
      </c>
      <c r="U64" s="63">
        <f>IFERROR(aurora_data!T484,0)</f>
        <v>0</v>
      </c>
      <c r="V64" s="64" t="s">
        <v>95</v>
      </c>
      <c r="W64" s="36">
        <f>IFERROR(aurora_data!U484,0)</f>
        <v>0</v>
      </c>
      <c r="X64" s="71">
        <f t="shared" si="6"/>
        <v>0</v>
      </c>
      <c r="Y64" s="2"/>
    </row>
    <row r="65" spans="1:25" customFormat="1" ht="16.5" customHeight="1" thickBot="1">
      <c r="A65" s="2"/>
      <c r="B65" s="211"/>
      <c r="C65" s="213"/>
      <c r="D65" s="35" t="s">
        <v>99</v>
      </c>
      <c r="E65" s="36">
        <f>IFERROR(aurora_data!D485,0)</f>
        <v>0</v>
      </c>
      <c r="F65" s="62">
        <f>IFERROR(aurora_data!E485,0)</f>
        <v>0</v>
      </c>
      <c r="G65" s="62">
        <f>IFERROR(aurora_data!F485,0)</f>
        <v>0</v>
      </c>
      <c r="H65" s="62">
        <f>IFERROR(aurora_data!G485,0)</f>
        <v>0</v>
      </c>
      <c r="I65" s="63">
        <f>IFERROR(aurora_data!H485,0)</f>
        <v>0</v>
      </c>
      <c r="J65" s="36">
        <f>IFERROR(aurora_data!I485,0)</f>
        <v>0</v>
      </c>
      <c r="K65" s="62">
        <f>IFERROR(aurora_data!J485,0)</f>
        <v>0</v>
      </c>
      <c r="L65" s="62">
        <f>IFERROR(aurora_data!K485,0)</f>
        <v>0</v>
      </c>
      <c r="M65" s="62">
        <f>IFERROR(aurora_data!L485,0)</f>
        <v>0</v>
      </c>
      <c r="N65" s="63">
        <f>IFERROR(aurora_data!M485,0)</f>
        <v>0</v>
      </c>
      <c r="O65" s="36">
        <f>IFERROR(aurora_data!N485,0)</f>
        <v>0</v>
      </c>
      <c r="P65" s="62">
        <f>IFERROR(aurora_data!O485,0)</f>
        <v>0</v>
      </c>
      <c r="Q65" s="62">
        <f>IFERROR(aurora_data!P485,0)</f>
        <v>0</v>
      </c>
      <c r="R65" s="63">
        <f>IFERROR(aurora_data!Q485,0)</f>
        <v>0</v>
      </c>
      <c r="S65" s="62">
        <f>IFERROR(aurora_data!R485,0)</f>
        <v>0</v>
      </c>
      <c r="T65" s="62">
        <f>IFERROR(aurora_data!S485,0)</f>
        <v>0</v>
      </c>
      <c r="U65" s="63">
        <f>IFERROR(aurora_data!T485,0)</f>
        <v>0</v>
      </c>
      <c r="V65" s="64" t="s">
        <v>95</v>
      </c>
      <c r="W65" s="36">
        <f>IFERROR(aurora_data!U485,0)</f>
        <v>0</v>
      </c>
      <c r="X65" s="71">
        <f t="shared" si="6"/>
        <v>0</v>
      </c>
      <c r="Y65" s="2"/>
    </row>
    <row r="66" spans="1:25" customFormat="1" ht="16.5" customHeight="1" thickBot="1">
      <c r="A66" s="2"/>
      <c r="B66" s="211"/>
      <c r="C66" s="213"/>
      <c r="D66" s="37" t="s">
        <v>64</v>
      </c>
      <c r="E66" s="59">
        <f>IFERROR(aurora_data!D486,0)</f>
        <v>0</v>
      </c>
      <c r="F66" s="65">
        <f>IFERROR(aurora_data!E486,0)</f>
        <v>0</v>
      </c>
      <c r="G66" s="65">
        <f>IFERROR(aurora_data!F486,0)</f>
        <v>0</v>
      </c>
      <c r="H66" s="65">
        <f>IFERROR(aurora_data!G486,0)</f>
        <v>0</v>
      </c>
      <c r="I66" s="66">
        <f>IFERROR(aurora_data!H486,0)</f>
        <v>0</v>
      </c>
      <c r="J66" s="59">
        <f>IFERROR(aurora_data!I486,0)</f>
        <v>0</v>
      </c>
      <c r="K66" s="65">
        <f>IFERROR(aurora_data!J486,0)</f>
        <v>0</v>
      </c>
      <c r="L66" s="65">
        <f>IFERROR(aurora_data!K486,0)</f>
        <v>0</v>
      </c>
      <c r="M66" s="65">
        <f>IFERROR(aurora_data!L486,0)</f>
        <v>0</v>
      </c>
      <c r="N66" s="66">
        <f>IFERROR(aurora_data!M486,0)</f>
        <v>0</v>
      </c>
      <c r="O66" s="59">
        <f>IFERROR(aurora_data!N486,0)</f>
        <v>0</v>
      </c>
      <c r="P66" s="65">
        <f>IFERROR(aurora_data!O486,0)</f>
        <v>0</v>
      </c>
      <c r="Q66" s="65">
        <f>IFERROR(aurora_data!P486,0)</f>
        <v>0</v>
      </c>
      <c r="R66" s="66">
        <f>IFERROR(aurora_data!Q486,0)</f>
        <v>0</v>
      </c>
      <c r="S66" s="65">
        <f>IFERROR(aurora_data!R486,0)</f>
        <v>0</v>
      </c>
      <c r="T66" s="65">
        <f>IFERROR(aurora_data!S486,0)</f>
        <v>0</v>
      </c>
      <c r="U66" s="66">
        <f>IFERROR(aurora_data!T486,0)</f>
        <v>0</v>
      </c>
      <c r="V66" s="67" t="s">
        <v>95</v>
      </c>
      <c r="W66" s="59">
        <f>IFERROR(aurora_data!U486,0)</f>
        <v>0</v>
      </c>
      <c r="X66" s="72">
        <f t="shared" si="6"/>
        <v>0</v>
      </c>
      <c r="Y66" s="2"/>
    </row>
    <row r="67" spans="1:25" customFormat="1" ht="16.5" thickBot="1">
      <c r="A67" s="2"/>
      <c r="B67" s="211"/>
      <c r="C67" s="213"/>
      <c r="D67" s="38" t="s">
        <v>100</v>
      </c>
      <c r="E67" s="60">
        <f>IFERROR(aurora_data!D487,0)</f>
        <v>0</v>
      </c>
      <c r="F67" s="68">
        <f>IFERROR(aurora_data!E487,0)</f>
        <v>0</v>
      </c>
      <c r="G67" s="68">
        <f>IFERROR(aurora_data!F487,0)</f>
        <v>0</v>
      </c>
      <c r="H67" s="68">
        <f>IFERROR(aurora_data!G487,0)</f>
        <v>0</v>
      </c>
      <c r="I67" s="69">
        <f>IFERROR(aurora_data!H487,0)</f>
        <v>0</v>
      </c>
      <c r="J67" s="60">
        <f>IFERROR(aurora_data!I487,0)</f>
        <v>0</v>
      </c>
      <c r="K67" s="68">
        <f>IFERROR(aurora_data!J487,0)</f>
        <v>0</v>
      </c>
      <c r="L67" s="68">
        <f>IFERROR(aurora_data!K487,0)</f>
        <v>0</v>
      </c>
      <c r="M67" s="68">
        <f>IFERROR(aurora_data!L487,0)</f>
        <v>0</v>
      </c>
      <c r="N67" s="69">
        <f>IFERROR(aurora_data!M487,0)</f>
        <v>0</v>
      </c>
      <c r="O67" s="60">
        <f>IFERROR(aurora_data!N487,0)</f>
        <v>0</v>
      </c>
      <c r="P67" s="68">
        <f>IFERROR(aurora_data!O487,0)</f>
        <v>0</v>
      </c>
      <c r="Q67" s="68">
        <f>IFERROR(aurora_data!P487,0)</f>
        <v>0</v>
      </c>
      <c r="R67" s="69">
        <f>IFERROR(aurora_data!Q487,0)</f>
        <v>0</v>
      </c>
      <c r="S67" s="68">
        <f>IFERROR(aurora_data!R487,0)</f>
        <v>0</v>
      </c>
      <c r="T67" s="68">
        <f>IFERROR(aurora_data!S487,0)</f>
        <v>0</v>
      </c>
      <c r="U67" s="74">
        <f>IFERROR(aurora_data!T487,0)</f>
        <v>0</v>
      </c>
      <c r="V67" s="75" t="s">
        <v>95</v>
      </c>
      <c r="W67" s="60">
        <f>IFERROR(aurora_data!U487,0)</f>
        <v>0</v>
      </c>
      <c r="X67" s="73">
        <f t="shared" si="6"/>
        <v>0</v>
      </c>
      <c r="Y67" s="2"/>
    </row>
    <row r="68" spans="1:25" customFormat="1">
      <c r="A68" s="2"/>
      <c r="B68" s="210" t="s">
        <v>94</v>
      </c>
      <c r="C68" s="212" t="str">
        <f>aurora_data!A488</f>
        <v>13.00.00-13.11.30</v>
      </c>
      <c r="D68" s="34" t="s">
        <v>71</v>
      </c>
      <c r="E68" s="39">
        <f>IFERROR(aurora_data!D488,0)</f>
        <v>0</v>
      </c>
      <c r="F68" s="40">
        <f>IFERROR(aurora_data!E488,0)</f>
        <v>0</v>
      </c>
      <c r="G68" s="40">
        <f>IFERROR(aurora_data!F488,0)</f>
        <v>0</v>
      </c>
      <c r="H68" s="40">
        <f>IFERROR(aurora_data!G488,0)</f>
        <v>0</v>
      </c>
      <c r="I68" s="41">
        <f>IFERROR(aurora_data!H488,0)</f>
        <v>0</v>
      </c>
      <c r="J68" s="39">
        <f>IFERROR(aurora_data!I488,0)</f>
        <v>0</v>
      </c>
      <c r="K68" s="40">
        <f>IFERROR(aurora_data!J488,0)</f>
        <v>0</v>
      </c>
      <c r="L68" s="40">
        <f>IFERROR(aurora_data!K488,0)</f>
        <v>0</v>
      </c>
      <c r="M68" s="40">
        <f>IFERROR(aurora_data!L488,0)</f>
        <v>0</v>
      </c>
      <c r="N68" s="41">
        <f>IFERROR(aurora_data!M488,0)</f>
        <v>0</v>
      </c>
      <c r="O68" s="39">
        <f>IFERROR(aurora_data!N488,0)</f>
        <v>0</v>
      </c>
      <c r="P68" s="40">
        <f>IFERROR(aurora_data!O488,0)</f>
        <v>0</v>
      </c>
      <c r="Q68" s="40">
        <f>IFERROR(aurora_data!P488,0)</f>
        <v>0</v>
      </c>
      <c r="R68" s="41">
        <f>IFERROR(aurora_data!Q488,0)</f>
        <v>0</v>
      </c>
      <c r="S68" s="40">
        <f>IFERROR(aurora_data!R488,0)</f>
        <v>0</v>
      </c>
      <c r="T68" s="40">
        <f>IFERROR(aurora_data!S488,0)</f>
        <v>0</v>
      </c>
      <c r="U68" s="76">
        <f>IFERROR(aurora_data!T488,0)</f>
        <v>0</v>
      </c>
      <c r="V68" s="61" t="s">
        <v>95</v>
      </c>
      <c r="W68" s="39">
        <f>IFERROR(aurora_data!U488,0)</f>
        <v>2</v>
      </c>
      <c r="X68" s="70">
        <f>IFERROR(W68/$W$20,0)</f>
        <v>1</v>
      </c>
      <c r="Y68" s="2"/>
    </row>
    <row r="69" spans="1:25" customFormat="1" ht="16.5" customHeight="1">
      <c r="A69" s="2"/>
      <c r="B69" s="211"/>
      <c r="C69" s="213"/>
      <c r="D69" s="35" t="s">
        <v>96</v>
      </c>
      <c r="E69" s="36">
        <f>IFERROR(aurora_data!D489,0)</f>
        <v>0</v>
      </c>
      <c r="F69" s="62">
        <f>IFERROR(aurora_data!E489,0)</f>
        <v>0</v>
      </c>
      <c r="G69" s="62">
        <f>IFERROR(aurora_data!F489,0)</f>
        <v>0</v>
      </c>
      <c r="H69" s="62">
        <f>IFERROR(aurora_data!G489,0)</f>
        <v>0</v>
      </c>
      <c r="I69" s="63">
        <f>IFERROR(aurora_data!H489,0)</f>
        <v>0</v>
      </c>
      <c r="J69" s="36">
        <f>IFERROR(aurora_data!I489,0)</f>
        <v>0</v>
      </c>
      <c r="K69" s="62">
        <f>IFERROR(aurora_data!J489,0)</f>
        <v>0</v>
      </c>
      <c r="L69" s="62">
        <f>IFERROR(aurora_data!K489,0)</f>
        <v>0</v>
      </c>
      <c r="M69" s="62">
        <f>IFERROR(aurora_data!L489,0)</f>
        <v>0</v>
      </c>
      <c r="N69" s="63">
        <f>IFERROR(aurora_data!M489,0)</f>
        <v>0</v>
      </c>
      <c r="O69" s="36">
        <f>IFERROR(aurora_data!N489,0)</f>
        <v>0</v>
      </c>
      <c r="P69" s="62">
        <f>IFERROR(aurora_data!O489,0)</f>
        <v>0</v>
      </c>
      <c r="Q69" s="62">
        <f>IFERROR(aurora_data!P489,0)</f>
        <v>0</v>
      </c>
      <c r="R69" s="63">
        <f>IFERROR(aurora_data!Q489,0)</f>
        <v>0</v>
      </c>
      <c r="S69" s="62">
        <f>IFERROR(aurora_data!R489,0)</f>
        <v>0</v>
      </c>
      <c r="T69" s="62">
        <f>IFERROR(aurora_data!S489,0)</f>
        <v>0</v>
      </c>
      <c r="U69" s="63">
        <f>IFERROR(aurora_data!T489,0)</f>
        <v>0</v>
      </c>
      <c r="V69" s="64" t="s">
        <v>95</v>
      </c>
      <c r="W69" s="36">
        <f>IFERROR(aurora_data!U489,0)</f>
        <v>0</v>
      </c>
      <c r="X69" s="71">
        <f t="shared" ref="X69:X75" si="7">IFERROR(W69/$W$20,0)</f>
        <v>0</v>
      </c>
      <c r="Y69" s="2"/>
    </row>
    <row r="70" spans="1:25" customFormat="1" ht="16.5" customHeight="1">
      <c r="A70" s="2"/>
      <c r="B70" s="211"/>
      <c r="C70" s="213"/>
      <c r="D70" s="35" t="s">
        <v>60</v>
      </c>
      <c r="E70" s="36">
        <f>IFERROR(aurora_data!D490,0)</f>
        <v>0</v>
      </c>
      <c r="F70" s="62">
        <f>IFERROR(aurora_data!E490,0)</f>
        <v>0</v>
      </c>
      <c r="G70" s="62">
        <f>IFERROR(aurora_data!F490,0)</f>
        <v>0</v>
      </c>
      <c r="H70" s="62">
        <f>IFERROR(aurora_data!G490,0)</f>
        <v>0</v>
      </c>
      <c r="I70" s="63">
        <f>IFERROR(aurora_data!H490,0)</f>
        <v>0</v>
      </c>
      <c r="J70" s="36">
        <f>IFERROR(aurora_data!I490,0)</f>
        <v>0</v>
      </c>
      <c r="K70" s="62">
        <f>IFERROR(aurora_data!J490,0)</f>
        <v>0</v>
      </c>
      <c r="L70" s="62">
        <f>IFERROR(aurora_data!K490,0)</f>
        <v>0</v>
      </c>
      <c r="M70" s="62">
        <f>IFERROR(aurora_data!L490,0)</f>
        <v>0</v>
      </c>
      <c r="N70" s="63">
        <f>IFERROR(aurora_data!M490,0)</f>
        <v>0</v>
      </c>
      <c r="O70" s="36">
        <f>IFERROR(aurora_data!N490,0)</f>
        <v>0</v>
      </c>
      <c r="P70" s="62">
        <f>IFERROR(aurora_data!O490,0)</f>
        <v>0</v>
      </c>
      <c r="Q70" s="62">
        <f>IFERROR(aurora_data!P490,0)</f>
        <v>0</v>
      </c>
      <c r="R70" s="63">
        <f>IFERROR(aurora_data!Q490,0)</f>
        <v>0</v>
      </c>
      <c r="S70" s="62">
        <f>IFERROR(aurora_data!R490,0)</f>
        <v>0</v>
      </c>
      <c r="T70" s="62">
        <f>IFERROR(aurora_data!S490,0)</f>
        <v>0</v>
      </c>
      <c r="U70" s="63">
        <f>IFERROR(aurora_data!T490,0)</f>
        <v>0</v>
      </c>
      <c r="V70" s="64" t="s">
        <v>95</v>
      </c>
      <c r="W70" s="36">
        <f>IFERROR(aurora_data!U490,0)</f>
        <v>0</v>
      </c>
      <c r="X70" s="71">
        <f t="shared" si="7"/>
        <v>0</v>
      </c>
      <c r="Y70" s="2"/>
    </row>
    <row r="71" spans="1:25" customFormat="1">
      <c r="A71" s="2"/>
      <c r="B71" s="211"/>
      <c r="C71" s="213"/>
      <c r="D71" s="35" t="s">
        <v>97</v>
      </c>
      <c r="E71" s="36">
        <f>IFERROR(aurora_data!D491,0)</f>
        <v>0</v>
      </c>
      <c r="F71" s="62">
        <f>IFERROR(aurora_data!E491,0)</f>
        <v>0</v>
      </c>
      <c r="G71" s="62">
        <f>IFERROR(aurora_data!F491,0)</f>
        <v>0</v>
      </c>
      <c r="H71" s="62">
        <f>IFERROR(aurora_data!G491,0)</f>
        <v>0</v>
      </c>
      <c r="I71" s="63">
        <f>IFERROR(aurora_data!H491,0)</f>
        <v>0</v>
      </c>
      <c r="J71" s="36">
        <f>IFERROR(aurora_data!I491,0)</f>
        <v>0</v>
      </c>
      <c r="K71" s="62">
        <f>IFERROR(aurora_data!J491,0)</f>
        <v>0</v>
      </c>
      <c r="L71" s="62">
        <f>IFERROR(aurora_data!K491,0)</f>
        <v>0</v>
      </c>
      <c r="M71" s="62">
        <f>IFERROR(aurora_data!L491,0)</f>
        <v>0</v>
      </c>
      <c r="N71" s="63">
        <f>IFERROR(aurora_data!M491,0)</f>
        <v>0</v>
      </c>
      <c r="O71" s="36">
        <f>IFERROR(aurora_data!N491,0)</f>
        <v>0</v>
      </c>
      <c r="P71" s="62">
        <f>IFERROR(aurora_data!O491,0)</f>
        <v>0</v>
      </c>
      <c r="Q71" s="62">
        <f>IFERROR(aurora_data!P491,0)</f>
        <v>0</v>
      </c>
      <c r="R71" s="63">
        <f>IFERROR(aurora_data!Q491,0)</f>
        <v>0</v>
      </c>
      <c r="S71" s="62">
        <f>IFERROR(aurora_data!R491,0)</f>
        <v>0</v>
      </c>
      <c r="T71" s="62">
        <f>IFERROR(aurora_data!S491,0)</f>
        <v>0</v>
      </c>
      <c r="U71" s="63">
        <f>IFERROR(aurora_data!T491,0)</f>
        <v>0</v>
      </c>
      <c r="V71" s="64" t="s">
        <v>95</v>
      </c>
      <c r="W71" s="36">
        <f>IFERROR(aurora_data!U491,0)</f>
        <v>0</v>
      </c>
      <c r="X71" s="71">
        <f t="shared" si="7"/>
        <v>0</v>
      </c>
      <c r="Y71" s="2"/>
    </row>
    <row r="72" spans="1:25" customFormat="1" ht="16.5" customHeight="1">
      <c r="A72" s="2"/>
      <c r="B72" s="211"/>
      <c r="C72" s="213"/>
      <c r="D72" s="35" t="s">
        <v>98</v>
      </c>
      <c r="E72" s="36">
        <f>IFERROR(aurora_data!D492,0)</f>
        <v>0</v>
      </c>
      <c r="F72" s="62">
        <f>IFERROR(aurora_data!E492,0)</f>
        <v>0</v>
      </c>
      <c r="G72" s="62">
        <f>IFERROR(aurora_data!F492,0)</f>
        <v>0</v>
      </c>
      <c r="H72" s="62">
        <f>IFERROR(aurora_data!G492,0)</f>
        <v>0</v>
      </c>
      <c r="I72" s="63">
        <f>IFERROR(aurora_data!H492,0)</f>
        <v>0</v>
      </c>
      <c r="J72" s="36">
        <f>IFERROR(aurora_data!I492,0)</f>
        <v>0</v>
      </c>
      <c r="K72" s="62">
        <f>IFERROR(aurora_data!J492,0)</f>
        <v>0</v>
      </c>
      <c r="L72" s="62">
        <f>IFERROR(aurora_data!K492,0)</f>
        <v>0</v>
      </c>
      <c r="M72" s="62">
        <f>IFERROR(aurora_data!L492,0)</f>
        <v>0</v>
      </c>
      <c r="N72" s="63">
        <f>IFERROR(aurora_data!M492,0)</f>
        <v>0</v>
      </c>
      <c r="O72" s="36">
        <f>IFERROR(aurora_data!N492,0)</f>
        <v>0</v>
      </c>
      <c r="P72" s="62">
        <f>IFERROR(aurora_data!O492,0)</f>
        <v>0</v>
      </c>
      <c r="Q72" s="62">
        <f>IFERROR(aurora_data!P492,0)</f>
        <v>0</v>
      </c>
      <c r="R72" s="63">
        <f>IFERROR(aurora_data!Q492,0)</f>
        <v>0</v>
      </c>
      <c r="S72" s="62">
        <f>IFERROR(aurora_data!R492,0)</f>
        <v>0</v>
      </c>
      <c r="T72" s="62">
        <f>IFERROR(aurora_data!S492,0)</f>
        <v>0</v>
      </c>
      <c r="U72" s="63">
        <f>IFERROR(aurora_data!T492,0)</f>
        <v>0</v>
      </c>
      <c r="V72" s="64" t="s">
        <v>95</v>
      </c>
      <c r="W72" s="36">
        <f>IFERROR(aurora_data!U492,0)</f>
        <v>0</v>
      </c>
      <c r="X72" s="71">
        <f t="shared" si="7"/>
        <v>0</v>
      </c>
      <c r="Y72" s="2"/>
    </row>
    <row r="73" spans="1:25" customFormat="1" ht="16.5" customHeight="1" thickBot="1">
      <c r="A73" s="2"/>
      <c r="B73" s="211"/>
      <c r="C73" s="213"/>
      <c r="D73" s="35" t="s">
        <v>99</v>
      </c>
      <c r="E73" s="36">
        <f>IFERROR(aurora_data!D493,0)</f>
        <v>0</v>
      </c>
      <c r="F73" s="62">
        <f>IFERROR(aurora_data!E493,0)</f>
        <v>0</v>
      </c>
      <c r="G73" s="62">
        <f>IFERROR(aurora_data!F493,0)</f>
        <v>0</v>
      </c>
      <c r="H73" s="62">
        <f>IFERROR(aurora_data!G493,0)</f>
        <v>0</v>
      </c>
      <c r="I73" s="63">
        <f>IFERROR(aurora_data!H493,0)</f>
        <v>0</v>
      </c>
      <c r="J73" s="36">
        <f>IFERROR(aurora_data!I493,0)</f>
        <v>0</v>
      </c>
      <c r="K73" s="62">
        <f>IFERROR(aurora_data!J493,0)</f>
        <v>0</v>
      </c>
      <c r="L73" s="62">
        <f>IFERROR(aurora_data!K493,0)</f>
        <v>0</v>
      </c>
      <c r="M73" s="62">
        <f>IFERROR(aurora_data!L493,0)</f>
        <v>0</v>
      </c>
      <c r="N73" s="63">
        <f>IFERROR(aurora_data!M493,0)</f>
        <v>0</v>
      </c>
      <c r="O73" s="36">
        <f>IFERROR(aurora_data!N493,0)</f>
        <v>0</v>
      </c>
      <c r="P73" s="62">
        <f>IFERROR(aurora_data!O493,0)</f>
        <v>0</v>
      </c>
      <c r="Q73" s="62">
        <f>IFERROR(aurora_data!P493,0)</f>
        <v>0</v>
      </c>
      <c r="R73" s="63">
        <f>IFERROR(aurora_data!Q493,0)</f>
        <v>0</v>
      </c>
      <c r="S73" s="62">
        <f>IFERROR(aurora_data!R493,0)</f>
        <v>0</v>
      </c>
      <c r="T73" s="62">
        <f>IFERROR(aurora_data!S493,0)</f>
        <v>0</v>
      </c>
      <c r="U73" s="63">
        <f>IFERROR(aurora_data!T493,0)</f>
        <v>0</v>
      </c>
      <c r="V73" s="64" t="s">
        <v>95</v>
      </c>
      <c r="W73" s="36">
        <f>IFERROR(aurora_data!U493,0)</f>
        <v>0</v>
      </c>
      <c r="X73" s="71">
        <f t="shared" si="7"/>
        <v>0</v>
      </c>
      <c r="Y73" s="2"/>
    </row>
    <row r="74" spans="1:25" customFormat="1" ht="16.5" customHeight="1" thickBot="1">
      <c r="A74" s="2"/>
      <c r="B74" s="211"/>
      <c r="C74" s="213"/>
      <c r="D74" s="37" t="s">
        <v>64</v>
      </c>
      <c r="E74" s="59">
        <f>IFERROR(aurora_data!D494,0)</f>
        <v>0</v>
      </c>
      <c r="F74" s="65">
        <f>IFERROR(aurora_data!E494,0)</f>
        <v>0</v>
      </c>
      <c r="G74" s="65">
        <f>IFERROR(aurora_data!F494,0)</f>
        <v>0</v>
      </c>
      <c r="H74" s="65">
        <f>IFERROR(aurora_data!G494,0)</f>
        <v>0</v>
      </c>
      <c r="I74" s="66">
        <f>IFERROR(aurora_data!H494,0)</f>
        <v>0</v>
      </c>
      <c r="J74" s="59">
        <f>IFERROR(aurora_data!I494,0)</f>
        <v>0</v>
      </c>
      <c r="K74" s="65">
        <f>IFERROR(aurora_data!J494,0)</f>
        <v>0</v>
      </c>
      <c r="L74" s="65">
        <f>IFERROR(aurora_data!K494,0)</f>
        <v>0</v>
      </c>
      <c r="M74" s="65">
        <f>IFERROR(aurora_data!L494,0)</f>
        <v>0</v>
      </c>
      <c r="N74" s="66">
        <f>IFERROR(aurora_data!M494,0)</f>
        <v>0</v>
      </c>
      <c r="O74" s="59">
        <f>IFERROR(aurora_data!N494,0)</f>
        <v>0</v>
      </c>
      <c r="P74" s="65">
        <f>IFERROR(aurora_data!O494,0)</f>
        <v>0</v>
      </c>
      <c r="Q74" s="65">
        <f>IFERROR(aurora_data!P494,0)</f>
        <v>0</v>
      </c>
      <c r="R74" s="66">
        <f>IFERROR(aurora_data!Q494,0)</f>
        <v>0</v>
      </c>
      <c r="S74" s="65">
        <f>IFERROR(aurora_data!R494,0)</f>
        <v>0</v>
      </c>
      <c r="T74" s="65">
        <f>IFERROR(aurora_data!S494,0)</f>
        <v>0</v>
      </c>
      <c r="U74" s="66">
        <f>IFERROR(aurora_data!T494,0)</f>
        <v>0</v>
      </c>
      <c r="V74" s="67" t="s">
        <v>95</v>
      </c>
      <c r="W74" s="59">
        <f>IFERROR(aurora_data!U494,0)</f>
        <v>0</v>
      </c>
      <c r="X74" s="72">
        <f t="shared" si="7"/>
        <v>0</v>
      </c>
      <c r="Y74" s="2"/>
    </row>
    <row r="75" spans="1:25" customFormat="1" ht="16.5" thickBot="1">
      <c r="A75" s="2"/>
      <c r="B75" s="211"/>
      <c r="C75" s="213"/>
      <c r="D75" s="38" t="s">
        <v>100</v>
      </c>
      <c r="E75" s="60">
        <f>IFERROR(aurora_data!D495,0)</f>
        <v>0</v>
      </c>
      <c r="F75" s="68">
        <f>IFERROR(aurora_data!E495,0)</f>
        <v>0</v>
      </c>
      <c r="G75" s="68">
        <f>IFERROR(aurora_data!F495,0)</f>
        <v>0</v>
      </c>
      <c r="H75" s="68">
        <f>IFERROR(aurora_data!G495,0)</f>
        <v>0</v>
      </c>
      <c r="I75" s="69">
        <f>IFERROR(aurora_data!H495,0)</f>
        <v>0</v>
      </c>
      <c r="J75" s="60">
        <f>IFERROR(aurora_data!I495,0)</f>
        <v>0</v>
      </c>
      <c r="K75" s="68">
        <f>IFERROR(aurora_data!J495,0)</f>
        <v>0</v>
      </c>
      <c r="L75" s="68">
        <f>IFERROR(aurora_data!K495,0)</f>
        <v>0</v>
      </c>
      <c r="M75" s="68">
        <f>IFERROR(aurora_data!L495,0)</f>
        <v>0</v>
      </c>
      <c r="N75" s="69">
        <f>IFERROR(aurora_data!M495,0)</f>
        <v>0</v>
      </c>
      <c r="O75" s="60">
        <f>IFERROR(aurora_data!N495,0)</f>
        <v>0</v>
      </c>
      <c r="P75" s="68">
        <f>IFERROR(aurora_data!O495,0)</f>
        <v>0</v>
      </c>
      <c r="Q75" s="68">
        <f>IFERROR(aurora_data!P495,0)</f>
        <v>0</v>
      </c>
      <c r="R75" s="69">
        <f>IFERROR(aurora_data!Q495,0)</f>
        <v>0</v>
      </c>
      <c r="S75" s="68">
        <f>IFERROR(aurora_data!R495,0)</f>
        <v>0</v>
      </c>
      <c r="T75" s="68">
        <f>IFERROR(aurora_data!S495,0)</f>
        <v>0</v>
      </c>
      <c r="U75" s="74">
        <f>IFERROR(aurora_data!T495,0)</f>
        <v>0</v>
      </c>
      <c r="V75" s="75" t="s">
        <v>95</v>
      </c>
      <c r="W75" s="60">
        <f>IFERROR(aurora_data!U495,0)</f>
        <v>0</v>
      </c>
      <c r="X75" s="73">
        <f t="shared" si="7"/>
        <v>0</v>
      </c>
      <c r="Y75" s="2"/>
    </row>
    <row r="76" spans="1:25" customFormat="1">
      <c r="A76" s="2"/>
      <c r="B76" s="210" t="s">
        <v>94</v>
      </c>
      <c r="C76" s="212" t="str">
        <f>aurora_data!A496</f>
        <v>14.00.00-14.11.30</v>
      </c>
      <c r="D76" s="34" t="s">
        <v>71</v>
      </c>
      <c r="E76" s="39">
        <f>IFERROR(aurora_data!D496,0)</f>
        <v>0</v>
      </c>
      <c r="F76" s="40">
        <f>IFERROR(aurora_data!E496,0)</f>
        <v>0</v>
      </c>
      <c r="G76" s="40">
        <f>IFERROR(aurora_data!F496,0)</f>
        <v>0</v>
      </c>
      <c r="H76" s="40">
        <f>IFERROR(aurora_data!G496,0)</f>
        <v>0</v>
      </c>
      <c r="I76" s="41">
        <f>IFERROR(aurora_data!H496,0)</f>
        <v>0</v>
      </c>
      <c r="J76" s="39">
        <f>IFERROR(aurora_data!I496,0)</f>
        <v>0</v>
      </c>
      <c r="K76" s="40">
        <f>IFERROR(aurora_data!J496,0)</f>
        <v>0</v>
      </c>
      <c r="L76" s="40">
        <f>IFERROR(aurora_data!K496,0)</f>
        <v>0</v>
      </c>
      <c r="M76" s="40">
        <f>IFERROR(aurora_data!L496,0)</f>
        <v>0</v>
      </c>
      <c r="N76" s="41">
        <f>IFERROR(aurora_data!M496,0)</f>
        <v>0</v>
      </c>
      <c r="O76" s="39">
        <f>IFERROR(aurora_data!N496,0)</f>
        <v>0</v>
      </c>
      <c r="P76" s="40">
        <f>IFERROR(aurora_data!O496,0)</f>
        <v>0</v>
      </c>
      <c r="Q76" s="40">
        <f>IFERROR(aurora_data!P496,0)</f>
        <v>0</v>
      </c>
      <c r="R76" s="41">
        <f>IFERROR(aurora_data!Q496,0)</f>
        <v>0</v>
      </c>
      <c r="S76" s="40">
        <f>IFERROR(aurora_data!R496,0)</f>
        <v>0</v>
      </c>
      <c r="T76" s="40">
        <f>IFERROR(aurora_data!S496,0)</f>
        <v>0</v>
      </c>
      <c r="U76" s="76">
        <f>IFERROR(aurora_data!T496,0)</f>
        <v>0</v>
      </c>
      <c r="V76" s="61" t="s">
        <v>95</v>
      </c>
      <c r="W76" s="39">
        <f>IFERROR(aurora_data!U496,0)</f>
        <v>1</v>
      </c>
      <c r="X76" s="70">
        <f>IFERROR(W76/$W$20,0)</f>
        <v>0.5</v>
      </c>
      <c r="Y76" s="2"/>
    </row>
    <row r="77" spans="1:25" customFormat="1" ht="16.5" customHeight="1">
      <c r="A77" s="2"/>
      <c r="B77" s="211"/>
      <c r="C77" s="213"/>
      <c r="D77" s="35" t="s">
        <v>96</v>
      </c>
      <c r="E77" s="36">
        <f>IFERROR(aurora_data!D497,0)</f>
        <v>0</v>
      </c>
      <c r="F77" s="62">
        <f>IFERROR(aurora_data!E497,0)</f>
        <v>0</v>
      </c>
      <c r="G77" s="62">
        <f>IFERROR(aurora_data!F497,0)</f>
        <v>0</v>
      </c>
      <c r="H77" s="62">
        <f>IFERROR(aurora_data!G497,0)</f>
        <v>0</v>
      </c>
      <c r="I77" s="63">
        <f>IFERROR(aurora_data!H497,0)</f>
        <v>0</v>
      </c>
      <c r="J77" s="36">
        <f>IFERROR(aurora_data!I497,0)</f>
        <v>0</v>
      </c>
      <c r="K77" s="62">
        <f>IFERROR(aurora_data!J497,0)</f>
        <v>0</v>
      </c>
      <c r="L77" s="62">
        <f>IFERROR(aurora_data!K497,0)</f>
        <v>0</v>
      </c>
      <c r="M77" s="62">
        <f>IFERROR(aurora_data!L497,0)</f>
        <v>0</v>
      </c>
      <c r="N77" s="63">
        <f>IFERROR(aurora_data!M497,0)</f>
        <v>0</v>
      </c>
      <c r="O77" s="36">
        <f>IFERROR(aurora_data!N497,0)</f>
        <v>0</v>
      </c>
      <c r="P77" s="62">
        <f>IFERROR(aurora_data!O497,0)</f>
        <v>0</v>
      </c>
      <c r="Q77" s="62">
        <f>IFERROR(aurora_data!P497,0)</f>
        <v>0</v>
      </c>
      <c r="R77" s="63">
        <f>IFERROR(aurora_data!Q497,0)</f>
        <v>0</v>
      </c>
      <c r="S77" s="62">
        <f>IFERROR(aurora_data!R497,0)</f>
        <v>0</v>
      </c>
      <c r="T77" s="62">
        <f>IFERROR(aurora_data!S497,0)</f>
        <v>0</v>
      </c>
      <c r="U77" s="63">
        <f>IFERROR(aurora_data!T497,0)</f>
        <v>0</v>
      </c>
      <c r="V77" s="64" t="s">
        <v>95</v>
      </c>
      <c r="W77" s="36">
        <f>IFERROR(aurora_data!U497,0)</f>
        <v>0</v>
      </c>
      <c r="X77" s="71">
        <f t="shared" ref="X77:X83" si="8">IFERROR(W77/$W$20,0)</f>
        <v>0</v>
      </c>
      <c r="Y77" s="2"/>
    </row>
    <row r="78" spans="1:25" customFormat="1" ht="16.5" customHeight="1">
      <c r="A78" s="2"/>
      <c r="B78" s="211"/>
      <c r="C78" s="213"/>
      <c r="D78" s="35" t="s">
        <v>60</v>
      </c>
      <c r="E78" s="36">
        <f>IFERROR(aurora_data!D498,0)</f>
        <v>0</v>
      </c>
      <c r="F78" s="62">
        <f>IFERROR(aurora_data!E498,0)</f>
        <v>0</v>
      </c>
      <c r="G78" s="62">
        <f>IFERROR(aurora_data!F498,0)</f>
        <v>0</v>
      </c>
      <c r="H78" s="62">
        <f>IFERROR(aurora_data!G498,0)</f>
        <v>0</v>
      </c>
      <c r="I78" s="63">
        <f>IFERROR(aurora_data!H498,0)</f>
        <v>0</v>
      </c>
      <c r="J78" s="36">
        <f>IFERROR(aurora_data!I498,0)</f>
        <v>0</v>
      </c>
      <c r="K78" s="62">
        <f>IFERROR(aurora_data!J498,0)</f>
        <v>0</v>
      </c>
      <c r="L78" s="62">
        <f>IFERROR(aurora_data!K498,0)</f>
        <v>0</v>
      </c>
      <c r="M78" s="62">
        <f>IFERROR(aurora_data!L498,0)</f>
        <v>0</v>
      </c>
      <c r="N78" s="63">
        <f>IFERROR(aurora_data!M498,0)</f>
        <v>0</v>
      </c>
      <c r="O78" s="36">
        <f>IFERROR(aurora_data!N498,0)</f>
        <v>0</v>
      </c>
      <c r="P78" s="62">
        <f>IFERROR(aurora_data!O498,0)</f>
        <v>0</v>
      </c>
      <c r="Q78" s="62">
        <f>IFERROR(aurora_data!P498,0)</f>
        <v>0</v>
      </c>
      <c r="R78" s="63">
        <f>IFERROR(aurora_data!Q498,0)</f>
        <v>0</v>
      </c>
      <c r="S78" s="62">
        <f>IFERROR(aurora_data!R498,0)</f>
        <v>0</v>
      </c>
      <c r="T78" s="62">
        <f>IFERROR(aurora_data!S498,0)</f>
        <v>0</v>
      </c>
      <c r="U78" s="63">
        <f>IFERROR(aurora_data!T498,0)</f>
        <v>0</v>
      </c>
      <c r="V78" s="64" t="s">
        <v>95</v>
      </c>
      <c r="W78" s="36">
        <f>IFERROR(aurora_data!U498,0)</f>
        <v>0</v>
      </c>
      <c r="X78" s="71">
        <f t="shared" si="8"/>
        <v>0</v>
      </c>
      <c r="Y78" s="2"/>
    </row>
    <row r="79" spans="1:25" customFormat="1">
      <c r="A79" s="2"/>
      <c r="B79" s="211"/>
      <c r="C79" s="213"/>
      <c r="D79" s="35" t="s">
        <v>97</v>
      </c>
      <c r="E79" s="36">
        <f>IFERROR(aurora_data!D499,0)</f>
        <v>0</v>
      </c>
      <c r="F79" s="62">
        <f>IFERROR(aurora_data!E499,0)</f>
        <v>0</v>
      </c>
      <c r="G79" s="62">
        <f>IFERROR(aurora_data!F499,0)</f>
        <v>0</v>
      </c>
      <c r="H79" s="62">
        <f>IFERROR(aurora_data!G499,0)</f>
        <v>0</v>
      </c>
      <c r="I79" s="63">
        <f>IFERROR(aurora_data!H499,0)</f>
        <v>0</v>
      </c>
      <c r="J79" s="36">
        <f>IFERROR(aurora_data!I499,0)</f>
        <v>0</v>
      </c>
      <c r="K79" s="62">
        <f>IFERROR(aurora_data!J499,0)</f>
        <v>0</v>
      </c>
      <c r="L79" s="62">
        <f>IFERROR(aurora_data!K499,0)</f>
        <v>0</v>
      </c>
      <c r="M79" s="62">
        <f>IFERROR(aurora_data!L499,0)</f>
        <v>0</v>
      </c>
      <c r="N79" s="63">
        <f>IFERROR(aurora_data!M499,0)</f>
        <v>0</v>
      </c>
      <c r="O79" s="36">
        <f>IFERROR(aurora_data!N499,0)</f>
        <v>0</v>
      </c>
      <c r="P79" s="62">
        <f>IFERROR(aurora_data!O499,0)</f>
        <v>0</v>
      </c>
      <c r="Q79" s="62">
        <f>IFERROR(aurora_data!P499,0)</f>
        <v>0</v>
      </c>
      <c r="R79" s="63">
        <f>IFERROR(aurora_data!Q499,0)</f>
        <v>0</v>
      </c>
      <c r="S79" s="62">
        <f>IFERROR(aurora_data!R499,0)</f>
        <v>0</v>
      </c>
      <c r="T79" s="62">
        <f>IFERROR(aurora_data!S499,0)</f>
        <v>0</v>
      </c>
      <c r="U79" s="63">
        <f>IFERROR(aurora_data!T499,0)</f>
        <v>0</v>
      </c>
      <c r="V79" s="64" t="s">
        <v>95</v>
      </c>
      <c r="W79" s="36">
        <f>IFERROR(aurora_data!U499,0)</f>
        <v>0</v>
      </c>
      <c r="X79" s="71">
        <f t="shared" si="8"/>
        <v>0</v>
      </c>
      <c r="Y79" s="2"/>
    </row>
    <row r="80" spans="1:25" customFormat="1" ht="16.5" customHeight="1">
      <c r="A80" s="2"/>
      <c r="B80" s="211"/>
      <c r="C80" s="213"/>
      <c r="D80" s="35" t="s">
        <v>98</v>
      </c>
      <c r="E80" s="36">
        <f>IFERROR(aurora_data!D500,0)</f>
        <v>0</v>
      </c>
      <c r="F80" s="62">
        <f>IFERROR(aurora_data!E500,0)</f>
        <v>0</v>
      </c>
      <c r="G80" s="62">
        <f>IFERROR(aurora_data!F500,0)</f>
        <v>0</v>
      </c>
      <c r="H80" s="62">
        <f>IFERROR(aurora_data!G500,0)</f>
        <v>0</v>
      </c>
      <c r="I80" s="63">
        <f>IFERROR(aurora_data!H500,0)</f>
        <v>0</v>
      </c>
      <c r="J80" s="36">
        <f>IFERROR(aurora_data!I500,0)</f>
        <v>0</v>
      </c>
      <c r="K80" s="62">
        <f>IFERROR(aurora_data!J500,0)</f>
        <v>0</v>
      </c>
      <c r="L80" s="62">
        <f>IFERROR(aurora_data!K500,0)</f>
        <v>0</v>
      </c>
      <c r="M80" s="62">
        <f>IFERROR(aurora_data!L500,0)</f>
        <v>0</v>
      </c>
      <c r="N80" s="63">
        <f>IFERROR(aurora_data!M500,0)</f>
        <v>0</v>
      </c>
      <c r="O80" s="36">
        <f>IFERROR(aurora_data!N500,0)</f>
        <v>0</v>
      </c>
      <c r="P80" s="62">
        <f>IFERROR(aurora_data!O500,0)</f>
        <v>0</v>
      </c>
      <c r="Q80" s="62">
        <f>IFERROR(aurora_data!P500,0)</f>
        <v>0</v>
      </c>
      <c r="R80" s="63">
        <f>IFERROR(aurora_data!Q500,0)</f>
        <v>0</v>
      </c>
      <c r="S80" s="62">
        <f>IFERROR(aurora_data!R500,0)</f>
        <v>0</v>
      </c>
      <c r="T80" s="62">
        <f>IFERROR(aurora_data!S500,0)</f>
        <v>0</v>
      </c>
      <c r="U80" s="63">
        <f>IFERROR(aurora_data!T500,0)</f>
        <v>0</v>
      </c>
      <c r="V80" s="64" t="s">
        <v>95</v>
      </c>
      <c r="W80" s="36">
        <f>IFERROR(aurora_data!U500,0)</f>
        <v>0</v>
      </c>
      <c r="X80" s="71">
        <f t="shared" si="8"/>
        <v>0</v>
      </c>
      <c r="Y80" s="2"/>
    </row>
    <row r="81" spans="1:25" customFormat="1" ht="16.5" customHeight="1" thickBot="1">
      <c r="A81" s="2"/>
      <c r="B81" s="211"/>
      <c r="C81" s="213"/>
      <c r="D81" s="35" t="s">
        <v>99</v>
      </c>
      <c r="E81" s="36">
        <f>IFERROR(aurora_data!D501,0)</f>
        <v>0</v>
      </c>
      <c r="F81" s="62">
        <f>IFERROR(aurora_data!E501,0)</f>
        <v>0</v>
      </c>
      <c r="G81" s="62">
        <f>IFERROR(aurora_data!F501,0)</f>
        <v>0</v>
      </c>
      <c r="H81" s="62">
        <f>IFERROR(aurora_data!G501,0)</f>
        <v>0</v>
      </c>
      <c r="I81" s="63">
        <f>IFERROR(aurora_data!H501,0)</f>
        <v>0</v>
      </c>
      <c r="J81" s="36">
        <f>IFERROR(aurora_data!I501,0)</f>
        <v>0</v>
      </c>
      <c r="K81" s="62">
        <f>IFERROR(aurora_data!J501,0)</f>
        <v>0</v>
      </c>
      <c r="L81" s="62">
        <f>IFERROR(aurora_data!K501,0)</f>
        <v>0</v>
      </c>
      <c r="M81" s="62">
        <f>IFERROR(aurora_data!L501,0)</f>
        <v>0</v>
      </c>
      <c r="N81" s="63">
        <f>IFERROR(aurora_data!M501,0)</f>
        <v>0</v>
      </c>
      <c r="O81" s="36">
        <f>IFERROR(aurora_data!N501,0)</f>
        <v>0</v>
      </c>
      <c r="P81" s="62">
        <f>IFERROR(aurora_data!O501,0)</f>
        <v>0</v>
      </c>
      <c r="Q81" s="62">
        <f>IFERROR(aurora_data!P501,0)</f>
        <v>0</v>
      </c>
      <c r="R81" s="63">
        <f>IFERROR(aurora_data!Q501,0)</f>
        <v>0</v>
      </c>
      <c r="S81" s="62">
        <f>IFERROR(aurora_data!R501,0)</f>
        <v>0</v>
      </c>
      <c r="T81" s="62">
        <f>IFERROR(aurora_data!S501,0)</f>
        <v>0</v>
      </c>
      <c r="U81" s="63">
        <f>IFERROR(aurora_data!T501,0)</f>
        <v>0</v>
      </c>
      <c r="V81" s="64" t="s">
        <v>95</v>
      </c>
      <c r="W81" s="36">
        <f>IFERROR(aurora_data!U501,0)</f>
        <v>0</v>
      </c>
      <c r="X81" s="71">
        <f t="shared" si="8"/>
        <v>0</v>
      </c>
      <c r="Y81" s="2"/>
    </row>
    <row r="82" spans="1:25" customFormat="1" ht="16.5" customHeight="1" thickBot="1">
      <c r="A82" s="2"/>
      <c r="B82" s="211"/>
      <c r="C82" s="213"/>
      <c r="D82" s="37" t="s">
        <v>64</v>
      </c>
      <c r="E82" s="59">
        <f>IFERROR(aurora_data!D502,0)</f>
        <v>0</v>
      </c>
      <c r="F82" s="65">
        <f>IFERROR(aurora_data!E502,0)</f>
        <v>0</v>
      </c>
      <c r="G82" s="65">
        <f>IFERROR(aurora_data!F502,0)</f>
        <v>0</v>
      </c>
      <c r="H82" s="65">
        <f>IFERROR(aurora_data!G502,0)</f>
        <v>0</v>
      </c>
      <c r="I82" s="66">
        <f>IFERROR(aurora_data!H502,0)</f>
        <v>0</v>
      </c>
      <c r="J82" s="59">
        <f>IFERROR(aurora_data!I502,0)</f>
        <v>0</v>
      </c>
      <c r="K82" s="65">
        <f>IFERROR(aurora_data!J502,0)</f>
        <v>0</v>
      </c>
      <c r="L82" s="65">
        <f>IFERROR(aurora_data!K502,0)</f>
        <v>0</v>
      </c>
      <c r="M82" s="65">
        <f>IFERROR(aurora_data!L502,0)</f>
        <v>0</v>
      </c>
      <c r="N82" s="66">
        <f>IFERROR(aurora_data!M502,0)</f>
        <v>0</v>
      </c>
      <c r="O82" s="59">
        <f>IFERROR(aurora_data!N502,0)</f>
        <v>0</v>
      </c>
      <c r="P82" s="65">
        <f>IFERROR(aurora_data!O502,0)</f>
        <v>0</v>
      </c>
      <c r="Q82" s="65">
        <f>IFERROR(aurora_data!P502,0)</f>
        <v>0</v>
      </c>
      <c r="R82" s="66">
        <f>IFERROR(aurora_data!Q502,0)</f>
        <v>0</v>
      </c>
      <c r="S82" s="65">
        <f>IFERROR(aurora_data!R502,0)</f>
        <v>0</v>
      </c>
      <c r="T82" s="65">
        <f>IFERROR(aurora_data!S502,0)</f>
        <v>0</v>
      </c>
      <c r="U82" s="66">
        <f>IFERROR(aurora_data!T502,0)</f>
        <v>0</v>
      </c>
      <c r="V82" s="67" t="s">
        <v>95</v>
      </c>
      <c r="W82" s="59">
        <f>IFERROR(aurora_data!U502,0)</f>
        <v>0</v>
      </c>
      <c r="X82" s="72">
        <f t="shared" si="8"/>
        <v>0</v>
      </c>
      <c r="Y82" s="2"/>
    </row>
    <row r="83" spans="1:25" customFormat="1" ht="16.5" thickBot="1">
      <c r="A83" s="2"/>
      <c r="B83" s="211"/>
      <c r="C83" s="213"/>
      <c r="D83" s="38" t="s">
        <v>100</v>
      </c>
      <c r="E83" s="60">
        <f>IFERROR(aurora_data!D503,0)</f>
        <v>0</v>
      </c>
      <c r="F83" s="68">
        <f>IFERROR(aurora_data!E503,0)</f>
        <v>0</v>
      </c>
      <c r="G83" s="68">
        <f>IFERROR(aurora_data!F503,0)</f>
        <v>0</v>
      </c>
      <c r="H83" s="68">
        <f>IFERROR(aurora_data!G503,0)</f>
        <v>0</v>
      </c>
      <c r="I83" s="69">
        <f>IFERROR(aurora_data!H503,0)</f>
        <v>0</v>
      </c>
      <c r="J83" s="60">
        <f>IFERROR(aurora_data!I503,0)</f>
        <v>0</v>
      </c>
      <c r="K83" s="68">
        <f>IFERROR(aurora_data!J503,0)</f>
        <v>0</v>
      </c>
      <c r="L83" s="68">
        <f>IFERROR(aurora_data!K503,0)</f>
        <v>0</v>
      </c>
      <c r="M83" s="68">
        <f>IFERROR(aurora_data!L503,0)</f>
        <v>0</v>
      </c>
      <c r="N83" s="69">
        <f>IFERROR(aurora_data!M503,0)</f>
        <v>0</v>
      </c>
      <c r="O83" s="60">
        <f>IFERROR(aurora_data!N503,0)</f>
        <v>0</v>
      </c>
      <c r="P83" s="68">
        <f>IFERROR(aurora_data!O503,0)</f>
        <v>0</v>
      </c>
      <c r="Q83" s="68">
        <f>IFERROR(aurora_data!P503,0)</f>
        <v>0</v>
      </c>
      <c r="R83" s="69">
        <f>IFERROR(aurora_data!Q503,0)</f>
        <v>0</v>
      </c>
      <c r="S83" s="68">
        <f>IFERROR(aurora_data!R503,0)</f>
        <v>0</v>
      </c>
      <c r="T83" s="68">
        <f>IFERROR(aurora_data!S503,0)</f>
        <v>0</v>
      </c>
      <c r="U83" s="74">
        <f>IFERROR(aurora_data!T503,0)</f>
        <v>0</v>
      </c>
      <c r="V83" s="75" t="s">
        <v>95</v>
      </c>
      <c r="W83" s="60">
        <f>IFERROR(aurora_data!U503,0)</f>
        <v>0</v>
      </c>
      <c r="X83" s="73">
        <f t="shared" si="8"/>
        <v>0</v>
      </c>
      <c r="Y83" s="2"/>
    </row>
    <row r="84" spans="1:25" customFormat="1">
      <c r="A84" s="2"/>
      <c r="B84" s="210" t="s">
        <v>94</v>
      </c>
      <c r="C84" s="212" t="str">
        <f>aurora_data!A504</f>
        <v>15.00.00-15.11.30</v>
      </c>
      <c r="D84" s="34" t="s">
        <v>71</v>
      </c>
      <c r="E84" s="39">
        <f>IFERROR(aurora_data!D504,0)</f>
        <v>0</v>
      </c>
      <c r="F84" s="40">
        <f>IFERROR(aurora_data!E504,0)</f>
        <v>0</v>
      </c>
      <c r="G84" s="40">
        <f>IFERROR(aurora_data!F504,0)</f>
        <v>0</v>
      </c>
      <c r="H84" s="40">
        <f>IFERROR(aurora_data!G504,0)</f>
        <v>0</v>
      </c>
      <c r="I84" s="41">
        <f>IFERROR(aurora_data!H504,0)</f>
        <v>0</v>
      </c>
      <c r="J84" s="39">
        <f>IFERROR(aurora_data!I504,0)</f>
        <v>0</v>
      </c>
      <c r="K84" s="40">
        <f>IFERROR(aurora_data!J504,0)</f>
        <v>0</v>
      </c>
      <c r="L84" s="40">
        <f>IFERROR(aurora_data!K504,0)</f>
        <v>0</v>
      </c>
      <c r="M84" s="40">
        <f>IFERROR(aurora_data!L504,0)</f>
        <v>0</v>
      </c>
      <c r="N84" s="41">
        <f>IFERROR(aurora_data!M504,0)</f>
        <v>0</v>
      </c>
      <c r="O84" s="39">
        <f>IFERROR(aurora_data!N504,0)</f>
        <v>0</v>
      </c>
      <c r="P84" s="40">
        <f>IFERROR(aurora_data!O504,0)</f>
        <v>0</v>
      </c>
      <c r="Q84" s="40">
        <f>IFERROR(aurora_data!P504,0)</f>
        <v>0</v>
      </c>
      <c r="R84" s="41">
        <f>IFERROR(aurora_data!Q504,0)</f>
        <v>0</v>
      </c>
      <c r="S84" s="40">
        <f>IFERROR(aurora_data!R504,0)</f>
        <v>0</v>
      </c>
      <c r="T84" s="40">
        <f>IFERROR(aurora_data!S504,0)</f>
        <v>0</v>
      </c>
      <c r="U84" s="76">
        <f>IFERROR(aurora_data!T504,0)</f>
        <v>0</v>
      </c>
      <c r="V84" s="61" t="s">
        <v>95</v>
      </c>
      <c r="W84" s="39">
        <f>IFERROR(aurora_data!U504,0)</f>
        <v>1</v>
      </c>
      <c r="X84" s="70">
        <f>IFERROR(W84/$W$20,0)</f>
        <v>0.5</v>
      </c>
      <c r="Y84" s="2"/>
    </row>
    <row r="85" spans="1:25" customFormat="1" ht="16.5" customHeight="1">
      <c r="A85" s="2"/>
      <c r="B85" s="211"/>
      <c r="C85" s="213"/>
      <c r="D85" s="35" t="s">
        <v>96</v>
      </c>
      <c r="E85" s="36">
        <f>IFERROR(aurora_data!D505,0)</f>
        <v>0</v>
      </c>
      <c r="F85" s="62">
        <f>IFERROR(aurora_data!E505,0)</f>
        <v>0</v>
      </c>
      <c r="G85" s="62">
        <f>IFERROR(aurora_data!F505,0)</f>
        <v>0</v>
      </c>
      <c r="H85" s="62">
        <f>IFERROR(aurora_data!G505,0)</f>
        <v>0</v>
      </c>
      <c r="I85" s="63">
        <f>IFERROR(aurora_data!H505,0)</f>
        <v>0</v>
      </c>
      <c r="J85" s="36">
        <f>IFERROR(aurora_data!I505,0)</f>
        <v>0</v>
      </c>
      <c r="K85" s="62">
        <f>IFERROR(aurora_data!J505,0)</f>
        <v>0</v>
      </c>
      <c r="L85" s="62">
        <f>IFERROR(aurora_data!K505,0)</f>
        <v>0</v>
      </c>
      <c r="M85" s="62">
        <f>IFERROR(aurora_data!L505,0)</f>
        <v>0</v>
      </c>
      <c r="N85" s="63">
        <f>IFERROR(aurora_data!M505,0)</f>
        <v>0</v>
      </c>
      <c r="O85" s="36">
        <f>IFERROR(aurora_data!N505,0)</f>
        <v>0</v>
      </c>
      <c r="P85" s="62">
        <f>IFERROR(aurora_data!O505,0)</f>
        <v>0</v>
      </c>
      <c r="Q85" s="62">
        <f>IFERROR(aurora_data!P505,0)</f>
        <v>0</v>
      </c>
      <c r="R85" s="63">
        <f>IFERROR(aurora_data!Q505,0)</f>
        <v>0</v>
      </c>
      <c r="S85" s="62">
        <f>IFERROR(aurora_data!R505,0)</f>
        <v>0</v>
      </c>
      <c r="T85" s="62">
        <f>IFERROR(aurora_data!S505,0)</f>
        <v>0</v>
      </c>
      <c r="U85" s="63">
        <f>IFERROR(aurora_data!T505,0)</f>
        <v>0</v>
      </c>
      <c r="V85" s="64" t="s">
        <v>95</v>
      </c>
      <c r="W85" s="36">
        <f>IFERROR(aurora_data!U505,0)</f>
        <v>0</v>
      </c>
      <c r="X85" s="71">
        <f t="shared" ref="X85:X91" si="9">IFERROR(W85/$W$20,0)</f>
        <v>0</v>
      </c>
      <c r="Y85" s="2"/>
    </row>
    <row r="86" spans="1:25" customFormat="1" ht="16.5" customHeight="1">
      <c r="A86" s="2"/>
      <c r="B86" s="211"/>
      <c r="C86" s="213"/>
      <c r="D86" s="35" t="s">
        <v>60</v>
      </c>
      <c r="E86" s="36">
        <f>IFERROR(aurora_data!D506,0)</f>
        <v>0</v>
      </c>
      <c r="F86" s="62">
        <f>IFERROR(aurora_data!E506,0)</f>
        <v>0</v>
      </c>
      <c r="G86" s="62">
        <f>IFERROR(aurora_data!F506,0)</f>
        <v>0</v>
      </c>
      <c r="H86" s="62">
        <f>IFERROR(aurora_data!G506,0)</f>
        <v>0</v>
      </c>
      <c r="I86" s="63">
        <f>IFERROR(aurora_data!H506,0)</f>
        <v>0</v>
      </c>
      <c r="J86" s="36">
        <f>IFERROR(aurora_data!I506,0)</f>
        <v>0</v>
      </c>
      <c r="K86" s="62">
        <f>IFERROR(aurora_data!J506,0)</f>
        <v>0</v>
      </c>
      <c r="L86" s="62">
        <f>IFERROR(aurora_data!K506,0)</f>
        <v>0</v>
      </c>
      <c r="M86" s="62">
        <f>IFERROR(aurora_data!L506,0)</f>
        <v>0</v>
      </c>
      <c r="N86" s="63">
        <f>IFERROR(aurora_data!M506,0)</f>
        <v>0</v>
      </c>
      <c r="O86" s="36">
        <f>IFERROR(aurora_data!N506,0)</f>
        <v>0</v>
      </c>
      <c r="P86" s="62">
        <f>IFERROR(aurora_data!O506,0)</f>
        <v>0</v>
      </c>
      <c r="Q86" s="62">
        <f>IFERROR(aurora_data!P506,0)</f>
        <v>0</v>
      </c>
      <c r="R86" s="63">
        <f>IFERROR(aurora_data!Q506,0)</f>
        <v>0</v>
      </c>
      <c r="S86" s="62">
        <f>IFERROR(aurora_data!R506,0)</f>
        <v>0</v>
      </c>
      <c r="T86" s="62">
        <f>IFERROR(aurora_data!S506,0)</f>
        <v>0</v>
      </c>
      <c r="U86" s="63">
        <f>IFERROR(aurora_data!T506,0)</f>
        <v>0</v>
      </c>
      <c r="V86" s="64" t="s">
        <v>95</v>
      </c>
      <c r="W86" s="36">
        <f>IFERROR(aurora_data!U506,0)</f>
        <v>0</v>
      </c>
      <c r="X86" s="71">
        <f t="shared" si="9"/>
        <v>0</v>
      </c>
      <c r="Y86" s="2"/>
    </row>
    <row r="87" spans="1:25" customFormat="1">
      <c r="A87" s="2"/>
      <c r="B87" s="211"/>
      <c r="C87" s="213"/>
      <c r="D87" s="35" t="s">
        <v>97</v>
      </c>
      <c r="E87" s="36">
        <f>IFERROR(aurora_data!D507,0)</f>
        <v>0</v>
      </c>
      <c r="F87" s="62">
        <f>IFERROR(aurora_data!E507,0)</f>
        <v>0</v>
      </c>
      <c r="G87" s="62">
        <f>IFERROR(aurora_data!F507,0)</f>
        <v>0</v>
      </c>
      <c r="H87" s="62">
        <f>IFERROR(aurora_data!G507,0)</f>
        <v>0</v>
      </c>
      <c r="I87" s="63">
        <f>IFERROR(aurora_data!H507,0)</f>
        <v>0</v>
      </c>
      <c r="J87" s="36">
        <f>IFERROR(aurora_data!I507,0)</f>
        <v>0</v>
      </c>
      <c r="K87" s="62">
        <f>IFERROR(aurora_data!J507,0)</f>
        <v>0</v>
      </c>
      <c r="L87" s="62">
        <f>IFERROR(aurora_data!K507,0)</f>
        <v>0</v>
      </c>
      <c r="M87" s="62">
        <f>IFERROR(aurora_data!L507,0)</f>
        <v>0</v>
      </c>
      <c r="N87" s="63">
        <f>IFERROR(aurora_data!M507,0)</f>
        <v>0</v>
      </c>
      <c r="O87" s="36">
        <f>IFERROR(aurora_data!N507,0)</f>
        <v>0</v>
      </c>
      <c r="P87" s="62">
        <f>IFERROR(aurora_data!O507,0)</f>
        <v>0</v>
      </c>
      <c r="Q87" s="62">
        <f>IFERROR(aurora_data!P507,0)</f>
        <v>0</v>
      </c>
      <c r="R87" s="63">
        <f>IFERROR(aurora_data!Q507,0)</f>
        <v>0</v>
      </c>
      <c r="S87" s="62">
        <f>IFERROR(aurora_data!R507,0)</f>
        <v>0</v>
      </c>
      <c r="T87" s="62">
        <f>IFERROR(aurora_data!S507,0)</f>
        <v>0</v>
      </c>
      <c r="U87" s="63">
        <f>IFERROR(aurora_data!T507,0)</f>
        <v>0</v>
      </c>
      <c r="V87" s="64" t="s">
        <v>95</v>
      </c>
      <c r="W87" s="36">
        <f>IFERROR(aurora_data!U507,0)</f>
        <v>0</v>
      </c>
      <c r="X87" s="71">
        <f t="shared" si="9"/>
        <v>0</v>
      </c>
      <c r="Y87" s="2"/>
    </row>
    <row r="88" spans="1:25" customFormat="1" ht="16.5" customHeight="1">
      <c r="A88" s="2"/>
      <c r="B88" s="211"/>
      <c r="C88" s="213"/>
      <c r="D88" s="35" t="s">
        <v>98</v>
      </c>
      <c r="E88" s="36">
        <f>IFERROR(aurora_data!D508,0)</f>
        <v>0</v>
      </c>
      <c r="F88" s="62">
        <f>IFERROR(aurora_data!E508,0)</f>
        <v>0</v>
      </c>
      <c r="G88" s="62">
        <f>IFERROR(aurora_data!F508,0)</f>
        <v>0</v>
      </c>
      <c r="H88" s="62">
        <f>IFERROR(aurora_data!G508,0)</f>
        <v>0</v>
      </c>
      <c r="I88" s="63">
        <f>IFERROR(aurora_data!H508,0)</f>
        <v>0</v>
      </c>
      <c r="J88" s="36">
        <f>IFERROR(aurora_data!I508,0)</f>
        <v>0</v>
      </c>
      <c r="K88" s="62">
        <f>IFERROR(aurora_data!J508,0)</f>
        <v>0</v>
      </c>
      <c r="L88" s="62">
        <f>IFERROR(aurora_data!K508,0)</f>
        <v>0</v>
      </c>
      <c r="M88" s="62">
        <f>IFERROR(aurora_data!L508,0)</f>
        <v>0</v>
      </c>
      <c r="N88" s="63">
        <f>IFERROR(aurora_data!M508,0)</f>
        <v>0</v>
      </c>
      <c r="O88" s="36">
        <f>IFERROR(aurora_data!N508,0)</f>
        <v>0</v>
      </c>
      <c r="P88" s="62">
        <f>IFERROR(aurora_data!O508,0)</f>
        <v>0</v>
      </c>
      <c r="Q88" s="62">
        <f>IFERROR(aurora_data!P508,0)</f>
        <v>0</v>
      </c>
      <c r="R88" s="63">
        <f>IFERROR(aurora_data!Q508,0)</f>
        <v>0</v>
      </c>
      <c r="S88" s="62">
        <f>IFERROR(aurora_data!R508,0)</f>
        <v>0</v>
      </c>
      <c r="T88" s="62">
        <f>IFERROR(aurora_data!S508,0)</f>
        <v>0</v>
      </c>
      <c r="U88" s="63">
        <f>IFERROR(aurora_data!T508,0)</f>
        <v>0</v>
      </c>
      <c r="V88" s="64" t="s">
        <v>95</v>
      </c>
      <c r="W88" s="36">
        <f>IFERROR(aurora_data!U508,0)</f>
        <v>0</v>
      </c>
      <c r="X88" s="71">
        <f t="shared" si="9"/>
        <v>0</v>
      </c>
      <c r="Y88" s="2"/>
    </row>
    <row r="89" spans="1:25" customFormat="1" ht="16.5" customHeight="1" thickBot="1">
      <c r="A89" s="2"/>
      <c r="B89" s="211"/>
      <c r="C89" s="213"/>
      <c r="D89" s="35" t="s">
        <v>99</v>
      </c>
      <c r="E89" s="36">
        <f>IFERROR(aurora_data!D509,0)</f>
        <v>0</v>
      </c>
      <c r="F89" s="62">
        <f>IFERROR(aurora_data!E509,0)</f>
        <v>0</v>
      </c>
      <c r="G89" s="62">
        <f>IFERROR(aurora_data!F509,0)</f>
        <v>0</v>
      </c>
      <c r="H89" s="62">
        <f>IFERROR(aurora_data!G509,0)</f>
        <v>0</v>
      </c>
      <c r="I89" s="63">
        <f>IFERROR(aurora_data!H509,0)</f>
        <v>0</v>
      </c>
      <c r="J89" s="36">
        <f>IFERROR(aurora_data!I509,0)</f>
        <v>0</v>
      </c>
      <c r="K89" s="62">
        <f>IFERROR(aurora_data!J509,0)</f>
        <v>0</v>
      </c>
      <c r="L89" s="62">
        <f>IFERROR(aurora_data!K509,0)</f>
        <v>0</v>
      </c>
      <c r="M89" s="62">
        <f>IFERROR(aurora_data!L509,0)</f>
        <v>0</v>
      </c>
      <c r="N89" s="63">
        <f>IFERROR(aurora_data!M509,0)</f>
        <v>0</v>
      </c>
      <c r="O89" s="36">
        <f>IFERROR(aurora_data!N509,0)</f>
        <v>0</v>
      </c>
      <c r="P89" s="62">
        <f>IFERROR(aurora_data!O509,0)</f>
        <v>0</v>
      </c>
      <c r="Q89" s="62">
        <f>IFERROR(aurora_data!P509,0)</f>
        <v>0</v>
      </c>
      <c r="R89" s="63">
        <f>IFERROR(aurora_data!Q509,0)</f>
        <v>0</v>
      </c>
      <c r="S89" s="62">
        <f>IFERROR(aurora_data!R509,0)</f>
        <v>0</v>
      </c>
      <c r="T89" s="62">
        <f>IFERROR(aurora_data!S509,0)</f>
        <v>0</v>
      </c>
      <c r="U89" s="63">
        <f>IFERROR(aurora_data!T509,0)</f>
        <v>0</v>
      </c>
      <c r="V89" s="64" t="s">
        <v>95</v>
      </c>
      <c r="W89" s="36">
        <f>IFERROR(aurora_data!U509,0)</f>
        <v>0</v>
      </c>
      <c r="X89" s="71">
        <f t="shared" si="9"/>
        <v>0</v>
      </c>
      <c r="Y89" s="2"/>
    </row>
    <row r="90" spans="1:25" customFormat="1" ht="16.5" customHeight="1" thickBot="1">
      <c r="A90" s="2"/>
      <c r="B90" s="211"/>
      <c r="C90" s="213"/>
      <c r="D90" s="37" t="s">
        <v>64</v>
      </c>
      <c r="E90" s="59">
        <f>IFERROR(aurora_data!D510,0)</f>
        <v>0</v>
      </c>
      <c r="F90" s="65">
        <f>IFERROR(aurora_data!E510,0)</f>
        <v>0</v>
      </c>
      <c r="G90" s="65">
        <f>IFERROR(aurora_data!F510,0)</f>
        <v>0</v>
      </c>
      <c r="H90" s="65">
        <f>IFERROR(aurora_data!G510,0)</f>
        <v>0</v>
      </c>
      <c r="I90" s="66">
        <f>IFERROR(aurora_data!H510,0)</f>
        <v>0</v>
      </c>
      <c r="J90" s="59">
        <f>IFERROR(aurora_data!I510,0)</f>
        <v>0</v>
      </c>
      <c r="K90" s="65">
        <f>IFERROR(aurora_data!J510,0)</f>
        <v>0</v>
      </c>
      <c r="L90" s="65">
        <f>IFERROR(aurora_data!K510,0)</f>
        <v>0</v>
      </c>
      <c r="M90" s="65">
        <f>IFERROR(aurora_data!L510,0)</f>
        <v>0</v>
      </c>
      <c r="N90" s="66">
        <f>IFERROR(aurora_data!M510,0)</f>
        <v>0</v>
      </c>
      <c r="O90" s="59">
        <f>IFERROR(aurora_data!N510,0)</f>
        <v>0</v>
      </c>
      <c r="P90" s="65">
        <f>IFERROR(aurora_data!O510,0)</f>
        <v>0</v>
      </c>
      <c r="Q90" s="65">
        <f>IFERROR(aurora_data!P510,0)</f>
        <v>0</v>
      </c>
      <c r="R90" s="66">
        <f>IFERROR(aurora_data!Q510,0)</f>
        <v>0</v>
      </c>
      <c r="S90" s="65">
        <f>IFERROR(aurora_data!R510,0)</f>
        <v>0</v>
      </c>
      <c r="T90" s="65">
        <f>IFERROR(aurora_data!S510,0)</f>
        <v>0</v>
      </c>
      <c r="U90" s="66">
        <f>IFERROR(aurora_data!T510,0)</f>
        <v>0</v>
      </c>
      <c r="V90" s="67" t="s">
        <v>95</v>
      </c>
      <c r="W90" s="59">
        <f>IFERROR(aurora_data!U510,0)</f>
        <v>0</v>
      </c>
      <c r="X90" s="72">
        <f t="shared" si="9"/>
        <v>0</v>
      </c>
      <c r="Y90" s="2"/>
    </row>
    <row r="91" spans="1:25" customFormat="1" ht="16.5" thickBot="1">
      <c r="A91" s="2"/>
      <c r="B91" s="211"/>
      <c r="C91" s="213"/>
      <c r="D91" s="38" t="s">
        <v>100</v>
      </c>
      <c r="E91" s="60">
        <f>IFERROR(aurora_data!D511,0)</f>
        <v>0</v>
      </c>
      <c r="F91" s="68">
        <f>IFERROR(aurora_data!E511,0)</f>
        <v>0</v>
      </c>
      <c r="G91" s="68">
        <f>IFERROR(aurora_data!F511,0)</f>
        <v>0</v>
      </c>
      <c r="H91" s="68">
        <f>IFERROR(aurora_data!G511,0)</f>
        <v>0</v>
      </c>
      <c r="I91" s="69">
        <f>IFERROR(aurora_data!H511,0)</f>
        <v>0</v>
      </c>
      <c r="J91" s="60">
        <f>IFERROR(aurora_data!I511,0)</f>
        <v>0</v>
      </c>
      <c r="K91" s="68">
        <f>IFERROR(aurora_data!J511,0)</f>
        <v>0</v>
      </c>
      <c r="L91" s="68">
        <f>IFERROR(aurora_data!K511,0)</f>
        <v>0</v>
      </c>
      <c r="M91" s="68">
        <f>IFERROR(aurora_data!L511,0)</f>
        <v>0</v>
      </c>
      <c r="N91" s="69">
        <f>IFERROR(aurora_data!M511,0)</f>
        <v>0</v>
      </c>
      <c r="O91" s="60">
        <f>IFERROR(aurora_data!N511,0)</f>
        <v>0</v>
      </c>
      <c r="P91" s="68">
        <f>IFERROR(aurora_data!O511,0)</f>
        <v>0</v>
      </c>
      <c r="Q91" s="68">
        <f>IFERROR(aurora_data!P511,0)</f>
        <v>0</v>
      </c>
      <c r="R91" s="69">
        <f>IFERROR(aurora_data!Q511,0)</f>
        <v>0</v>
      </c>
      <c r="S91" s="68">
        <f>IFERROR(aurora_data!R511,0)</f>
        <v>0</v>
      </c>
      <c r="T91" s="68">
        <f>IFERROR(aurora_data!S511,0)</f>
        <v>0</v>
      </c>
      <c r="U91" s="74">
        <f>IFERROR(aurora_data!T511,0)</f>
        <v>0</v>
      </c>
      <c r="V91" s="75" t="s">
        <v>95</v>
      </c>
      <c r="W91" s="60">
        <f>IFERROR(aurora_data!U511,0)</f>
        <v>0</v>
      </c>
      <c r="X91" s="73">
        <f t="shared" si="9"/>
        <v>0</v>
      </c>
      <c r="Y91" s="2"/>
    </row>
    <row r="92" spans="1:25" customFormat="1">
      <c r="A92" s="2"/>
      <c r="B92" s="210" t="s">
        <v>94</v>
      </c>
      <c r="C92" s="212" t="str">
        <f>aurora_data!A512</f>
        <v>16.00.00-16.11.30</v>
      </c>
      <c r="D92" s="34" t="s">
        <v>71</v>
      </c>
      <c r="E92" s="39">
        <f>IFERROR(aurora_data!D512,0)</f>
        <v>0</v>
      </c>
      <c r="F92" s="40">
        <f>IFERROR(aurora_data!E512,0)</f>
        <v>0</v>
      </c>
      <c r="G92" s="40">
        <f>IFERROR(aurora_data!F512,0)</f>
        <v>0</v>
      </c>
      <c r="H92" s="40">
        <f>IFERROR(aurora_data!G512,0)</f>
        <v>0</v>
      </c>
      <c r="I92" s="41">
        <f>IFERROR(aurora_data!H512,0)</f>
        <v>0</v>
      </c>
      <c r="J92" s="39">
        <f>IFERROR(aurora_data!I512,0)</f>
        <v>0</v>
      </c>
      <c r="K92" s="40">
        <f>IFERROR(aurora_data!J512,0)</f>
        <v>0</v>
      </c>
      <c r="L92" s="40">
        <f>IFERROR(aurora_data!K512,0)</f>
        <v>0</v>
      </c>
      <c r="M92" s="40">
        <f>IFERROR(aurora_data!L512,0)</f>
        <v>0</v>
      </c>
      <c r="N92" s="41">
        <f>IFERROR(aurora_data!M512,0)</f>
        <v>0</v>
      </c>
      <c r="O92" s="39">
        <f>IFERROR(aurora_data!N512,0)</f>
        <v>0</v>
      </c>
      <c r="P92" s="40">
        <f>IFERROR(aurora_data!O512,0)</f>
        <v>0</v>
      </c>
      <c r="Q92" s="40">
        <f>IFERROR(aurora_data!P512,0)</f>
        <v>0</v>
      </c>
      <c r="R92" s="41">
        <f>IFERROR(aurora_data!Q512,0)</f>
        <v>0</v>
      </c>
      <c r="S92" s="40">
        <f>IFERROR(aurora_data!R512,0)</f>
        <v>0</v>
      </c>
      <c r="T92" s="40">
        <f>IFERROR(aurora_data!S512,0)</f>
        <v>0</v>
      </c>
      <c r="U92" s="76">
        <f>IFERROR(aurora_data!T512,0)</f>
        <v>0</v>
      </c>
      <c r="V92" s="61" t="s">
        <v>95</v>
      </c>
      <c r="W92" s="39">
        <f>IFERROR(aurora_data!U512,0)</f>
        <v>1</v>
      </c>
      <c r="X92" s="70">
        <f>IFERROR(W92/$W$20,0)</f>
        <v>0.5</v>
      </c>
      <c r="Y92" s="2"/>
    </row>
    <row r="93" spans="1:25" customFormat="1" ht="16.5" customHeight="1">
      <c r="A93" s="2"/>
      <c r="B93" s="211"/>
      <c r="C93" s="213"/>
      <c r="D93" s="35" t="s">
        <v>96</v>
      </c>
      <c r="E93" s="36">
        <f>IFERROR(aurora_data!D513,0)</f>
        <v>0</v>
      </c>
      <c r="F93" s="62">
        <f>IFERROR(aurora_data!E513,0)</f>
        <v>0</v>
      </c>
      <c r="G93" s="62">
        <f>IFERROR(aurora_data!F513,0)</f>
        <v>0</v>
      </c>
      <c r="H93" s="62">
        <f>IFERROR(aurora_data!G513,0)</f>
        <v>0</v>
      </c>
      <c r="I93" s="63">
        <f>IFERROR(aurora_data!H513,0)</f>
        <v>0</v>
      </c>
      <c r="J93" s="36">
        <f>IFERROR(aurora_data!I513,0)</f>
        <v>0</v>
      </c>
      <c r="K93" s="62">
        <f>IFERROR(aurora_data!J513,0)</f>
        <v>0</v>
      </c>
      <c r="L93" s="62">
        <f>IFERROR(aurora_data!K513,0)</f>
        <v>0</v>
      </c>
      <c r="M93" s="62">
        <f>IFERROR(aurora_data!L513,0)</f>
        <v>0</v>
      </c>
      <c r="N93" s="63">
        <f>IFERROR(aurora_data!M513,0)</f>
        <v>0</v>
      </c>
      <c r="O93" s="36">
        <f>IFERROR(aurora_data!N513,0)</f>
        <v>0</v>
      </c>
      <c r="P93" s="62">
        <f>IFERROR(aurora_data!O513,0)</f>
        <v>0</v>
      </c>
      <c r="Q93" s="62">
        <f>IFERROR(aurora_data!P513,0)</f>
        <v>0</v>
      </c>
      <c r="R93" s="63">
        <f>IFERROR(aurora_data!Q513,0)</f>
        <v>0</v>
      </c>
      <c r="S93" s="62">
        <f>IFERROR(aurora_data!R513,0)</f>
        <v>0</v>
      </c>
      <c r="T93" s="62">
        <f>IFERROR(aurora_data!S513,0)</f>
        <v>0</v>
      </c>
      <c r="U93" s="63">
        <f>IFERROR(aurora_data!T513,0)</f>
        <v>0</v>
      </c>
      <c r="V93" s="64" t="s">
        <v>95</v>
      </c>
      <c r="W93" s="36">
        <f>IFERROR(aurora_data!U513,0)</f>
        <v>0</v>
      </c>
      <c r="X93" s="71">
        <f t="shared" ref="X93:X99" si="10">IFERROR(W93/$W$20,0)</f>
        <v>0</v>
      </c>
      <c r="Y93" s="2"/>
    </row>
    <row r="94" spans="1:25" customFormat="1" ht="16.5" customHeight="1">
      <c r="A94" s="2"/>
      <c r="B94" s="211"/>
      <c r="C94" s="213"/>
      <c r="D94" s="35" t="s">
        <v>60</v>
      </c>
      <c r="E94" s="36">
        <f>IFERROR(aurora_data!D514,0)</f>
        <v>0</v>
      </c>
      <c r="F94" s="62">
        <f>IFERROR(aurora_data!E514,0)</f>
        <v>0</v>
      </c>
      <c r="G94" s="62">
        <f>IFERROR(aurora_data!F514,0)</f>
        <v>0</v>
      </c>
      <c r="H94" s="62">
        <f>IFERROR(aurora_data!G514,0)</f>
        <v>0</v>
      </c>
      <c r="I94" s="63">
        <f>IFERROR(aurora_data!H514,0)</f>
        <v>0</v>
      </c>
      <c r="J94" s="36">
        <f>IFERROR(aurora_data!I514,0)</f>
        <v>0</v>
      </c>
      <c r="K94" s="62">
        <f>IFERROR(aurora_data!J514,0)</f>
        <v>0</v>
      </c>
      <c r="L94" s="62">
        <f>IFERROR(aurora_data!K514,0)</f>
        <v>0</v>
      </c>
      <c r="M94" s="62">
        <f>IFERROR(aurora_data!L514,0)</f>
        <v>0</v>
      </c>
      <c r="N94" s="63">
        <f>IFERROR(aurora_data!M514,0)</f>
        <v>0</v>
      </c>
      <c r="O94" s="36">
        <f>IFERROR(aurora_data!N514,0)</f>
        <v>0</v>
      </c>
      <c r="P94" s="62">
        <f>IFERROR(aurora_data!O514,0)</f>
        <v>0</v>
      </c>
      <c r="Q94" s="62">
        <f>IFERROR(aurora_data!P514,0)</f>
        <v>0</v>
      </c>
      <c r="R94" s="63">
        <f>IFERROR(aurora_data!Q514,0)</f>
        <v>0</v>
      </c>
      <c r="S94" s="62">
        <f>IFERROR(aurora_data!R514,0)</f>
        <v>0</v>
      </c>
      <c r="T94" s="62">
        <f>IFERROR(aurora_data!S514,0)</f>
        <v>0</v>
      </c>
      <c r="U94" s="63">
        <f>IFERROR(aurora_data!T514,0)</f>
        <v>0</v>
      </c>
      <c r="V94" s="64" t="s">
        <v>95</v>
      </c>
      <c r="W94" s="36">
        <f>IFERROR(aurora_data!U514,0)</f>
        <v>0</v>
      </c>
      <c r="X94" s="71">
        <f t="shared" si="10"/>
        <v>0</v>
      </c>
      <c r="Y94" s="2"/>
    </row>
    <row r="95" spans="1:25" customFormat="1">
      <c r="A95" s="2"/>
      <c r="B95" s="211"/>
      <c r="C95" s="213"/>
      <c r="D95" s="35" t="s">
        <v>97</v>
      </c>
      <c r="E95" s="36">
        <f>IFERROR(aurora_data!D515,0)</f>
        <v>0</v>
      </c>
      <c r="F95" s="62">
        <f>IFERROR(aurora_data!E515,0)</f>
        <v>0</v>
      </c>
      <c r="G95" s="62">
        <f>IFERROR(aurora_data!F515,0)</f>
        <v>0</v>
      </c>
      <c r="H95" s="62">
        <f>IFERROR(aurora_data!G515,0)</f>
        <v>0</v>
      </c>
      <c r="I95" s="63">
        <f>IFERROR(aurora_data!H515,0)</f>
        <v>0</v>
      </c>
      <c r="J95" s="36">
        <f>IFERROR(aurora_data!I515,0)</f>
        <v>0</v>
      </c>
      <c r="K95" s="62">
        <f>IFERROR(aurora_data!J515,0)</f>
        <v>0</v>
      </c>
      <c r="L95" s="62">
        <f>IFERROR(aurora_data!K515,0)</f>
        <v>0</v>
      </c>
      <c r="M95" s="62">
        <f>IFERROR(aurora_data!L515,0)</f>
        <v>0</v>
      </c>
      <c r="N95" s="63">
        <f>IFERROR(aurora_data!M515,0)</f>
        <v>0</v>
      </c>
      <c r="O95" s="36">
        <f>IFERROR(aurora_data!N515,0)</f>
        <v>0</v>
      </c>
      <c r="P95" s="62">
        <f>IFERROR(aurora_data!O515,0)</f>
        <v>0</v>
      </c>
      <c r="Q95" s="62">
        <f>IFERROR(aurora_data!P515,0)</f>
        <v>0</v>
      </c>
      <c r="R95" s="63">
        <f>IFERROR(aurora_data!Q515,0)</f>
        <v>0</v>
      </c>
      <c r="S95" s="62">
        <f>IFERROR(aurora_data!R515,0)</f>
        <v>0</v>
      </c>
      <c r="T95" s="62">
        <f>IFERROR(aurora_data!S515,0)</f>
        <v>0</v>
      </c>
      <c r="U95" s="63">
        <f>IFERROR(aurora_data!T515,0)</f>
        <v>0</v>
      </c>
      <c r="V95" s="64" t="s">
        <v>95</v>
      </c>
      <c r="W95" s="36">
        <f>IFERROR(aurora_data!U515,0)</f>
        <v>0</v>
      </c>
      <c r="X95" s="71">
        <f t="shared" si="10"/>
        <v>0</v>
      </c>
      <c r="Y95" s="2"/>
    </row>
    <row r="96" spans="1:25" customFormat="1" ht="16.5" customHeight="1">
      <c r="A96" s="2"/>
      <c r="B96" s="211"/>
      <c r="C96" s="213"/>
      <c r="D96" s="35" t="s">
        <v>98</v>
      </c>
      <c r="E96" s="36">
        <f>IFERROR(aurora_data!D516,0)</f>
        <v>0</v>
      </c>
      <c r="F96" s="62">
        <f>IFERROR(aurora_data!E516,0)</f>
        <v>0</v>
      </c>
      <c r="G96" s="62">
        <f>IFERROR(aurora_data!F516,0)</f>
        <v>0</v>
      </c>
      <c r="H96" s="62">
        <f>IFERROR(aurora_data!G516,0)</f>
        <v>0</v>
      </c>
      <c r="I96" s="63">
        <f>IFERROR(aurora_data!H516,0)</f>
        <v>0</v>
      </c>
      <c r="J96" s="36">
        <f>IFERROR(aurora_data!I516,0)</f>
        <v>0</v>
      </c>
      <c r="K96" s="62">
        <f>IFERROR(aurora_data!J516,0)</f>
        <v>0</v>
      </c>
      <c r="L96" s="62">
        <f>IFERROR(aurora_data!K516,0)</f>
        <v>0</v>
      </c>
      <c r="M96" s="62">
        <f>IFERROR(aurora_data!L516,0)</f>
        <v>0</v>
      </c>
      <c r="N96" s="63">
        <f>IFERROR(aurora_data!M516,0)</f>
        <v>0</v>
      </c>
      <c r="O96" s="36">
        <f>IFERROR(aurora_data!N516,0)</f>
        <v>0</v>
      </c>
      <c r="P96" s="62">
        <f>IFERROR(aurora_data!O516,0)</f>
        <v>0</v>
      </c>
      <c r="Q96" s="62">
        <f>IFERROR(aurora_data!P516,0)</f>
        <v>0</v>
      </c>
      <c r="R96" s="63">
        <f>IFERROR(aurora_data!Q516,0)</f>
        <v>0</v>
      </c>
      <c r="S96" s="62">
        <f>IFERROR(aurora_data!R516,0)</f>
        <v>0</v>
      </c>
      <c r="T96" s="62">
        <f>IFERROR(aurora_data!S516,0)</f>
        <v>0</v>
      </c>
      <c r="U96" s="63">
        <f>IFERROR(aurora_data!T516,0)</f>
        <v>0</v>
      </c>
      <c r="V96" s="64" t="s">
        <v>95</v>
      </c>
      <c r="W96" s="36">
        <f>IFERROR(aurora_data!U516,0)</f>
        <v>0</v>
      </c>
      <c r="X96" s="71">
        <f t="shared" si="10"/>
        <v>0</v>
      </c>
      <c r="Y96" s="2"/>
    </row>
    <row r="97" spans="1:25" customFormat="1" ht="16.5" customHeight="1" thickBot="1">
      <c r="A97" s="2"/>
      <c r="B97" s="211"/>
      <c r="C97" s="213"/>
      <c r="D97" s="35" t="s">
        <v>99</v>
      </c>
      <c r="E97" s="36">
        <f>IFERROR(aurora_data!D517,0)</f>
        <v>0</v>
      </c>
      <c r="F97" s="62">
        <f>IFERROR(aurora_data!E517,0)</f>
        <v>0</v>
      </c>
      <c r="G97" s="62">
        <f>IFERROR(aurora_data!F517,0)</f>
        <v>0</v>
      </c>
      <c r="H97" s="62">
        <f>IFERROR(aurora_data!G517,0)</f>
        <v>0</v>
      </c>
      <c r="I97" s="63">
        <f>IFERROR(aurora_data!H517,0)</f>
        <v>0</v>
      </c>
      <c r="J97" s="36">
        <f>IFERROR(aurora_data!I517,0)</f>
        <v>0</v>
      </c>
      <c r="K97" s="62">
        <f>IFERROR(aurora_data!J517,0)</f>
        <v>0</v>
      </c>
      <c r="L97" s="62">
        <f>IFERROR(aurora_data!K517,0)</f>
        <v>0</v>
      </c>
      <c r="M97" s="62">
        <f>IFERROR(aurora_data!L517,0)</f>
        <v>0</v>
      </c>
      <c r="N97" s="63">
        <f>IFERROR(aurora_data!M517,0)</f>
        <v>0</v>
      </c>
      <c r="O97" s="36">
        <f>IFERROR(aurora_data!N517,0)</f>
        <v>0</v>
      </c>
      <c r="P97" s="62">
        <f>IFERROR(aurora_data!O517,0)</f>
        <v>0</v>
      </c>
      <c r="Q97" s="62">
        <f>IFERROR(aurora_data!P517,0)</f>
        <v>0</v>
      </c>
      <c r="R97" s="63">
        <f>IFERROR(aurora_data!Q517,0)</f>
        <v>0</v>
      </c>
      <c r="S97" s="62">
        <f>IFERROR(aurora_data!R517,0)</f>
        <v>0</v>
      </c>
      <c r="T97" s="62">
        <f>IFERROR(aurora_data!S517,0)</f>
        <v>0</v>
      </c>
      <c r="U97" s="63">
        <f>IFERROR(aurora_data!T517,0)</f>
        <v>0</v>
      </c>
      <c r="V97" s="64" t="s">
        <v>95</v>
      </c>
      <c r="W97" s="36">
        <f>IFERROR(aurora_data!U517,0)</f>
        <v>0</v>
      </c>
      <c r="X97" s="71">
        <f t="shared" si="10"/>
        <v>0</v>
      </c>
      <c r="Y97" s="2"/>
    </row>
    <row r="98" spans="1:25" customFormat="1" ht="16.5" customHeight="1" thickBot="1">
      <c r="A98" s="2"/>
      <c r="B98" s="211"/>
      <c r="C98" s="213"/>
      <c r="D98" s="37" t="s">
        <v>64</v>
      </c>
      <c r="E98" s="59">
        <f>IFERROR(aurora_data!D518,0)</f>
        <v>0</v>
      </c>
      <c r="F98" s="65">
        <f>IFERROR(aurora_data!E518,0)</f>
        <v>0</v>
      </c>
      <c r="G98" s="65">
        <f>IFERROR(aurora_data!F518,0)</f>
        <v>0</v>
      </c>
      <c r="H98" s="65">
        <f>IFERROR(aurora_data!G518,0)</f>
        <v>0</v>
      </c>
      <c r="I98" s="66">
        <f>IFERROR(aurora_data!H518,0)</f>
        <v>0</v>
      </c>
      <c r="J98" s="59">
        <f>IFERROR(aurora_data!I518,0)</f>
        <v>0</v>
      </c>
      <c r="K98" s="65">
        <f>IFERROR(aurora_data!J518,0)</f>
        <v>0</v>
      </c>
      <c r="L98" s="65">
        <f>IFERROR(aurora_data!K518,0)</f>
        <v>0</v>
      </c>
      <c r="M98" s="65">
        <f>IFERROR(aurora_data!L518,0)</f>
        <v>0</v>
      </c>
      <c r="N98" s="66">
        <f>IFERROR(aurora_data!M518,0)</f>
        <v>0</v>
      </c>
      <c r="O98" s="59">
        <f>IFERROR(aurora_data!N518,0)</f>
        <v>0</v>
      </c>
      <c r="P98" s="65">
        <f>IFERROR(aurora_data!O518,0)</f>
        <v>0</v>
      </c>
      <c r="Q98" s="65">
        <f>IFERROR(aurora_data!P518,0)</f>
        <v>0</v>
      </c>
      <c r="R98" s="66">
        <f>IFERROR(aurora_data!Q518,0)</f>
        <v>0</v>
      </c>
      <c r="S98" s="65">
        <f>IFERROR(aurora_data!R518,0)</f>
        <v>0</v>
      </c>
      <c r="T98" s="65">
        <f>IFERROR(aurora_data!S518,0)</f>
        <v>0</v>
      </c>
      <c r="U98" s="66">
        <f>IFERROR(aurora_data!T518,0)</f>
        <v>0</v>
      </c>
      <c r="V98" s="67" t="s">
        <v>95</v>
      </c>
      <c r="W98" s="59">
        <f>IFERROR(aurora_data!U518,0)</f>
        <v>0</v>
      </c>
      <c r="X98" s="72">
        <f t="shared" si="10"/>
        <v>0</v>
      </c>
      <c r="Y98" s="2"/>
    </row>
    <row r="99" spans="1:25" customFormat="1" ht="16.5" thickBot="1">
      <c r="A99" s="2"/>
      <c r="B99" s="211"/>
      <c r="C99" s="213"/>
      <c r="D99" s="38" t="s">
        <v>100</v>
      </c>
      <c r="E99" s="60">
        <f>IFERROR(aurora_data!D519,0)</f>
        <v>0</v>
      </c>
      <c r="F99" s="68">
        <f>IFERROR(aurora_data!E519,0)</f>
        <v>0</v>
      </c>
      <c r="G99" s="68">
        <f>IFERROR(aurora_data!F519,0)</f>
        <v>0</v>
      </c>
      <c r="H99" s="68">
        <f>IFERROR(aurora_data!G519,0)</f>
        <v>0</v>
      </c>
      <c r="I99" s="69">
        <f>IFERROR(aurora_data!H519,0)</f>
        <v>0</v>
      </c>
      <c r="J99" s="60">
        <f>IFERROR(aurora_data!I519,0)</f>
        <v>0</v>
      </c>
      <c r="K99" s="68">
        <f>IFERROR(aurora_data!J519,0)</f>
        <v>0</v>
      </c>
      <c r="L99" s="68">
        <f>IFERROR(aurora_data!K519,0)</f>
        <v>0</v>
      </c>
      <c r="M99" s="68">
        <f>IFERROR(aurora_data!L519,0)</f>
        <v>0</v>
      </c>
      <c r="N99" s="69">
        <f>IFERROR(aurora_data!M519,0)</f>
        <v>0</v>
      </c>
      <c r="O99" s="60">
        <f>IFERROR(aurora_data!N519,0)</f>
        <v>0</v>
      </c>
      <c r="P99" s="68">
        <f>IFERROR(aurora_data!O519,0)</f>
        <v>0</v>
      </c>
      <c r="Q99" s="68">
        <f>IFERROR(aurora_data!P519,0)</f>
        <v>0</v>
      </c>
      <c r="R99" s="69">
        <f>IFERROR(aurora_data!Q519,0)</f>
        <v>0</v>
      </c>
      <c r="S99" s="68">
        <f>IFERROR(aurora_data!R519,0)</f>
        <v>0</v>
      </c>
      <c r="T99" s="68">
        <f>IFERROR(aurora_data!S519,0)</f>
        <v>0</v>
      </c>
      <c r="U99" s="74">
        <f>IFERROR(aurora_data!T519,0)</f>
        <v>0</v>
      </c>
      <c r="V99" s="75" t="s">
        <v>95</v>
      </c>
      <c r="W99" s="60">
        <f>IFERROR(aurora_data!U519,0)</f>
        <v>0</v>
      </c>
      <c r="X99" s="73">
        <f t="shared" si="10"/>
        <v>0</v>
      </c>
      <c r="Y99" s="2"/>
    </row>
    <row r="100" spans="1:25" customFormat="1" ht="15.75" customHeight="1">
      <c r="A100" s="2"/>
      <c r="B100" s="206" t="s">
        <v>94</v>
      </c>
      <c r="C100" s="208" t="s">
        <v>55</v>
      </c>
      <c r="D100" s="34" t="s">
        <v>71</v>
      </c>
      <c r="E100" s="39">
        <f>IFERROR(aurora_data!D520,0)</f>
        <v>0</v>
      </c>
      <c r="F100" s="40">
        <f>IFERROR(aurora_data!E520,0)</f>
        <v>0</v>
      </c>
      <c r="G100" s="40">
        <f>IFERROR(aurora_data!F520,0)</f>
        <v>0</v>
      </c>
      <c r="H100" s="40">
        <f>IFERROR(aurora_data!G520,0)</f>
        <v>0</v>
      </c>
      <c r="I100" s="41">
        <f>IFERROR(aurora_data!H520,0)</f>
        <v>0</v>
      </c>
      <c r="J100" s="39">
        <f>IFERROR(aurora_data!I520,0)</f>
        <v>0</v>
      </c>
      <c r="K100" s="40">
        <f>IFERROR(aurora_data!J520,0)</f>
        <v>0</v>
      </c>
      <c r="L100" s="40">
        <f>IFERROR(aurora_data!K520,0)</f>
        <v>0</v>
      </c>
      <c r="M100" s="40">
        <f>IFERROR(aurora_data!L520,0)</f>
        <v>0</v>
      </c>
      <c r="N100" s="41">
        <f>IFERROR(aurora_data!M520,0)</f>
        <v>0</v>
      </c>
      <c r="O100" s="39">
        <f>IFERROR(aurora_data!N520,0)</f>
        <v>0</v>
      </c>
      <c r="P100" s="40">
        <f>IFERROR(aurora_data!O520,0)</f>
        <v>0</v>
      </c>
      <c r="Q100" s="40">
        <f>IFERROR(aurora_data!P520,0)</f>
        <v>0</v>
      </c>
      <c r="R100" s="41">
        <f>IFERROR(aurora_data!Q520,0)</f>
        <v>0</v>
      </c>
      <c r="S100" s="40">
        <f>IFERROR(aurora_data!R520,0)</f>
        <v>0</v>
      </c>
      <c r="T100" s="40">
        <f>IFERROR(aurora_data!S520,0)</f>
        <v>0</v>
      </c>
      <c r="U100" s="41">
        <f>IFERROR(aurora_data!T520,0)</f>
        <v>0</v>
      </c>
      <c r="V100" s="61" t="s">
        <v>95</v>
      </c>
      <c r="W100" s="39">
        <f>IFERROR(aurora_data!U520,0)</f>
        <v>15</v>
      </c>
      <c r="X100" s="70">
        <f>IFERROR(W100/$W$100,0)</f>
        <v>1</v>
      </c>
      <c r="Y100" s="2"/>
    </row>
    <row r="101" spans="1:25" customFormat="1" ht="15.75" customHeight="1">
      <c r="A101" s="2"/>
      <c r="B101" s="207"/>
      <c r="C101" s="209"/>
      <c r="D101" s="35" t="s">
        <v>96</v>
      </c>
      <c r="E101" s="36">
        <f>IFERROR(aurora_data!D521,0)</f>
        <v>0</v>
      </c>
      <c r="F101" s="62">
        <f>IFERROR(aurora_data!E521,0)</f>
        <v>0</v>
      </c>
      <c r="G101" s="62">
        <f>IFERROR(aurora_data!F521,0)</f>
        <v>0</v>
      </c>
      <c r="H101" s="62">
        <f>IFERROR(aurora_data!G521,0)</f>
        <v>0</v>
      </c>
      <c r="I101" s="63">
        <f>IFERROR(aurora_data!H521,0)</f>
        <v>0</v>
      </c>
      <c r="J101" s="36">
        <f>IFERROR(aurora_data!I521,0)</f>
        <v>0</v>
      </c>
      <c r="K101" s="62">
        <f>IFERROR(aurora_data!J521,0)</f>
        <v>0</v>
      </c>
      <c r="L101" s="62">
        <f>IFERROR(aurora_data!K521,0)</f>
        <v>0</v>
      </c>
      <c r="M101" s="62">
        <f>IFERROR(aurora_data!L521,0)</f>
        <v>0</v>
      </c>
      <c r="N101" s="63">
        <f>IFERROR(aurora_data!M521,0)</f>
        <v>0</v>
      </c>
      <c r="O101" s="36">
        <f>IFERROR(aurora_data!N521,0)</f>
        <v>0</v>
      </c>
      <c r="P101" s="62">
        <f>IFERROR(aurora_data!O521,0)</f>
        <v>0</v>
      </c>
      <c r="Q101" s="62">
        <f>IFERROR(aurora_data!P521,0)</f>
        <v>0</v>
      </c>
      <c r="R101" s="63">
        <f>IFERROR(aurora_data!Q521,0)</f>
        <v>0</v>
      </c>
      <c r="S101" s="62">
        <f>IFERROR(aurora_data!R521,0)</f>
        <v>0</v>
      </c>
      <c r="T101" s="62">
        <f>IFERROR(aurora_data!S521,0)</f>
        <v>0</v>
      </c>
      <c r="U101" s="63">
        <f>IFERROR(aurora_data!T521,0)</f>
        <v>0</v>
      </c>
      <c r="V101" s="64" t="s">
        <v>95</v>
      </c>
      <c r="W101" s="36">
        <f>IFERROR(aurora_data!U521,0)</f>
        <v>0</v>
      </c>
      <c r="X101" s="71">
        <f t="shared" ref="X101:X107" si="11">IFERROR(W101/$W$100,0)</f>
        <v>0</v>
      </c>
      <c r="Y101" s="2"/>
    </row>
    <row r="102" spans="1:25" customFormat="1" ht="15.75" customHeight="1">
      <c r="A102" s="2"/>
      <c r="B102" s="207"/>
      <c r="C102" s="209"/>
      <c r="D102" s="35" t="s">
        <v>60</v>
      </c>
      <c r="E102" s="36">
        <f>IFERROR(aurora_data!D522,0)</f>
        <v>0</v>
      </c>
      <c r="F102" s="62">
        <f>IFERROR(aurora_data!E522,0)</f>
        <v>0</v>
      </c>
      <c r="G102" s="62">
        <f>IFERROR(aurora_data!F522,0)</f>
        <v>0</v>
      </c>
      <c r="H102" s="62">
        <f>IFERROR(aurora_data!G522,0)</f>
        <v>0</v>
      </c>
      <c r="I102" s="63">
        <f>IFERROR(aurora_data!H522,0)</f>
        <v>0</v>
      </c>
      <c r="J102" s="36">
        <f>IFERROR(aurora_data!I522,0)</f>
        <v>0</v>
      </c>
      <c r="K102" s="62">
        <f>IFERROR(aurora_data!J522,0)</f>
        <v>0</v>
      </c>
      <c r="L102" s="62">
        <f>IFERROR(aurora_data!K522,0)</f>
        <v>0</v>
      </c>
      <c r="M102" s="62">
        <f>IFERROR(aurora_data!L522,0)</f>
        <v>0</v>
      </c>
      <c r="N102" s="63">
        <f>IFERROR(aurora_data!M522,0)</f>
        <v>0</v>
      </c>
      <c r="O102" s="36">
        <f>IFERROR(aurora_data!N522,0)</f>
        <v>0</v>
      </c>
      <c r="P102" s="62">
        <f>IFERROR(aurora_data!O522,0)</f>
        <v>0</v>
      </c>
      <c r="Q102" s="62">
        <f>IFERROR(aurora_data!P522,0)</f>
        <v>0</v>
      </c>
      <c r="R102" s="63">
        <f>IFERROR(aurora_data!Q522,0)</f>
        <v>0</v>
      </c>
      <c r="S102" s="62">
        <f>IFERROR(aurora_data!R522,0)</f>
        <v>0</v>
      </c>
      <c r="T102" s="62">
        <f>IFERROR(aurora_data!S522,0)</f>
        <v>0</v>
      </c>
      <c r="U102" s="63">
        <f>IFERROR(aurora_data!T522,0)</f>
        <v>0</v>
      </c>
      <c r="V102" s="64" t="s">
        <v>95</v>
      </c>
      <c r="W102" s="36">
        <f>IFERROR(aurora_data!U522,0)</f>
        <v>0</v>
      </c>
      <c r="X102" s="71">
        <f t="shared" si="11"/>
        <v>0</v>
      </c>
      <c r="Y102" s="2"/>
    </row>
    <row r="103" spans="1:25" customFormat="1" ht="15.75" customHeight="1">
      <c r="A103" s="2"/>
      <c r="B103" s="207"/>
      <c r="C103" s="209"/>
      <c r="D103" s="35" t="s">
        <v>97</v>
      </c>
      <c r="E103" s="36">
        <f>IFERROR(aurora_data!D523,0)</f>
        <v>0</v>
      </c>
      <c r="F103" s="62">
        <f>IFERROR(aurora_data!E523,0)</f>
        <v>0</v>
      </c>
      <c r="G103" s="62">
        <f>IFERROR(aurora_data!F523,0)</f>
        <v>0</v>
      </c>
      <c r="H103" s="62">
        <f>IFERROR(aurora_data!G523,0)</f>
        <v>0</v>
      </c>
      <c r="I103" s="63">
        <f>IFERROR(aurora_data!H523,0)</f>
        <v>0</v>
      </c>
      <c r="J103" s="36">
        <f>IFERROR(aurora_data!I523,0)</f>
        <v>0</v>
      </c>
      <c r="K103" s="62">
        <f>IFERROR(aurora_data!J523,0)</f>
        <v>0</v>
      </c>
      <c r="L103" s="62">
        <f>IFERROR(aurora_data!K523,0)</f>
        <v>0</v>
      </c>
      <c r="M103" s="62">
        <f>IFERROR(aurora_data!L523,0)</f>
        <v>0</v>
      </c>
      <c r="N103" s="63">
        <f>IFERROR(aurora_data!M523,0)</f>
        <v>0</v>
      </c>
      <c r="O103" s="36">
        <f>IFERROR(aurora_data!N523,0)</f>
        <v>0</v>
      </c>
      <c r="P103" s="62">
        <f>IFERROR(aurora_data!O523,0)</f>
        <v>0</v>
      </c>
      <c r="Q103" s="62">
        <f>IFERROR(aurora_data!P523,0)</f>
        <v>0</v>
      </c>
      <c r="R103" s="63">
        <f>IFERROR(aurora_data!Q523,0)</f>
        <v>0</v>
      </c>
      <c r="S103" s="62">
        <f>IFERROR(aurora_data!R523,0)</f>
        <v>0</v>
      </c>
      <c r="T103" s="62">
        <f>IFERROR(aurora_data!S523,0)</f>
        <v>0</v>
      </c>
      <c r="U103" s="63">
        <f>IFERROR(aurora_data!T523,0)</f>
        <v>0</v>
      </c>
      <c r="V103" s="64" t="s">
        <v>95</v>
      </c>
      <c r="W103" s="36">
        <f>IFERROR(aurora_data!U523,0)</f>
        <v>0</v>
      </c>
      <c r="X103" s="71">
        <f t="shared" si="11"/>
        <v>0</v>
      </c>
      <c r="Y103" s="2"/>
    </row>
    <row r="104" spans="1:25" customFormat="1" ht="16.5" customHeight="1">
      <c r="A104" s="2"/>
      <c r="B104" s="207"/>
      <c r="C104" s="209"/>
      <c r="D104" s="35" t="s">
        <v>98</v>
      </c>
      <c r="E104" s="36">
        <f>IFERROR(aurora_data!D524,0)</f>
        <v>0</v>
      </c>
      <c r="F104" s="62">
        <f>IFERROR(aurora_data!E524,0)</f>
        <v>0</v>
      </c>
      <c r="G104" s="62">
        <f>IFERROR(aurora_data!F524,0)</f>
        <v>0</v>
      </c>
      <c r="H104" s="62">
        <f>IFERROR(aurora_data!G524,0)</f>
        <v>0</v>
      </c>
      <c r="I104" s="63">
        <f>IFERROR(aurora_data!H524,0)</f>
        <v>0</v>
      </c>
      <c r="J104" s="36">
        <f>IFERROR(aurora_data!I524,0)</f>
        <v>0</v>
      </c>
      <c r="K104" s="62">
        <f>IFERROR(aurora_data!J524,0)</f>
        <v>0</v>
      </c>
      <c r="L104" s="62">
        <f>IFERROR(aurora_data!K524,0)</f>
        <v>0</v>
      </c>
      <c r="M104" s="62">
        <f>IFERROR(aurora_data!L524,0)</f>
        <v>0</v>
      </c>
      <c r="N104" s="63">
        <f>IFERROR(aurora_data!M524,0)</f>
        <v>0</v>
      </c>
      <c r="O104" s="36">
        <f>IFERROR(aurora_data!N524,0)</f>
        <v>0</v>
      </c>
      <c r="P104" s="62">
        <f>IFERROR(aurora_data!O524,0)</f>
        <v>0</v>
      </c>
      <c r="Q104" s="62">
        <f>IFERROR(aurora_data!P524,0)</f>
        <v>0</v>
      </c>
      <c r="R104" s="63">
        <f>IFERROR(aurora_data!Q524,0)</f>
        <v>0</v>
      </c>
      <c r="S104" s="62">
        <f>IFERROR(aurora_data!R524,0)</f>
        <v>0</v>
      </c>
      <c r="T104" s="62">
        <f>IFERROR(aurora_data!S524,0)</f>
        <v>0</v>
      </c>
      <c r="U104" s="63">
        <f>IFERROR(aurora_data!T524,0)</f>
        <v>0</v>
      </c>
      <c r="V104" s="64" t="s">
        <v>95</v>
      </c>
      <c r="W104" s="36">
        <f>IFERROR(aurora_data!U524,0)</f>
        <v>0</v>
      </c>
      <c r="X104" s="71">
        <f t="shared" si="11"/>
        <v>0</v>
      </c>
      <c r="Y104" s="2"/>
    </row>
    <row r="105" spans="1:25" customFormat="1" ht="16.5" customHeight="1" thickBot="1">
      <c r="A105" s="2"/>
      <c r="B105" s="207"/>
      <c r="C105" s="209"/>
      <c r="D105" s="35" t="s">
        <v>99</v>
      </c>
      <c r="E105" s="36">
        <f>IFERROR(aurora_data!D525,0)</f>
        <v>0</v>
      </c>
      <c r="F105" s="62">
        <f>IFERROR(aurora_data!E525,0)</f>
        <v>0</v>
      </c>
      <c r="G105" s="62">
        <f>IFERROR(aurora_data!F525,0)</f>
        <v>0</v>
      </c>
      <c r="H105" s="62">
        <f>IFERROR(aurora_data!G525,0)</f>
        <v>0</v>
      </c>
      <c r="I105" s="63">
        <f>IFERROR(aurora_data!H525,0)</f>
        <v>0</v>
      </c>
      <c r="J105" s="36">
        <f>IFERROR(aurora_data!I525,0)</f>
        <v>0</v>
      </c>
      <c r="K105" s="62">
        <f>IFERROR(aurora_data!J525,0)</f>
        <v>0</v>
      </c>
      <c r="L105" s="62">
        <f>IFERROR(aurora_data!K525,0)</f>
        <v>0</v>
      </c>
      <c r="M105" s="62">
        <f>IFERROR(aurora_data!L525,0)</f>
        <v>0</v>
      </c>
      <c r="N105" s="63">
        <f>IFERROR(aurora_data!M525,0)</f>
        <v>0</v>
      </c>
      <c r="O105" s="36">
        <f>IFERROR(aurora_data!N525,0)</f>
        <v>0</v>
      </c>
      <c r="P105" s="62">
        <f>IFERROR(aurora_data!O525,0)</f>
        <v>0</v>
      </c>
      <c r="Q105" s="62">
        <f>IFERROR(aurora_data!P525,0)</f>
        <v>0</v>
      </c>
      <c r="R105" s="63">
        <f>IFERROR(aurora_data!Q525,0)</f>
        <v>0</v>
      </c>
      <c r="S105" s="62">
        <f>IFERROR(aurora_data!R525,0)</f>
        <v>0</v>
      </c>
      <c r="T105" s="62">
        <f>IFERROR(aurora_data!S525,0)</f>
        <v>0</v>
      </c>
      <c r="U105" s="63">
        <f>IFERROR(aurora_data!T525,0)</f>
        <v>0</v>
      </c>
      <c r="V105" s="64" t="s">
        <v>95</v>
      </c>
      <c r="W105" s="36">
        <f>IFERROR(aurora_data!U525,0)</f>
        <v>0</v>
      </c>
      <c r="X105" s="71">
        <f t="shared" si="11"/>
        <v>0</v>
      </c>
      <c r="Y105" s="2"/>
    </row>
    <row r="106" spans="1:25" customFormat="1" ht="16.5" customHeight="1" thickBot="1">
      <c r="A106" s="2"/>
      <c r="B106" s="207"/>
      <c r="C106" s="209"/>
      <c r="D106" s="37" t="s">
        <v>64</v>
      </c>
      <c r="E106" s="59">
        <f>IFERROR(aurora_data!D526,0)</f>
        <v>0</v>
      </c>
      <c r="F106" s="65">
        <f>IFERROR(aurora_data!E526,0)</f>
        <v>0</v>
      </c>
      <c r="G106" s="65">
        <f>IFERROR(aurora_data!F526,0)</f>
        <v>0</v>
      </c>
      <c r="H106" s="65">
        <f>IFERROR(aurora_data!G526,0)</f>
        <v>0</v>
      </c>
      <c r="I106" s="66">
        <f>IFERROR(aurora_data!H526,0)</f>
        <v>0</v>
      </c>
      <c r="J106" s="59">
        <f>IFERROR(aurora_data!I526,0)</f>
        <v>0</v>
      </c>
      <c r="K106" s="65">
        <f>IFERROR(aurora_data!J526,0)</f>
        <v>0</v>
      </c>
      <c r="L106" s="65">
        <f>IFERROR(aurora_data!K526,0)</f>
        <v>0</v>
      </c>
      <c r="M106" s="65">
        <f>IFERROR(aurora_data!L526,0)</f>
        <v>0</v>
      </c>
      <c r="N106" s="66">
        <f>IFERROR(aurora_data!M526,0)</f>
        <v>0</v>
      </c>
      <c r="O106" s="59">
        <f>IFERROR(aurora_data!N526,0)</f>
        <v>0</v>
      </c>
      <c r="P106" s="65">
        <f>IFERROR(aurora_data!O526,0)</f>
        <v>0</v>
      </c>
      <c r="Q106" s="65">
        <f>IFERROR(aurora_data!P526,0)</f>
        <v>0</v>
      </c>
      <c r="R106" s="66">
        <f>IFERROR(aurora_data!Q526,0)</f>
        <v>0</v>
      </c>
      <c r="S106" s="65">
        <f>IFERROR(aurora_data!R526,0)</f>
        <v>0</v>
      </c>
      <c r="T106" s="65">
        <f>IFERROR(aurora_data!S526,0)</f>
        <v>0</v>
      </c>
      <c r="U106" s="66">
        <f>IFERROR(aurora_data!T526,0)</f>
        <v>0</v>
      </c>
      <c r="V106" s="67" t="s">
        <v>95</v>
      </c>
      <c r="W106" s="59">
        <f>IFERROR(aurora_data!U526,0)</f>
        <v>0</v>
      </c>
      <c r="X106" s="72">
        <f t="shared" si="11"/>
        <v>0</v>
      </c>
      <c r="Y106" s="2"/>
    </row>
    <row r="107" spans="1:25" customFormat="1" ht="16.5" customHeight="1" thickBot="1">
      <c r="A107" s="2"/>
      <c r="B107" s="207"/>
      <c r="C107" s="209"/>
      <c r="D107" s="38" t="s">
        <v>100</v>
      </c>
      <c r="E107" s="60">
        <f>IFERROR(aurora_data!D527,0)</f>
        <v>0</v>
      </c>
      <c r="F107" s="68">
        <f>IFERROR(aurora_data!E527,0)</f>
        <v>0</v>
      </c>
      <c r="G107" s="68">
        <f>IFERROR(aurora_data!F527,0)</f>
        <v>0</v>
      </c>
      <c r="H107" s="68">
        <f>IFERROR(aurora_data!G527,0)</f>
        <v>0</v>
      </c>
      <c r="I107" s="69">
        <f>IFERROR(aurora_data!H527,0)</f>
        <v>0</v>
      </c>
      <c r="J107" s="60">
        <f>IFERROR(aurora_data!I527,0)</f>
        <v>0</v>
      </c>
      <c r="K107" s="68">
        <f>IFERROR(aurora_data!J527,0)</f>
        <v>0</v>
      </c>
      <c r="L107" s="68">
        <f>IFERROR(aurora_data!K527,0)</f>
        <v>0</v>
      </c>
      <c r="M107" s="68">
        <f>IFERROR(aurora_data!L527,0)</f>
        <v>0</v>
      </c>
      <c r="N107" s="69">
        <f>IFERROR(aurora_data!M527,0)</f>
        <v>0</v>
      </c>
      <c r="O107" s="60">
        <f>IFERROR(aurora_data!N527,0)</f>
        <v>0</v>
      </c>
      <c r="P107" s="68">
        <f>IFERROR(aurora_data!O527,0)</f>
        <v>0</v>
      </c>
      <c r="Q107" s="68">
        <f>IFERROR(aurora_data!P527,0)</f>
        <v>0</v>
      </c>
      <c r="R107" s="69">
        <f>IFERROR(aurora_data!Q527,0)</f>
        <v>0</v>
      </c>
      <c r="S107" s="68">
        <f>IFERROR(aurora_data!R527,0)</f>
        <v>0</v>
      </c>
      <c r="T107" s="68">
        <f>IFERROR(aurora_data!S527,0)</f>
        <v>0</v>
      </c>
      <c r="U107" s="74">
        <f>IFERROR(aurora_data!T527,0)</f>
        <v>0</v>
      </c>
      <c r="V107" s="75" t="s">
        <v>95</v>
      </c>
      <c r="W107" s="60">
        <f>IFERROR(aurora_data!U527,0)</f>
        <v>0</v>
      </c>
      <c r="X107" s="73">
        <f t="shared" si="11"/>
        <v>0</v>
      </c>
      <c r="Y107" s="2"/>
    </row>
    <row r="108" spans="1:25" ht="16.5" customHeight="1">
      <c r="B108" s="97"/>
      <c r="C108" s="97"/>
    </row>
  </sheetData>
  <mergeCells count="46">
    <mergeCell ref="B76:B83"/>
    <mergeCell ref="C76:C83"/>
    <mergeCell ref="B84:B91"/>
    <mergeCell ref="C84:C91"/>
    <mergeCell ref="B92:B99"/>
    <mergeCell ref="C92:C99"/>
    <mergeCell ref="C52:C59"/>
    <mergeCell ref="B60:B67"/>
    <mergeCell ref="C60:C67"/>
    <mergeCell ref="B68:B75"/>
    <mergeCell ref="C68:C75"/>
    <mergeCell ref="A1:C1"/>
    <mergeCell ref="D1:H1"/>
    <mergeCell ref="A2:C2"/>
    <mergeCell ref="D2:H2"/>
    <mergeCell ref="K2:X6"/>
    <mergeCell ref="D3:E3"/>
    <mergeCell ref="F3:H3"/>
    <mergeCell ref="D5:G5"/>
    <mergeCell ref="D6:H6"/>
    <mergeCell ref="B8:D8"/>
    <mergeCell ref="E8:U8"/>
    <mergeCell ref="W8:X11"/>
    <mergeCell ref="B9:C9"/>
    <mergeCell ref="E9:I9"/>
    <mergeCell ref="J9:N9"/>
    <mergeCell ref="O9:R9"/>
    <mergeCell ref="S9:U9"/>
    <mergeCell ref="B10:B11"/>
    <mergeCell ref="E10:I10"/>
    <mergeCell ref="B100:B107"/>
    <mergeCell ref="C100:C107"/>
    <mergeCell ref="J10:N10"/>
    <mergeCell ref="O10:R10"/>
    <mergeCell ref="S10:U10"/>
    <mergeCell ref="B12:B19"/>
    <mergeCell ref="C12:C19"/>
    <mergeCell ref="B20:B27"/>
    <mergeCell ref="C20:C27"/>
    <mergeCell ref="B28:B35"/>
    <mergeCell ref="C28:C35"/>
    <mergeCell ref="B36:B43"/>
    <mergeCell ref="C36:C43"/>
    <mergeCell ref="B44:B51"/>
    <mergeCell ref="C44:C51"/>
    <mergeCell ref="B52:B59"/>
  </mergeCells>
  <conditionalFormatting sqref="E13:W13">
    <cfRule type="expression" dxfId="243" priority="22">
      <formula>ROUND(E$13,0) &gt;= ROUND(E$12,0)</formula>
    </cfRule>
  </conditionalFormatting>
  <conditionalFormatting sqref="E18:W18">
    <cfRule type="expression" dxfId="242" priority="24">
      <formula>ROUND(E$18,0) &lt; ROUND(E$12,0)</formula>
    </cfRule>
  </conditionalFormatting>
  <conditionalFormatting sqref="E21:W21">
    <cfRule type="expression" dxfId="241" priority="23">
      <formula>ROUND(E$21,0) &gt;= ROUND(E$20,0)</formula>
    </cfRule>
  </conditionalFormatting>
  <conditionalFormatting sqref="E26:W26">
    <cfRule type="expression" dxfId="240" priority="25">
      <formula>ROUND(E$26,0) &lt; ROUND(E$20,0)</formula>
    </cfRule>
  </conditionalFormatting>
  <conditionalFormatting sqref="E29:W29">
    <cfRule type="expression" dxfId="239" priority="17">
      <formula>ROUND(E$21,0) &gt;= ROUND(E$20,0)</formula>
    </cfRule>
  </conditionalFormatting>
  <conditionalFormatting sqref="E34:W34">
    <cfRule type="expression" dxfId="238" priority="18">
      <formula>ROUND(E$26,0) &lt; ROUND(E$20,0)</formula>
    </cfRule>
  </conditionalFormatting>
  <conditionalFormatting sqref="E37:W37">
    <cfRule type="expression" dxfId="237" priority="15">
      <formula>ROUND(E$21,0) &gt;= ROUND(E$20,0)</formula>
    </cfRule>
  </conditionalFormatting>
  <conditionalFormatting sqref="E42:W42">
    <cfRule type="expression" dxfId="236" priority="16">
      <formula>ROUND(E$26,0) &lt; ROUND(E$20,0)</formula>
    </cfRule>
  </conditionalFormatting>
  <conditionalFormatting sqref="E45:W45">
    <cfRule type="expression" dxfId="235" priority="13">
      <formula>ROUND(E$21,0) &gt;= ROUND(E$20,0)</formula>
    </cfRule>
  </conditionalFormatting>
  <conditionalFormatting sqref="E50:W50">
    <cfRule type="expression" dxfId="234" priority="14">
      <formula>ROUND(E$26,0) &lt; ROUND(E$20,0)</formula>
    </cfRule>
  </conditionalFormatting>
  <conditionalFormatting sqref="E53:W53">
    <cfRule type="expression" dxfId="233" priority="11">
      <formula>ROUND(E$21,0) &gt;= ROUND(E$20,0)</formula>
    </cfRule>
  </conditionalFormatting>
  <conditionalFormatting sqref="E58:W58">
    <cfRule type="expression" dxfId="232" priority="12">
      <formula>ROUND(E$26,0) &lt; ROUND(E$20,0)</formula>
    </cfRule>
  </conditionalFormatting>
  <conditionalFormatting sqref="E61:W61">
    <cfRule type="expression" dxfId="231" priority="9">
      <formula>ROUND(E$21,0) &gt;= ROUND(E$20,0)</formula>
    </cfRule>
  </conditionalFormatting>
  <conditionalFormatting sqref="E66:W66">
    <cfRule type="expression" dxfId="230" priority="10">
      <formula>ROUND(E$26,0) &lt; ROUND(E$20,0)</formula>
    </cfRule>
  </conditionalFormatting>
  <conditionalFormatting sqref="E69:W69">
    <cfRule type="expression" dxfId="229" priority="7">
      <formula>ROUND(E$21,0) &gt;= ROUND(E$20,0)</formula>
    </cfRule>
  </conditionalFormatting>
  <conditionalFormatting sqref="E74:W74">
    <cfRule type="expression" dxfId="228" priority="8">
      <formula>ROUND(E$26,0) &lt; ROUND(E$20,0)</formula>
    </cfRule>
  </conditionalFormatting>
  <conditionalFormatting sqref="E77:W77">
    <cfRule type="expression" dxfId="227" priority="5">
      <formula>ROUND(E$21,0) &gt;= ROUND(E$20,0)</formula>
    </cfRule>
  </conditionalFormatting>
  <conditionalFormatting sqref="E82:W82">
    <cfRule type="expression" dxfId="226" priority="6">
      <formula>ROUND(E$26,0) &lt; ROUND(E$20,0)</formula>
    </cfRule>
  </conditionalFormatting>
  <conditionalFormatting sqref="E85:W85">
    <cfRule type="expression" dxfId="225" priority="3">
      <formula>ROUND(E$21,0) &gt;= ROUND(E$20,0)</formula>
    </cfRule>
  </conditionalFormatting>
  <conditionalFormatting sqref="E90:W90">
    <cfRule type="expression" dxfId="224" priority="4">
      <formula>ROUND(E$26,0) &lt; ROUND(E$20,0)</formula>
    </cfRule>
  </conditionalFormatting>
  <conditionalFormatting sqref="E93:W93">
    <cfRule type="expression" dxfId="223" priority="1">
      <formula>ROUND(E$21,0) &gt;= ROUND(E$20,0)</formula>
    </cfRule>
  </conditionalFormatting>
  <conditionalFormatting sqref="E98:W98">
    <cfRule type="expression" dxfId="222" priority="2">
      <formula>ROUND(E$26,0) &lt; ROUND(E$20,0)</formula>
    </cfRule>
  </conditionalFormatting>
  <conditionalFormatting sqref="E101:W101">
    <cfRule type="expression" dxfId="221" priority="21">
      <formula>ROUND(E$101,0) &gt;= ROUND(E$100,0)</formula>
    </cfRule>
  </conditionalFormatting>
  <conditionalFormatting sqref="E106:W106">
    <cfRule type="expression" dxfId="220" priority="26">
      <formula>ROUND(E$106,0) &lt; ROUND(E$100,0)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53B9C0-9083-493E-84CF-E40A562176E0}">
  <sheetPr>
    <tabColor rgb="FFFFC000"/>
  </sheetPr>
  <dimension ref="A1:Y28"/>
  <sheetViews>
    <sheetView zoomScale="85" zoomScaleNormal="85" workbookViewId="0">
      <selection sqref="A1:C1"/>
    </sheetView>
  </sheetViews>
  <sheetFormatPr defaultColWidth="2.625" defaultRowHeight="15.75"/>
  <cols>
    <col min="1" max="1" width="1.375" style="2" customWidth="1"/>
    <col min="2" max="2" width="10.875" style="2" customWidth="1"/>
    <col min="3" max="3" width="15.625" style="2" customWidth="1"/>
    <col min="4" max="4" width="22.625" style="4" customWidth="1"/>
    <col min="5" max="8" width="7.625" style="4" customWidth="1"/>
    <col min="9" max="9" width="6.625" style="4" hidden="1" customWidth="1"/>
    <col min="10" max="21" width="7.625" style="4" customWidth="1"/>
    <col min="22" max="22" width="0.625" style="2" customWidth="1"/>
    <col min="23" max="24" width="5.875" style="2" customWidth="1"/>
    <col min="25" max="25" width="12.5" style="2" customWidth="1"/>
    <col min="26" max="26" width="2.625" style="2" customWidth="1"/>
    <col min="27" max="64" width="7.625" style="2" customWidth="1"/>
    <col min="65" max="16323" width="2.625" style="2"/>
    <col min="16324" max="16324" width="1.375" style="2" customWidth="1"/>
    <col min="16325" max="16325" width="2.625" style="2" customWidth="1"/>
    <col min="16326" max="16326" width="3.5" style="2" customWidth="1"/>
    <col min="16327" max="16327" width="1" style="2" customWidth="1"/>
    <col min="16328" max="16328" width="0.875" style="2" customWidth="1"/>
    <col min="16329" max="16329" width="2.375" style="2" customWidth="1"/>
    <col min="16330" max="16384" width="20.375" style="2" customWidth="1"/>
  </cols>
  <sheetData>
    <row r="1" spans="1:25" customFormat="1" ht="25.5" customHeight="1">
      <c r="A1" s="151" t="s">
        <v>77</v>
      </c>
      <c r="B1" s="152"/>
      <c r="C1" s="153"/>
      <c r="D1" s="154" t="s">
        <v>78</v>
      </c>
      <c r="E1" s="155"/>
      <c r="F1" s="155"/>
      <c r="G1" s="155"/>
      <c r="H1" s="156"/>
      <c r="I1" s="98"/>
      <c r="J1" s="88"/>
      <c r="K1" s="100"/>
      <c r="L1" s="100"/>
      <c r="M1" s="100"/>
      <c r="N1" s="100" t="s">
        <v>79</v>
      </c>
      <c r="O1" s="100"/>
      <c r="P1" s="100"/>
      <c r="Q1" s="100"/>
      <c r="R1" s="100"/>
      <c r="S1" s="100"/>
      <c r="T1" s="100"/>
      <c r="U1" s="100"/>
      <c r="V1" s="100"/>
      <c r="W1" s="100"/>
      <c r="X1" s="106"/>
      <c r="Y1" s="108"/>
    </row>
    <row r="2" spans="1:25" customFormat="1" ht="31.5" customHeight="1">
      <c r="A2" s="157" t="s">
        <v>80</v>
      </c>
      <c r="B2" s="157"/>
      <c r="C2" s="158"/>
      <c r="D2" s="217" t="str">
        <f>_xlfn.CONCAT("Study Name: ","
OSEP – Emotional Disturbance - Digital")</f>
        <v>Study Name: 
OSEP – Emotional Disturbance - Digital</v>
      </c>
      <c r="E2" s="218"/>
      <c r="F2" s="218"/>
      <c r="G2" s="218"/>
      <c r="H2" s="219"/>
      <c r="I2" s="4"/>
      <c r="J2" s="4"/>
      <c r="K2" s="162" t="s">
        <v>81</v>
      </c>
      <c r="L2" s="163"/>
      <c r="M2" s="163"/>
      <c r="N2" s="163"/>
      <c r="O2" s="163"/>
      <c r="P2" s="163"/>
      <c r="Q2" s="163"/>
      <c r="R2" s="163"/>
      <c r="S2" s="163"/>
      <c r="T2" s="163"/>
      <c r="U2" s="163"/>
      <c r="V2" s="163"/>
      <c r="W2" s="163"/>
      <c r="X2" s="164"/>
      <c r="Y2" s="103"/>
    </row>
    <row r="3" spans="1:25" customFormat="1" ht="30.75" customHeight="1" thickBot="1">
      <c r="A3" s="2"/>
      <c r="B3" s="2"/>
      <c r="C3" s="2"/>
      <c r="D3" s="169" t="str">
        <f>_xlfn.CONCAT("Study Acronym: ","
OSEP_ED_D")</f>
        <v>Study Acronym: 
OSEP_ED_D</v>
      </c>
      <c r="E3" s="170"/>
      <c r="F3" s="171" t="s">
        <v>266</v>
      </c>
      <c r="G3" s="172"/>
      <c r="H3" s="173"/>
      <c r="I3" s="4"/>
      <c r="J3" s="4"/>
      <c r="K3" s="165"/>
      <c r="L3" s="163"/>
      <c r="M3" s="163"/>
      <c r="N3" s="163"/>
      <c r="O3" s="163"/>
      <c r="P3" s="163"/>
      <c r="Q3" s="163"/>
      <c r="R3" s="163"/>
      <c r="S3" s="163"/>
      <c r="T3" s="163"/>
      <c r="U3" s="163"/>
      <c r="V3" s="163"/>
      <c r="W3" s="163"/>
      <c r="X3" s="164"/>
      <c r="Y3" s="103"/>
    </row>
    <row r="4" spans="1:25" customFormat="1" ht="16.5" customHeight="1">
      <c r="A4" s="2"/>
      <c r="B4" s="24"/>
      <c r="C4" s="2"/>
      <c r="D4" s="2"/>
      <c r="E4" s="25"/>
      <c r="F4" s="25"/>
      <c r="G4" s="25"/>
      <c r="H4" s="25"/>
      <c r="I4" s="25"/>
      <c r="J4" s="25"/>
      <c r="K4" s="165"/>
      <c r="L4" s="163"/>
      <c r="M4" s="163"/>
      <c r="N4" s="163"/>
      <c r="O4" s="163"/>
      <c r="P4" s="163"/>
      <c r="Q4" s="163"/>
      <c r="R4" s="163"/>
      <c r="S4" s="163"/>
      <c r="T4" s="163"/>
      <c r="U4" s="163"/>
      <c r="V4" s="163"/>
      <c r="W4" s="163"/>
      <c r="X4" s="164"/>
      <c r="Y4" s="104"/>
    </row>
    <row r="5" spans="1:25" customFormat="1" ht="21.95" customHeight="1" thickBot="1">
      <c r="A5" s="2"/>
      <c r="B5" s="2"/>
      <c r="C5" s="102"/>
      <c r="D5" s="154" t="s">
        <v>82</v>
      </c>
      <c r="E5" s="155"/>
      <c r="F5" s="155"/>
      <c r="G5" s="155"/>
      <c r="H5" s="101"/>
      <c r="I5" s="98"/>
      <c r="J5" s="98"/>
      <c r="K5" s="165"/>
      <c r="L5" s="163"/>
      <c r="M5" s="163"/>
      <c r="N5" s="163"/>
      <c r="O5" s="163"/>
      <c r="P5" s="163"/>
      <c r="Q5" s="163"/>
      <c r="R5" s="163"/>
      <c r="S5" s="163"/>
      <c r="T5" s="163"/>
      <c r="U5" s="163"/>
      <c r="V5" s="163"/>
      <c r="W5" s="163"/>
      <c r="X5" s="164"/>
      <c r="Y5" s="105"/>
    </row>
    <row r="6" spans="1:25" customFormat="1" ht="60.95" customHeight="1" thickBot="1">
      <c r="A6" s="2"/>
      <c r="B6" s="2"/>
      <c r="C6" s="99"/>
      <c r="D6" s="214" t="s">
        <v>101</v>
      </c>
      <c r="E6" s="215"/>
      <c r="F6" s="215"/>
      <c r="G6" s="215"/>
      <c r="H6" s="216"/>
      <c r="I6" s="124"/>
      <c r="J6" s="125"/>
      <c r="K6" s="166"/>
      <c r="L6" s="167"/>
      <c r="M6" s="167"/>
      <c r="N6" s="167"/>
      <c r="O6" s="167"/>
      <c r="P6" s="167"/>
      <c r="Q6" s="167"/>
      <c r="R6" s="167"/>
      <c r="S6" s="167"/>
      <c r="T6" s="167"/>
      <c r="U6" s="167"/>
      <c r="V6" s="167"/>
      <c r="W6" s="167"/>
      <c r="X6" s="168"/>
      <c r="Y6" s="107"/>
    </row>
    <row r="7" spans="1:25" customFormat="1" ht="16.5" customHeight="1" thickBot="1">
      <c r="A7" s="2"/>
      <c r="B7" s="3"/>
      <c r="C7" s="26"/>
      <c r="D7" s="27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8"/>
      <c r="W7" s="3"/>
      <c r="X7" s="3"/>
      <c r="Y7" s="2"/>
    </row>
    <row r="8" spans="1:25" customFormat="1">
      <c r="A8" s="2"/>
      <c r="B8" s="177" t="str">
        <f>_xlfn.CONCAT("Last Refreshed at: ",aurora_data!V632)</f>
        <v>Last Refreshed at: 09/17/2026 @ 7:20 AM</v>
      </c>
      <c r="C8" s="178"/>
      <c r="D8" s="178"/>
      <c r="E8" s="179" t="s">
        <v>83</v>
      </c>
      <c r="F8" s="180"/>
      <c r="G8" s="180"/>
      <c r="H8" s="180"/>
      <c r="I8" s="180"/>
      <c r="J8" s="180"/>
      <c r="K8" s="180"/>
      <c r="L8" s="180"/>
      <c r="M8" s="180"/>
      <c r="N8" s="180"/>
      <c r="O8" s="180"/>
      <c r="P8" s="180"/>
      <c r="Q8" s="180"/>
      <c r="R8" s="180"/>
      <c r="S8" s="180"/>
      <c r="T8" s="180"/>
      <c r="U8" s="181"/>
      <c r="V8" s="44"/>
      <c r="W8" s="182" t="s">
        <v>84</v>
      </c>
      <c r="X8" s="183"/>
      <c r="Y8" s="2"/>
    </row>
    <row r="9" spans="1:25" customFormat="1" ht="16.5" customHeight="1" thickBot="1">
      <c r="A9" s="2"/>
      <c r="B9" s="188"/>
      <c r="C9" s="189"/>
      <c r="D9" s="29" t="s">
        <v>85</v>
      </c>
      <c r="E9" s="190" t="s">
        <v>86</v>
      </c>
      <c r="F9" s="191"/>
      <c r="G9" s="191"/>
      <c r="H9" s="191"/>
      <c r="I9" s="191"/>
      <c r="J9" s="192" t="s">
        <v>86</v>
      </c>
      <c r="K9" s="193"/>
      <c r="L9" s="193"/>
      <c r="M9" s="193"/>
      <c r="N9" s="193"/>
      <c r="O9" s="194" t="s">
        <v>86</v>
      </c>
      <c r="P9" s="195"/>
      <c r="Q9" s="195"/>
      <c r="R9" s="195"/>
      <c r="S9" s="196" t="s">
        <v>86</v>
      </c>
      <c r="T9" s="197"/>
      <c r="U9" s="197"/>
      <c r="V9" s="28"/>
      <c r="W9" s="184"/>
      <c r="X9" s="185"/>
      <c r="Y9" s="2"/>
    </row>
    <row r="10" spans="1:25" customFormat="1" ht="17.25" thickTop="1" thickBot="1">
      <c r="A10" s="2"/>
      <c r="B10" s="198" t="s">
        <v>87</v>
      </c>
      <c r="C10" s="30"/>
      <c r="D10" s="31"/>
      <c r="E10" s="199" t="s">
        <v>88</v>
      </c>
      <c r="F10" s="200"/>
      <c r="G10" s="200"/>
      <c r="H10" s="200"/>
      <c r="I10" s="201"/>
      <c r="J10" s="200" t="s">
        <v>89</v>
      </c>
      <c r="K10" s="200"/>
      <c r="L10" s="200"/>
      <c r="M10" s="200"/>
      <c r="N10" s="201"/>
      <c r="O10" s="202" t="s">
        <v>90</v>
      </c>
      <c r="P10" s="202"/>
      <c r="Q10" s="202"/>
      <c r="R10" s="202"/>
      <c r="S10" s="203" t="s">
        <v>91</v>
      </c>
      <c r="T10" s="204"/>
      <c r="U10" s="205"/>
      <c r="V10" s="32"/>
      <c r="W10" s="184"/>
      <c r="X10" s="185"/>
      <c r="Y10" s="2"/>
    </row>
    <row r="11" spans="1:25" customFormat="1" ht="17.25" thickTop="1" thickBot="1">
      <c r="A11" s="2"/>
      <c r="B11" s="198"/>
      <c r="C11" s="30" t="s">
        <v>35</v>
      </c>
      <c r="D11" s="33" t="s">
        <v>37</v>
      </c>
      <c r="E11" s="96">
        <v>1</v>
      </c>
      <c r="F11" s="94">
        <v>2</v>
      </c>
      <c r="G11" s="95" t="s">
        <v>40</v>
      </c>
      <c r="H11" s="95">
        <v>4</v>
      </c>
      <c r="I11" s="95">
        <v>5</v>
      </c>
      <c r="J11" s="89" t="s">
        <v>43</v>
      </c>
      <c r="K11" s="89" t="s">
        <v>44</v>
      </c>
      <c r="L11" s="89" t="s">
        <v>45</v>
      </c>
      <c r="M11" s="93" t="s">
        <v>92</v>
      </c>
      <c r="N11" s="93" t="s">
        <v>47</v>
      </c>
      <c r="O11" s="89" t="s">
        <v>48</v>
      </c>
      <c r="P11" s="89" t="s">
        <v>49</v>
      </c>
      <c r="Q11" s="89" t="s">
        <v>50</v>
      </c>
      <c r="R11" s="89" t="s">
        <v>51</v>
      </c>
      <c r="S11" s="90" t="s">
        <v>52</v>
      </c>
      <c r="T11" s="91" t="s">
        <v>53</v>
      </c>
      <c r="U11" s="92" t="s">
        <v>93</v>
      </c>
      <c r="V11" s="28"/>
      <c r="W11" s="186"/>
      <c r="X11" s="187"/>
      <c r="Y11" s="2"/>
    </row>
    <row r="12" spans="1:25" customFormat="1">
      <c r="A12" s="2"/>
      <c r="B12" s="210" t="s">
        <v>94</v>
      </c>
      <c r="C12" s="212" t="str">
        <f>aurora_data!A632</f>
        <v>06.00.00-16.11.30</v>
      </c>
      <c r="D12" s="34" t="s">
        <v>71</v>
      </c>
      <c r="E12" s="39">
        <f>IFERROR(aurora_data!D632,0)</f>
        <v>0</v>
      </c>
      <c r="F12" s="40">
        <f>IFERROR(aurora_data!E632,0)</f>
        <v>0</v>
      </c>
      <c r="G12" s="40">
        <f>IFERROR(aurora_data!F632,0)</f>
        <v>0</v>
      </c>
      <c r="H12" s="40">
        <f>IFERROR(aurora_data!G632,0)</f>
        <v>0</v>
      </c>
      <c r="I12" s="41">
        <f>IFERROR(aurora_data!H632,0)</f>
        <v>0</v>
      </c>
      <c r="J12" s="39">
        <f>IFERROR(aurora_data!I632,0)</f>
        <v>0</v>
      </c>
      <c r="K12" s="40">
        <f>IFERROR(aurora_data!J632,0)</f>
        <v>0</v>
      </c>
      <c r="L12" s="40">
        <f>IFERROR(aurora_data!K632,0)</f>
        <v>0</v>
      </c>
      <c r="M12" s="40">
        <f>IFERROR(aurora_data!L632,0)</f>
        <v>0</v>
      </c>
      <c r="N12" s="41">
        <f>IFERROR(aurora_data!M632,0)</f>
        <v>0</v>
      </c>
      <c r="O12" s="39">
        <f>IFERROR(aurora_data!N632,0)</f>
        <v>0</v>
      </c>
      <c r="P12" s="40">
        <f>IFERROR(aurora_data!O632,0)</f>
        <v>0</v>
      </c>
      <c r="Q12" s="40">
        <f>IFERROR(aurora_data!P632,0)</f>
        <v>0</v>
      </c>
      <c r="R12" s="41">
        <f>IFERROR(aurora_data!Q632,0)</f>
        <v>0</v>
      </c>
      <c r="S12" s="40">
        <f>IFERROR(aurora_data!R632,0)</f>
        <v>0</v>
      </c>
      <c r="T12" s="40">
        <f>IFERROR(aurora_data!S632,0)</f>
        <v>0</v>
      </c>
      <c r="U12" s="76">
        <f>IFERROR(aurora_data!T632,0)</f>
        <v>0</v>
      </c>
      <c r="V12" s="61" t="s">
        <v>95</v>
      </c>
      <c r="W12" s="39">
        <f>IFERROR(aurora_data!U632,0)</f>
        <v>4</v>
      </c>
      <c r="X12" s="70">
        <f>IFERROR(W12/$W$12,0)</f>
        <v>1</v>
      </c>
      <c r="Y12" s="2"/>
    </row>
    <row r="13" spans="1:25" customFormat="1">
      <c r="A13" s="2"/>
      <c r="B13" s="211"/>
      <c r="C13" s="213"/>
      <c r="D13" s="35" t="s">
        <v>96</v>
      </c>
      <c r="E13" s="110">
        <f>IFERROR(aurora_data!D633,0)</f>
        <v>0</v>
      </c>
      <c r="F13" s="62">
        <f>IFERROR(aurora_data!E633,0)</f>
        <v>0</v>
      </c>
      <c r="G13" s="62">
        <f>IFERROR(aurora_data!F633,0)</f>
        <v>0</v>
      </c>
      <c r="H13" s="62">
        <f>IFERROR(aurora_data!G633,0)</f>
        <v>0</v>
      </c>
      <c r="I13" s="63">
        <f>IFERROR(aurora_data!H633,0)</f>
        <v>0</v>
      </c>
      <c r="J13" s="36">
        <f>IFERROR(aurora_data!I633,0)</f>
        <v>0</v>
      </c>
      <c r="K13" s="62">
        <f>IFERROR(aurora_data!J633,0)</f>
        <v>0</v>
      </c>
      <c r="L13" s="62">
        <f>IFERROR(aurora_data!K633,0)</f>
        <v>0</v>
      </c>
      <c r="M13" s="62">
        <f>IFERROR(aurora_data!L633,0)</f>
        <v>0</v>
      </c>
      <c r="N13" s="63">
        <f>IFERROR(aurora_data!M633,0)</f>
        <v>0</v>
      </c>
      <c r="O13" s="36">
        <f>IFERROR(aurora_data!N633,0)</f>
        <v>0</v>
      </c>
      <c r="P13" s="62">
        <f>IFERROR(aurora_data!O633,0)</f>
        <v>0</v>
      </c>
      <c r="Q13" s="62">
        <f>IFERROR(aurora_data!P633,0)</f>
        <v>0</v>
      </c>
      <c r="R13" s="63">
        <f>IFERROR(aurora_data!Q633,0)</f>
        <v>0</v>
      </c>
      <c r="S13" s="62">
        <f>IFERROR(aurora_data!R633,0)</f>
        <v>0</v>
      </c>
      <c r="T13" s="62">
        <f>IFERROR(aurora_data!S633,0)</f>
        <v>0</v>
      </c>
      <c r="U13" s="63">
        <f>IFERROR(aurora_data!T633,0)</f>
        <v>0</v>
      </c>
      <c r="V13" s="64" t="s">
        <v>95</v>
      </c>
      <c r="W13" s="36">
        <f>IFERROR(aurora_data!U633,0)</f>
        <v>0</v>
      </c>
      <c r="X13" s="71">
        <f t="shared" ref="X13:X19" si="0">IFERROR(W13/$W$12,0)</f>
        <v>0</v>
      </c>
      <c r="Y13" s="2"/>
    </row>
    <row r="14" spans="1:25" customFormat="1">
      <c r="A14" s="2"/>
      <c r="B14" s="211"/>
      <c r="C14" s="213"/>
      <c r="D14" s="35" t="s">
        <v>60</v>
      </c>
      <c r="E14" s="110">
        <f>IFERROR(aurora_data!D634,0)</f>
        <v>0</v>
      </c>
      <c r="F14" s="62">
        <f>IFERROR(aurora_data!E634,0)</f>
        <v>0</v>
      </c>
      <c r="G14" s="62">
        <f>IFERROR(aurora_data!F634,0)</f>
        <v>0</v>
      </c>
      <c r="H14" s="62">
        <f>IFERROR(aurora_data!G634,0)</f>
        <v>0</v>
      </c>
      <c r="I14" s="63">
        <f>IFERROR(aurora_data!H634,0)</f>
        <v>0</v>
      </c>
      <c r="J14" s="36">
        <f>IFERROR(aurora_data!I634,0)</f>
        <v>0</v>
      </c>
      <c r="K14" s="62">
        <f>IFERROR(aurora_data!J634,0)</f>
        <v>0</v>
      </c>
      <c r="L14" s="62">
        <f>IFERROR(aurora_data!K634,0)</f>
        <v>0</v>
      </c>
      <c r="M14" s="62">
        <f>IFERROR(aurora_data!L634,0)</f>
        <v>0</v>
      </c>
      <c r="N14" s="63">
        <f>IFERROR(aurora_data!M634,0)</f>
        <v>0</v>
      </c>
      <c r="O14" s="36">
        <f>IFERROR(aurora_data!N634,0)</f>
        <v>0</v>
      </c>
      <c r="P14" s="62">
        <f>IFERROR(aurora_data!O634,0)</f>
        <v>0</v>
      </c>
      <c r="Q14" s="62">
        <f>IFERROR(aurora_data!P634,0)</f>
        <v>0</v>
      </c>
      <c r="R14" s="63">
        <f>IFERROR(aurora_data!Q634,0)</f>
        <v>0</v>
      </c>
      <c r="S14" s="62">
        <f>IFERROR(aurora_data!R634,0)</f>
        <v>0</v>
      </c>
      <c r="T14" s="62">
        <f>IFERROR(aurora_data!S634,0)</f>
        <v>0</v>
      </c>
      <c r="U14" s="63">
        <f>IFERROR(aurora_data!T634,0)</f>
        <v>0</v>
      </c>
      <c r="V14" s="64" t="s">
        <v>95</v>
      </c>
      <c r="W14" s="36">
        <f>IFERROR(aurora_data!U634,0)</f>
        <v>0</v>
      </c>
      <c r="X14" s="71">
        <f t="shared" si="0"/>
        <v>0</v>
      </c>
      <c r="Y14" s="2"/>
    </row>
    <row r="15" spans="1:25" customFormat="1">
      <c r="A15" s="2"/>
      <c r="B15" s="211"/>
      <c r="C15" s="213"/>
      <c r="D15" s="35" t="s">
        <v>97</v>
      </c>
      <c r="E15" s="36">
        <f>IFERROR(aurora_data!D635,0)</f>
        <v>0</v>
      </c>
      <c r="F15" s="62">
        <f>IFERROR(aurora_data!E635,0)</f>
        <v>0</v>
      </c>
      <c r="G15" s="62">
        <f>IFERROR(aurora_data!F635,0)</f>
        <v>0</v>
      </c>
      <c r="H15" s="62">
        <f>IFERROR(aurora_data!G635,0)</f>
        <v>0</v>
      </c>
      <c r="I15" s="63">
        <f>IFERROR(aurora_data!H635,0)</f>
        <v>0</v>
      </c>
      <c r="J15" s="36">
        <f>IFERROR(aurora_data!I635,0)</f>
        <v>0</v>
      </c>
      <c r="K15" s="62">
        <f>IFERROR(aurora_data!J635,0)</f>
        <v>0</v>
      </c>
      <c r="L15" s="62">
        <f>IFERROR(aurora_data!K635,0)</f>
        <v>0</v>
      </c>
      <c r="M15" s="62">
        <f>IFERROR(aurora_data!L635,0)</f>
        <v>0</v>
      </c>
      <c r="N15" s="63">
        <f>IFERROR(aurora_data!M635,0)</f>
        <v>0</v>
      </c>
      <c r="O15" s="36">
        <f>IFERROR(aurora_data!N635,0)</f>
        <v>0</v>
      </c>
      <c r="P15" s="62">
        <f>IFERROR(aurora_data!O635,0)</f>
        <v>0</v>
      </c>
      <c r="Q15" s="62">
        <f>IFERROR(aurora_data!P635,0)</f>
        <v>0</v>
      </c>
      <c r="R15" s="63">
        <f>IFERROR(aurora_data!Q635,0)</f>
        <v>0</v>
      </c>
      <c r="S15" s="62">
        <f>IFERROR(aurora_data!R635,0)</f>
        <v>0</v>
      </c>
      <c r="T15" s="62">
        <f>IFERROR(aurora_data!S635,0)</f>
        <v>0</v>
      </c>
      <c r="U15" s="63">
        <f>IFERROR(aurora_data!T635,0)</f>
        <v>0</v>
      </c>
      <c r="V15" s="64" t="s">
        <v>95</v>
      </c>
      <c r="W15" s="36">
        <f>IFERROR(aurora_data!U635,0)</f>
        <v>0</v>
      </c>
      <c r="X15" s="71">
        <f t="shared" si="0"/>
        <v>0</v>
      </c>
      <c r="Y15" s="2"/>
    </row>
    <row r="16" spans="1:25" customFormat="1">
      <c r="A16" s="2"/>
      <c r="B16" s="211"/>
      <c r="C16" s="213"/>
      <c r="D16" s="35" t="s">
        <v>98</v>
      </c>
      <c r="E16" s="36">
        <f>IFERROR(aurora_data!D636,0)</f>
        <v>0</v>
      </c>
      <c r="F16" s="62">
        <f>IFERROR(aurora_data!E636,0)</f>
        <v>0</v>
      </c>
      <c r="G16" s="62">
        <f>IFERROR(aurora_data!F636,0)</f>
        <v>0</v>
      </c>
      <c r="H16" s="62">
        <f>IFERROR(aurora_data!G636,0)</f>
        <v>0</v>
      </c>
      <c r="I16" s="63">
        <f>IFERROR(aurora_data!H636,0)</f>
        <v>0</v>
      </c>
      <c r="J16" s="36">
        <f>IFERROR(aurora_data!I636,0)</f>
        <v>0</v>
      </c>
      <c r="K16" s="62">
        <f>IFERROR(aurora_data!J636,0)</f>
        <v>0</v>
      </c>
      <c r="L16" s="62">
        <f>IFERROR(aurora_data!K636,0)</f>
        <v>0</v>
      </c>
      <c r="M16" s="62">
        <f>IFERROR(aurora_data!L636,0)</f>
        <v>0</v>
      </c>
      <c r="N16" s="63">
        <f>IFERROR(aurora_data!M636,0)</f>
        <v>0</v>
      </c>
      <c r="O16" s="36">
        <f>IFERROR(aurora_data!N636,0)</f>
        <v>0</v>
      </c>
      <c r="P16" s="62">
        <f>IFERROR(aurora_data!O636,0)</f>
        <v>0</v>
      </c>
      <c r="Q16" s="62">
        <f>IFERROR(aurora_data!P636,0)</f>
        <v>0</v>
      </c>
      <c r="R16" s="63">
        <f>IFERROR(aurora_data!Q636,0)</f>
        <v>0</v>
      </c>
      <c r="S16" s="62">
        <f>IFERROR(aurora_data!R636,0)</f>
        <v>0</v>
      </c>
      <c r="T16" s="62">
        <f>IFERROR(aurora_data!S636,0)</f>
        <v>0</v>
      </c>
      <c r="U16" s="63">
        <f>IFERROR(aurora_data!T636,0)</f>
        <v>0</v>
      </c>
      <c r="V16" s="64" t="s">
        <v>95</v>
      </c>
      <c r="W16" s="36">
        <f>IFERROR(aurora_data!U636,0)</f>
        <v>0</v>
      </c>
      <c r="X16" s="71">
        <f t="shared" si="0"/>
        <v>0</v>
      </c>
      <c r="Y16" s="2"/>
    </row>
    <row r="17" spans="1:25" customFormat="1" ht="16.5" thickBot="1">
      <c r="A17" s="2"/>
      <c r="B17" s="211"/>
      <c r="C17" s="213"/>
      <c r="D17" s="35" t="s">
        <v>99</v>
      </c>
      <c r="E17" s="36">
        <f>IFERROR(aurora_data!D637,0)</f>
        <v>0</v>
      </c>
      <c r="F17" s="62">
        <f>IFERROR(aurora_data!E637,0)</f>
        <v>0</v>
      </c>
      <c r="G17" s="62">
        <f>IFERROR(aurora_data!F637,0)</f>
        <v>0</v>
      </c>
      <c r="H17" s="62">
        <f>IFERROR(aurora_data!G637,0)</f>
        <v>0</v>
      </c>
      <c r="I17" s="63">
        <f>IFERROR(aurora_data!H637,0)</f>
        <v>0</v>
      </c>
      <c r="J17" s="36">
        <f>IFERROR(aurora_data!I637,0)</f>
        <v>0</v>
      </c>
      <c r="K17" s="62">
        <f>IFERROR(aurora_data!J637,0)</f>
        <v>0</v>
      </c>
      <c r="L17" s="62">
        <f>IFERROR(aurora_data!K637,0)</f>
        <v>0</v>
      </c>
      <c r="M17" s="62">
        <f>IFERROR(aurora_data!L637,0)</f>
        <v>0</v>
      </c>
      <c r="N17" s="63">
        <f>IFERROR(aurora_data!M637,0)</f>
        <v>0</v>
      </c>
      <c r="O17" s="36">
        <f>IFERROR(aurora_data!N637,0)</f>
        <v>0</v>
      </c>
      <c r="P17" s="62">
        <f>IFERROR(aurora_data!O637,0)</f>
        <v>0</v>
      </c>
      <c r="Q17" s="62">
        <f>IFERROR(aurora_data!P637,0)</f>
        <v>0</v>
      </c>
      <c r="R17" s="63">
        <f>IFERROR(aurora_data!Q637,0)</f>
        <v>0</v>
      </c>
      <c r="S17" s="62">
        <f>IFERROR(aurora_data!R637,0)</f>
        <v>0</v>
      </c>
      <c r="T17" s="62">
        <f>IFERROR(aurora_data!S637,0)</f>
        <v>0</v>
      </c>
      <c r="U17" s="63">
        <f>IFERROR(aurora_data!T637,0)</f>
        <v>0</v>
      </c>
      <c r="V17" s="64" t="s">
        <v>95</v>
      </c>
      <c r="W17" s="36">
        <f>IFERROR(aurora_data!U637,0)</f>
        <v>0</v>
      </c>
      <c r="X17" s="71">
        <f t="shared" si="0"/>
        <v>0</v>
      </c>
      <c r="Y17" s="2"/>
    </row>
    <row r="18" spans="1:25" customFormat="1" ht="16.5" thickBot="1">
      <c r="A18" s="2"/>
      <c r="B18" s="211"/>
      <c r="C18" s="213"/>
      <c r="D18" s="37" t="s">
        <v>64</v>
      </c>
      <c r="E18" s="59">
        <f>IFERROR(aurora_data!D638,0)</f>
        <v>0</v>
      </c>
      <c r="F18" s="65">
        <f>IFERROR(aurora_data!E638,0)</f>
        <v>0</v>
      </c>
      <c r="G18" s="65">
        <f>IFERROR(aurora_data!F638,0)</f>
        <v>0</v>
      </c>
      <c r="H18" s="65">
        <f>IFERROR(aurora_data!G638,0)</f>
        <v>0</v>
      </c>
      <c r="I18" s="66">
        <f>IFERROR(aurora_data!H638,0)</f>
        <v>0</v>
      </c>
      <c r="J18" s="59">
        <f>IFERROR(aurora_data!I638,0)</f>
        <v>0</v>
      </c>
      <c r="K18" s="65">
        <f>IFERROR(aurora_data!J638,0)</f>
        <v>0</v>
      </c>
      <c r="L18" s="65">
        <f>IFERROR(aurora_data!K638,0)</f>
        <v>0</v>
      </c>
      <c r="M18" s="65">
        <f>IFERROR(aurora_data!L638,0)</f>
        <v>0</v>
      </c>
      <c r="N18" s="66">
        <f>IFERROR(aurora_data!M638,0)</f>
        <v>0</v>
      </c>
      <c r="O18" s="59">
        <f>IFERROR(aurora_data!N638,0)</f>
        <v>0</v>
      </c>
      <c r="P18" s="65">
        <f>IFERROR(aurora_data!O638,0)</f>
        <v>0</v>
      </c>
      <c r="Q18" s="65">
        <f>IFERROR(aurora_data!P638,0)</f>
        <v>0</v>
      </c>
      <c r="R18" s="66">
        <f>IFERROR(aurora_data!Q638,0)</f>
        <v>0</v>
      </c>
      <c r="S18" s="65">
        <f>IFERROR(aurora_data!R638,0)</f>
        <v>0</v>
      </c>
      <c r="T18" s="65">
        <f>IFERROR(aurora_data!S638,0)</f>
        <v>0</v>
      </c>
      <c r="U18" s="66">
        <f>IFERROR(aurora_data!T638,0)</f>
        <v>0</v>
      </c>
      <c r="V18" s="67" t="s">
        <v>95</v>
      </c>
      <c r="W18" s="59">
        <f>IFERROR(aurora_data!U638,0)</f>
        <v>0</v>
      </c>
      <c r="X18" s="72">
        <f t="shared" si="0"/>
        <v>0</v>
      </c>
      <c r="Y18" s="2"/>
    </row>
    <row r="19" spans="1:25" customFormat="1" ht="16.5" thickBot="1">
      <c r="A19" s="2"/>
      <c r="B19" s="211"/>
      <c r="C19" s="213"/>
      <c r="D19" s="38" t="s">
        <v>100</v>
      </c>
      <c r="E19" s="60">
        <f>IFERROR(aurora_data!D639,0)</f>
        <v>0</v>
      </c>
      <c r="F19" s="68">
        <f>IFERROR(aurora_data!E639,0)</f>
        <v>0</v>
      </c>
      <c r="G19" s="68">
        <f>IFERROR(aurora_data!F639,0)</f>
        <v>0</v>
      </c>
      <c r="H19" s="68">
        <f>IFERROR(aurora_data!G639,0)</f>
        <v>0</v>
      </c>
      <c r="I19" s="69">
        <f>IFERROR(aurora_data!H639,0)</f>
        <v>0</v>
      </c>
      <c r="J19" s="60">
        <f>IFERROR(aurora_data!I639,0)</f>
        <v>0</v>
      </c>
      <c r="K19" s="68">
        <f>IFERROR(aurora_data!J639,0)</f>
        <v>0</v>
      </c>
      <c r="L19" s="68">
        <f>IFERROR(aurora_data!K639,0)</f>
        <v>0</v>
      </c>
      <c r="M19" s="68">
        <f>IFERROR(aurora_data!L639,0)</f>
        <v>0</v>
      </c>
      <c r="N19" s="69">
        <f>IFERROR(aurora_data!M639,0)</f>
        <v>0</v>
      </c>
      <c r="O19" s="60">
        <f>IFERROR(aurora_data!N639,0)</f>
        <v>0</v>
      </c>
      <c r="P19" s="68">
        <f>IFERROR(aurora_data!O639,0)</f>
        <v>0</v>
      </c>
      <c r="Q19" s="68">
        <f>IFERROR(aurora_data!P639,0)</f>
        <v>0</v>
      </c>
      <c r="R19" s="69">
        <f>IFERROR(aurora_data!Q639,0)</f>
        <v>0</v>
      </c>
      <c r="S19" s="68">
        <f>IFERROR(aurora_data!R639,0)</f>
        <v>0</v>
      </c>
      <c r="T19" s="68">
        <f>IFERROR(aurora_data!S639,0)</f>
        <v>0</v>
      </c>
      <c r="U19" s="74">
        <f>IFERROR(aurora_data!T639,0)</f>
        <v>0</v>
      </c>
      <c r="V19" s="75" t="s">
        <v>95</v>
      </c>
      <c r="W19" s="60">
        <f>IFERROR(aurora_data!U639,0)</f>
        <v>0</v>
      </c>
      <c r="X19" s="73">
        <f t="shared" si="0"/>
        <v>0</v>
      </c>
      <c r="Y19" s="2"/>
    </row>
    <row r="20" spans="1:25" customFormat="1" ht="15.75" customHeight="1">
      <c r="A20" s="2"/>
      <c r="B20" s="206" t="s">
        <v>94</v>
      </c>
      <c r="C20" s="208" t="s">
        <v>55</v>
      </c>
      <c r="D20" s="34" t="s">
        <v>71</v>
      </c>
      <c r="E20" s="39">
        <f>IFERROR(aurora_data!D640,0)</f>
        <v>0</v>
      </c>
      <c r="F20" s="40">
        <f>IFERROR(aurora_data!E640,0)</f>
        <v>0</v>
      </c>
      <c r="G20" s="40">
        <f>IFERROR(aurora_data!F640,0)</f>
        <v>0</v>
      </c>
      <c r="H20" s="40">
        <f>IFERROR(aurora_data!G640,0)</f>
        <v>0</v>
      </c>
      <c r="I20" s="41">
        <f>IFERROR(aurora_data!H640,0)</f>
        <v>0</v>
      </c>
      <c r="J20" s="39">
        <f>IFERROR(aurora_data!I640,0)</f>
        <v>0</v>
      </c>
      <c r="K20" s="40">
        <f>IFERROR(aurora_data!J640,0)</f>
        <v>0</v>
      </c>
      <c r="L20" s="40">
        <f>IFERROR(aurora_data!K640,0)</f>
        <v>0</v>
      </c>
      <c r="M20" s="40">
        <f>IFERROR(aurora_data!L640,0)</f>
        <v>0</v>
      </c>
      <c r="N20" s="41">
        <f>IFERROR(aurora_data!M640,0)</f>
        <v>0</v>
      </c>
      <c r="O20" s="39">
        <f>IFERROR(aurora_data!N640,0)</f>
        <v>0</v>
      </c>
      <c r="P20" s="40">
        <f>IFERROR(aurora_data!O640,0)</f>
        <v>0</v>
      </c>
      <c r="Q20" s="40">
        <f>IFERROR(aurora_data!P640,0)</f>
        <v>0</v>
      </c>
      <c r="R20" s="41">
        <f>IFERROR(aurora_data!Q640,0)</f>
        <v>0</v>
      </c>
      <c r="S20" s="40">
        <f>IFERROR(aurora_data!R640,0)</f>
        <v>0</v>
      </c>
      <c r="T20" s="40">
        <f>IFERROR(aurora_data!S640,0)</f>
        <v>0</v>
      </c>
      <c r="U20" s="41">
        <f>IFERROR(aurora_data!T640,0)</f>
        <v>0</v>
      </c>
      <c r="V20" s="61" t="s">
        <v>95</v>
      </c>
      <c r="W20" s="39">
        <f>IFERROR(aurora_data!U640,0)</f>
        <v>4</v>
      </c>
      <c r="X20" s="70">
        <f>IFERROR(W20/$W$20,0)</f>
        <v>1</v>
      </c>
      <c r="Y20" s="2"/>
    </row>
    <row r="21" spans="1:25" customFormat="1" ht="15.75" customHeight="1">
      <c r="A21" s="2"/>
      <c r="B21" s="207"/>
      <c r="C21" s="209"/>
      <c r="D21" s="35" t="s">
        <v>96</v>
      </c>
      <c r="E21" s="36">
        <f>IFERROR(aurora_data!D641,0)</f>
        <v>0</v>
      </c>
      <c r="F21" s="62">
        <f>IFERROR(aurora_data!E641,0)</f>
        <v>0</v>
      </c>
      <c r="G21" s="62">
        <f>IFERROR(aurora_data!F641,0)</f>
        <v>0</v>
      </c>
      <c r="H21" s="62">
        <f>IFERROR(aurora_data!G641,0)</f>
        <v>0</v>
      </c>
      <c r="I21" s="63">
        <f>IFERROR(aurora_data!H641,0)</f>
        <v>0</v>
      </c>
      <c r="J21" s="36">
        <f>IFERROR(aurora_data!I641,0)</f>
        <v>0</v>
      </c>
      <c r="K21" s="62">
        <f>IFERROR(aurora_data!J641,0)</f>
        <v>0</v>
      </c>
      <c r="L21" s="62">
        <f>IFERROR(aurora_data!K641,0)</f>
        <v>0</v>
      </c>
      <c r="M21" s="62">
        <f>IFERROR(aurora_data!L641,0)</f>
        <v>0</v>
      </c>
      <c r="N21" s="63">
        <f>IFERROR(aurora_data!M641,0)</f>
        <v>0</v>
      </c>
      <c r="O21" s="36">
        <f>IFERROR(aurora_data!N641,0)</f>
        <v>0</v>
      </c>
      <c r="P21" s="62">
        <f>IFERROR(aurora_data!O641,0)</f>
        <v>0</v>
      </c>
      <c r="Q21" s="62">
        <f>IFERROR(aurora_data!P641,0)</f>
        <v>0</v>
      </c>
      <c r="R21" s="63">
        <f>IFERROR(aurora_data!Q641,0)</f>
        <v>0</v>
      </c>
      <c r="S21" s="62">
        <f>IFERROR(aurora_data!R641,0)</f>
        <v>0</v>
      </c>
      <c r="T21" s="62">
        <f>IFERROR(aurora_data!S641,0)</f>
        <v>0</v>
      </c>
      <c r="U21" s="63">
        <f>IFERROR(aurora_data!T641,0)</f>
        <v>0</v>
      </c>
      <c r="V21" s="64" t="s">
        <v>95</v>
      </c>
      <c r="W21" s="36">
        <f>IFERROR(aurora_data!U641,0)</f>
        <v>0</v>
      </c>
      <c r="X21" s="71">
        <f t="shared" ref="X21:X27" si="1">IFERROR(W21/$W$20,0)</f>
        <v>0</v>
      </c>
      <c r="Y21" s="2"/>
    </row>
    <row r="22" spans="1:25" customFormat="1" ht="15.75" customHeight="1">
      <c r="A22" s="2"/>
      <c r="B22" s="207"/>
      <c r="C22" s="209"/>
      <c r="D22" s="35" t="s">
        <v>60</v>
      </c>
      <c r="E22" s="36">
        <f>IFERROR(aurora_data!D642,0)</f>
        <v>0</v>
      </c>
      <c r="F22" s="62">
        <f>IFERROR(aurora_data!E642,0)</f>
        <v>0</v>
      </c>
      <c r="G22" s="62">
        <f>IFERROR(aurora_data!F642,0)</f>
        <v>0</v>
      </c>
      <c r="H22" s="62">
        <f>IFERROR(aurora_data!G642,0)</f>
        <v>0</v>
      </c>
      <c r="I22" s="63">
        <f>IFERROR(aurora_data!H642,0)</f>
        <v>0</v>
      </c>
      <c r="J22" s="36">
        <f>IFERROR(aurora_data!I642,0)</f>
        <v>0</v>
      </c>
      <c r="K22" s="62">
        <f>IFERROR(aurora_data!J642,0)</f>
        <v>0</v>
      </c>
      <c r="L22" s="62">
        <f>IFERROR(aurora_data!K642,0)</f>
        <v>0</v>
      </c>
      <c r="M22" s="62">
        <f>IFERROR(aurora_data!L642,0)</f>
        <v>0</v>
      </c>
      <c r="N22" s="63">
        <f>IFERROR(aurora_data!M642,0)</f>
        <v>0</v>
      </c>
      <c r="O22" s="36">
        <f>IFERROR(aurora_data!N642,0)</f>
        <v>0</v>
      </c>
      <c r="P22" s="62">
        <f>IFERROR(aurora_data!O642,0)</f>
        <v>0</v>
      </c>
      <c r="Q22" s="62">
        <f>IFERROR(aurora_data!P642,0)</f>
        <v>0</v>
      </c>
      <c r="R22" s="63">
        <f>IFERROR(aurora_data!Q642,0)</f>
        <v>0</v>
      </c>
      <c r="S22" s="62">
        <f>IFERROR(aurora_data!R642,0)</f>
        <v>0</v>
      </c>
      <c r="T22" s="62">
        <f>IFERROR(aurora_data!S642,0)</f>
        <v>0</v>
      </c>
      <c r="U22" s="63">
        <f>IFERROR(aurora_data!T642,0)</f>
        <v>0</v>
      </c>
      <c r="V22" s="64" t="s">
        <v>95</v>
      </c>
      <c r="W22" s="36">
        <f>IFERROR(aurora_data!U642,0)</f>
        <v>0</v>
      </c>
      <c r="X22" s="71">
        <f t="shared" si="1"/>
        <v>0</v>
      </c>
      <c r="Y22" s="2"/>
    </row>
    <row r="23" spans="1:25" customFormat="1" ht="15.75" customHeight="1">
      <c r="A23" s="2"/>
      <c r="B23" s="207"/>
      <c r="C23" s="209"/>
      <c r="D23" s="35" t="s">
        <v>97</v>
      </c>
      <c r="E23" s="36">
        <f>IFERROR(aurora_data!D643,0)</f>
        <v>0</v>
      </c>
      <c r="F23" s="62">
        <f>IFERROR(aurora_data!E643,0)</f>
        <v>0</v>
      </c>
      <c r="G23" s="62">
        <f>IFERROR(aurora_data!F643,0)</f>
        <v>0</v>
      </c>
      <c r="H23" s="62">
        <f>IFERROR(aurora_data!G643,0)</f>
        <v>0</v>
      </c>
      <c r="I23" s="63">
        <f>IFERROR(aurora_data!H643,0)</f>
        <v>0</v>
      </c>
      <c r="J23" s="36">
        <f>IFERROR(aurora_data!I643,0)</f>
        <v>0</v>
      </c>
      <c r="K23" s="62">
        <f>IFERROR(aurora_data!J643,0)</f>
        <v>0</v>
      </c>
      <c r="L23" s="62">
        <f>IFERROR(aurora_data!K643,0)</f>
        <v>0</v>
      </c>
      <c r="M23" s="62">
        <f>IFERROR(aurora_data!L643,0)</f>
        <v>0</v>
      </c>
      <c r="N23" s="63">
        <f>IFERROR(aurora_data!M643,0)</f>
        <v>0</v>
      </c>
      <c r="O23" s="36">
        <f>IFERROR(aurora_data!N643,0)</f>
        <v>0</v>
      </c>
      <c r="P23" s="62">
        <f>IFERROR(aurora_data!O643,0)</f>
        <v>0</v>
      </c>
      <c r="Q23" s="62">
        <f>IFERROR(aurora_data!P643,0)</f>
        <v>0</v>
      </c>
      <c r="R23" s="63">
        <f>IFERROR(aurora_data!Q643,0)</f>
        <v>0</v>
      </c>
      <c r="S23" s="62">
        <f>IFERROR(aurora_data!R643,0)</f>
        <v>0</v>
      </c>
      <c r="T23" s="62">
        <f>IFERROR(aurora_data!S643,0)</f>
        <v>0</v>
      </c>
      <c r="U23" s="63">
        <f>IFERROR(aurora_data!T643,0)</f>
        <v>0</v>
      </c>
      <c r="V23" s="64" t="s">
        <v>95</v>
      </c>
      <c r="W23" s="36">
        <f>IFERROR(aurora_data!U643,0)</f>
        <v>0</v>
      </c>
      <c r="X23" s="71">
        <f t="shared" si="1"/>
        <v>0</v>
      </c>
      <c r="Y23" s="2"/>
    </row>
    <row r="24" spans="1:25" customFormat="1" ht="16.5" customHeight="1">
      <c r="A24" s="2"/>
      <c r="B24" s="207"/>
      <c r="C24" s="209"/>
      <c r="D24" s="35" t="s">
        <v>98</v>
      </c>
      <c r="E24" s="36">
        <f>IFERROR(aurora_data!D644,0)</f>
        <v>0</v>
      </c>
      <c r="F24" s="62">
        <f>IFERROR(aurora_data!E644,0)</f>
        <v>0</v>
      </c>
      <c r="G24" s="62">
        <f>IFERROR(aurora_data!F644,0)</f>
        <v>0</v>
      </c>
      <c r="H24" s="62">
        <f>IFERROR(aurora_data!G644,0)</f>
        <v>0</v>
      </c>
      <c r="I24" s="63">
        <f>IFERROR(aurora_data!H644,0)</f>
        <v>0</v>
      </c>
      <c r="J24" s="36">
        <f>IFERROR(aurora_data!I644,0)</f>
        <v>0</v>
      </c>
      <c r="K24" s="62">
        <f>IFERROR(aurora_data!J644,0)</f>
        <v>0</v>
      </c>
      <c r="L24" s="62">
        <f>IFERROR(aurora_data!K644,0)</f>
        <v>0</v>
      </c>
      <c r="M24" s="62">
        <f>IFERROR(aurora_data!L644,0)</f>
        <v>0</v>
      </c>
      <c r="N24" s="63">
        <f>IFERROR(aurora_data!M644,0)</f>
        <v>0</v>
      </c>
      <c r="O24" s="36">
        <f>IFERROR(aurora_data!N644,0)</f>
        <v>0</v>
      </c>
      <c r="P24" s="62">
        <f>IFERROR(aurora_data!O644,0)</f>
        <v>0</v>
      </c>
      <c r="Q24" s="62">
        <f>IFERROR(aurora_data!P644,0)</f>
        <v>0</v>
      </c>
      <c r="R24" s="63">
        <f>IFERROR(aurora_data!Q644,0)</f>
        <v>0</v>
      </c>
      <c r="S24" s="62">
        <f>IFERROR(aurora_data!R644,0)</f>
        <v>0</v>
      </c>
      <c r="T24" s="62">
        <f>IFERROR(aurora_data!S644,0)</f>
        <v>0</v>
      </c>
      <c r="U24" s="63">
        <f>IFERROR(aurora_data!T644,0)</f>
        <v>0</v>
      </c>
      <c r="V24" s="64" t="s">
        <v>95</v>
      </c>
      <c r="W24" s="36">
        <f>IFERROR(aurora_data!U644,0)</f>
        <v>0</v>
      </c>
      <c r="X24" s="71">
        <f t="shared" si="1"/>
        <v>0</v>
      </c>
      <c r="Y24" s="2"/>
    </row>
    <row r="25" spans="1:25" customFormat="1" ht="16.5" customHeight="1" thickBot="1">
      <c r="A25" s="2"/>
      <c r="B25" s="207"/>
      <c r="C25" s="209"/>
      <c r="D25" s="35" t="s">
        <v>99</v>
      </c>
      <c r="E25" s="36">
        <f>IFERROR(aurora_data!D645,0)</f>
        <v>0</v>
      </c>
      <c r="F25" s="62">
        <f>IFERROR(aurora_data!E645,0)</f>
        <v>0</v>
      </c>
      <c r="G25" s="62">
        <f>IFERROR(aurora_data!F645,0)</f>
        <v>0</v>
      </c>
      <c r="H25" s="62">
        <f>IFERROR(aurora_data!G645,0)</f>
        <v>0</v>
      </c>
      <c r="I25" s="63">
        <f>IFERROR(aurora_data!H645,0)</f>
        <v>0</v>
      </c>
      <c r="J25" s="36">
        <f>IFERROR(aurora_data!I645,0)</f>
        <v>0</v>
      </c>
      <c r="K25" s="62">
        <f>IFERROR(aurora_data!J645,0)</f>
        <v>0</v>
      </c>
      <c r="L25" s="62">
        <f>IFERROR(aurora_data!K645,0)</f>
        <v>0</v>
      </c>
      <c r="M25" s="62">
        <f>IFERROR(aurora_data!L645,0)</f>
        <v>0</v>
      </c>
      <c r="N25" s="63">
        <f>IFERROR(aurora_data!M645,0)</f>
        <v>0</v>
      </c>
      <c r="O25" s="36">
        <f>IFERROR(aurora_data!N645,0)</f>
        <v>0</v>
      </c>
      <c r="P25" s="62">
        <f>IFERROR(aurora_data!O645,0)</f>
        <v>0</v>
      </c>
      <c r="Q25" s="62">
        <f>IFERROR(aurora_data!P645,0)</f>
        <v>0</v>
      </c>
      <c r="R25" s="63">
        <f>IFERROR(aurora_data!Q645,0)</f>
        <v>0</v>
      </c>
      <c r="S25" s="62">
        <f>IFERROR(aurora_data!R645,0)</f>
        <v>0</v>
      </c>
      <c r="T25" s="62">
        <f>IFERROR(aurora_data!S645,0)</f>
        <v>0</v>
      </c>
      <c r="U25" s="63">
        <f>IFERROR(aurora_data!T645,0)</f>
        <v>0</v>
      </c>
      <c r="V25" s="64" t="s">
        <v>95</v>
      </c>
      <c r="W25" s="36">
        <f>IFERROR(aurora_data!U645,0)</f>
        <v>0</v>
      </c>
      <c r="X25" s="71">
        <f t="shared" si="1"/>
        <v>0</v>
      </c>
      <c r="Y25" s="2"/>
    </row>
    <row r="26" spans="1:25" customFormat="1" ht="16.5" customHeight="1" thickBot="1">
      <c r="A26" s="2"/>
      <c r="B26" s="207"/>
      <c r="C26" s="209"/>
      <c r="D26" s="37" t="s">
        <v>64</v>
      </c>
      <c r="E26" s="59">
        <f>IFERROR(aurora_data!D646,0)</f>
        <v>0</v>
      </c>
      <c r="F26" s="65">
        <f>IFERROR(aurora_data!E646,0)</f>
        <v>0</v>
      </c>
      <c r="G26" s="65">
        <f>IFERROR(aurora_data!F646,0)</f>
        <v>0</v>
      </c>
      <c r="H26" s="65">
        <f>IFERROR(aurora_data!G646,0)</f>
        <v>0</v>
      </c>
      <c r="I26" s="66">
        <f>IFERROR(aurora_data!H646,0)</f>
        <v>0</v>
      </c>
      <c r="J26" s="59">
        <f>IFERROR(aurora_data!I646,0)</f>
        <v>0</v>
      </c>
      <c r="K26" s="65">
        <f>IFERROR(aurora_data!J646,0)</f>
        <v>0</v>
      </c>
      <c r="L26" s="65">
        <f>IFERROR(aurora_data!K646,0)</f>
        <v>0</v>
      </c>
      <c r="M26" s="65">
        <f>IFERROR(aurora_data!L646,0)</f>
        <v>0</v>
      </c>
      <c r="N26" s="66">
        <f>IFERROR(aurora_data!M646,0)</f>
        <v>0</v>
      </c>
      <c r="O26" s="59">
        <f>IFERROR(aurora_data!N646,0)</f>
        <v>0</v>
      </c>
      <c r="P26" s="65">
        <f>IFERROR(aurora_data!O646,0)</f>
        <v>0</v>
      </c>
      <c r="Q26" s="65">
        <f>IFERROR(aurora_data!P646,0)</f>
        <v>0</v>
      </c>
      <c r="R26" s="66">
        <f>IFERROR(aurora_data!Q646,0)</f>
        <v>0</v>
      </c>
      <c r="S26" s="65">
        <f>IFERROR(aurora_data!R646,0)</f>
        <v>0</v>
      </c>
      <c r="T26" s="65">
        <f>IFERROR(aurora_data!S646,0)</f>
        <v>0</v>
      </c>
      <c r="U26" s="66">
        <f>IFERROR(aurora_data!T646,0)</f>
        <v>0</v>
      </c>
      <c r="V26" s="67" t="s">
        <v>95</v>
      </c>
      <c r="W26" s="59">
        <f>IFERROR(aurora_data!U646,0)</f>
        <v>0</v>
      </c>
      <c r="X26" s="72">
        <f t="shared" si="1"/>
        <v>0</v>
      </c>
      <c r="Y26" s="2"/>
    </row>
    <row r="27" spans="1:25" customFormat="1" ht="16.5" customHeight="1" thickBot="1">
      <c r="A27" s="2"/>
      <c r="B27" s="207"/>
      <c r="C27" s="209"/>
      <c r="D27" s="38" t="s">
        <v>100</v>
      </c>
      <c r="E27" s="60">
        <f>IFERROR(aurora_data!D647,0)</f>
        <v>0</v>
      </c>
      <c r="F27" s="68">
        <f>IFERROR(aurora_data!E647,0)</f>
        <v>0</v>
      </c>
      <c r="G27" s="68">
        <f>IFERROR(aurora_data!F647,0)</f>
        <v>0</v>
      </c>
      <c r="H27" s="68">
        <f>IFERROR(aurora_data!G647,0)</f>
        <v>0</v>
      </c>
      <c r="I27" s="69">
        <f>IFERROR(aurora_data!H647,0)</f>
        <v>0</v>
      </c>
      <c r="J27" s="60">
        <f>IFERROR(aurora_data!I647,0)</f>
        <v>0</v>
      </c>
      <c r="K27" s="68">
        <f>IFERROR(aurora_data!J647,0)</f>
        <v>0</v>
      </c>
      <c r="L27" s="68">
        <f>IFERROR(aurora_data!K647,0)</f>
        <v>0</v>
      </c>
      <c r="M27" s="68">
        <f>IFERROR(aurora_data!L647,0)</f>
        <v>0</v>
      </c>
      <c r="N27" s="69">
        <f>IFERROR(aurora_data!M647,0)</f>
        <v>0</v>
      </c>
      <c r="O27" s="60">
        <f>IFERROR(aurora_data!N647,0)</f>
        <v>0</v>
      </c>
      <c r="P27" s="68">
        <f>IFERROR(aurora_data!O647,0)</f>
        <v>0</v>
      </c>
      <c r="Q27" s="68">
        <f>IFERROR(aurora_data!P647,0)</f>
        <v>0</v>
      </c>
      <c r="R27" s="69">
        <f>IFERROR(aurora_data!Q647,0)</f>
        <v>0</v>
      </c>
      <c r="S27" s="68">
        <f>IFERROR(aurora_data!R647,0)</f>
        <v>0</v>
      </c>
      <c r="T27" s="68">
        <f>IFERROR(aurora_data!S647,0)</f>
        <v>0</v>
      </c>
      <c r="U27" s="74">
        <f>IFERROR(aurora_data!T647,0)</f>
        <v>0</v>
      </c>
      <c r="V27" s="75" t="s">
        <v>95</v>
      </c>
      <c r="W27" s="60">
        <f>IFERROR(aurora_data!U647,0)</f>
        <v>0</v>
      </c>
      <c r="X27" s="73">
        <f t="shared" si="1"/>
        <v>0</v>
      </c>
      <c r="Y27" s="2"/>
    </row>
    <row r="28" spans="1:25" ht="16.5" customHeight="1">
      <c r="B28" s="97"/>
      <c r="C28" s="97"/>
    </row>
  </sheetData>
  <mergeCells count="26">
    <mergeCell ref="B20:B27"/>
    <mergeCell ref="C20:C27"/>
    <mergeCell ref="J10:N10"/>
    <mergeCell ref="O10:R10"/>
    <mergeCell ref="S10:U10"/>
    <mergeCell ref="B12:B19"/>
    <mergeCell ref="C12:C19"/>
    <mergeCell ref="B8:D8"/>
    <mergeCell ref="E8:U8"/>
    <mergeCell ref="W8:X11"/>
    <mergeCell ref="B9:C9"/>
    <mergeCell ref="E9:I9"/>
    <mergeCell ref="J9:N9"/>
    <mergeCell ref="O9:R9"/>
    <mergeCell ref="S9:U9"/>
    <mergeCell ref="B10:B11"/>
    <mergeCell ref="E10:I10"/>
    <mergeCell ref="A1:C1"/>
    <mergeCell ref="D1:H1"/>
    <mergeCell ref="A2:C2"/>
    <mergeCell ref="D2:H2"/>
    <mergeCell ref="K2:X6"/>
    <mergeCell ref="D3:E3"/>
    <mergeCell ref="F3:H3"/>
    <mergeCell ref="D5:G5"/>
    <mergeCell ref="D6:H6"/>
  </mergeCells>
  <conditionalFormatting sqref="E13:W13">
    <cfRule type="expression" dxfId="219" priority="20">
      <formula>ROUND(E$13,0) &gt;= ROUND(E$12,0)</formula>
    </cfRule>
  </conditionalFormatting>
  <conditionalFormatting sqref="E18:W18">
    <cfRule type="expression" dxfId="218" priority="22">
      <formula>ROUND(E$18,0) &lt; ROUND(E$12,0)</formula>
    </cfRule>
  </conditionalFormatting>
  <conditionalFormatting sqref="E21:W21">
    <cfRule type="expression" dxfId="217" priority="19">
      <formula>ROUND(E$21,0) &gt;= ROUND(E$20,0)</formula>
    </cfRule>
  </conditionalFormatting>
  <conditionalFormatting sqref="E26:W26">
    <cfRule type="expression" dxfId="216" priority="24">
      <formula>ROUND(E$26,0) &lt; ROUND(E$20,0)</formula>
    </cfRule>
  </conditionalFormatting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D90CF9-C1BF-4575-B7C9-DC995FC6BBDA}">
  <sheetPr>
    <tabColor rgb="FF0070C0"/>
  </sheetPr>
  <dimension ref="A1:Y28"/>
  <sheetViews>
    <sheetView zoomScale="85" zoomScaleNormal="85" workbookViewId="0">
      <selection sqref="A1:C1"/>
    </sheetView>
  </sheetViews>
  <sheetFormatPr defaultColWidth="2.625" defaultRowHeight="15.75"/>
  <cols>
    <col min="1" max="1" width="1.375" style="2" customWidth="1"/>
    <col min="2" max="2" width="10.875" style="2" customWidth="1"/>
    <col min="3" max="3" width="15.625" style="2" customWidth="1"/>
    <col min="4" max="4" width="22.625" style="4" customWidth="1"/>
    <col min="5" max="8" width="7.625" style="4" customWidth="1"/>
    <col min="9" max="9" width="6.625" style="4" hidden="1" customWidth="1"/>
    <col min="10" max="21" width="7.625" style="4" customWidth="1"/>
    <col min="22" max="22" width="0.625" style="2" customWidth="1"/>
    <col min="23" max="24" width="5.875" style="2" customWidth="1"/>
    <col min="25" max="25" width="12.5" style="2" customWidth="1"/>
    <col min="26" max="26" width="2.625" style="2" customWidth="1"/>
    <col min="27" max="64" width="7.625" style="2" customWidth="1"/>
    <col min="65" max="16323" width="2.625" style="2"/>
    <col min="16324" max="16324" width="1.375" style="2" customWidth="1"/>
    <col min="16325" max="16325" width="2.625" style="2" customWidth="1"/>
    <col min="16326" max="16326" width="3.5" style="2" customWidth="1"/>
    <col min="16327" max="16327" width="1" style="2" customWidth="1"/>
    <col min="16328" max="16328" width="0.875" style="2" customWidth="1"/>
    <col min="16329" max="16329" width="2.375" style="2" customWidth="1"/>
    <col min="16330" max="16384" width="20.375" style="2" customWidth="1"/>
  </cols>
  <sheetData>
    <row r="1" spans="1:25" customFormat="1" ht="25.5" customHeight="1">
      <c r="A1" s="151" t="s">
        <v>77</v>
      </c>
      <c r="B1" s="152"/>
      <c r="C1" s="153"/>
      <c r="D1" s="154" t="s">
        <v>78</v>
      </c>
      <c r="E1" s="155"/>
      <c r="F1" s="155"/>
      <c r="G1" s="155"/>
      <c r="H1" s="156"/>
      <c r="I1" s="98"/>
      <c r="J1" s="88"/>
      <c r="K1" s="100"/>
      <c r="L1" s="100"/>
      <c r="M1" s="100"/>
      <c r="N1" s="100" t="s">
        <v>79</v>
      </c>
      <c r="O1" s="100"/>
      <c r="P1" s="100"/>
      <c r="Q1" s="100"/>
      <c r="R1" s="100"/>
      <c r="S1" s="100"/>
      <c r="T1" s="100"/>
      <c r="U1" s="100"/>
      <c r="V1" s="100"/>
      <c r="W1" s="100"/>
      <c r="X1" s="106"/>
      <c r="Y1" s="108"/>
    </row>
    <row r="2" spans="1:25" customFormat="1" ht="31.5" customHeight="1">
      <c r="A2" s="157" t="s">
        <v>80</v>
      </c>
      <c r="B2" s="157"/>
      <c r="C2" s="158"/>
      <c r="D2" s="217" t="str">
        <f>_xlfn.CONCAT("Study Name: ","
OSEP – Multiple Disabilities - Paper")</f>
        <v>Study Name: 
OSEP – Multiple Disabilities - Paper</v>
      </c>
      <c r="E2" s="218"/>
      <c r="F2" s="218"/>
      <c r="G2" s="218"/>
      <c r="H2" s="219"/>
      <c r="I2" s="4"/>
      <c r="J2" s="4"/>
      <c r="K2" s="162" t="s">
        <v>81</v>
      </c>
      <c r="L2" s="163"/>
      <c r="M2" s="163"/>
      <c r="N2" s="163"/>
      <c r="O2" s="163"/>
      <c r="P2" s="163"/>
      <c r="Q2" s="163"/>
      <c r="R2" s="163"/>
      <c r="S2" s="163"/>
      <c r="T2" s="163"/>
      <c r="U2" s="163"/>
      <c r="V2" s="163"/>
      <c r="W2" s="163"/>
      <c r="X2" s="164"/>
      <c r="Y2" s="103"/>
    </row>
    <row r="3" spans="1:25" customFormat="1" ht="30.75" customHeight="1" thickBot="1">
      <c r="A3" s="2"/>
      <c r="B3" s="2"/>
      <c r="C3" s="2"/>
      <c r="D3" s="169" t="str">
        <f>_xlfn.CONCAT("Study Acronym: ","
OSEP_MD_P")</f>
        <v>Study Acronym: 
OSEP_MD_P</v>
      </c>
      <c r="E3" s="170"/>
      <c r="F3" s="171" t="s">
        <v>267</v>
      </c>
      <c r="G3" s="172"/>
      <c r="H3" s="173"/>
      <c r="I3" s="4"/>
      <c r="J3" s="4"/>
      <c r="K3" s="165"/>
      <c r="L3" s="163"/>
      <c r="M3" s="163"/>
      <c r="N3" s="163"/>
      <c r="O3" s="163"/>
      <c r="P3" s="163"/>
      <c r="Q3" s="163"/>
      <c r="R3" s="163"/>
      <c r="S3" s="163"/>
      <c r="T3" s="163"/>
      <c r="U3" s="163"/>
      <c r="V3" s="163"/>
      <c r="W3" s="163"/>
      <c r="X3" s="164"/>
      <c r="Y3" s="103"/>
    </row>
    <row r="4" spans="1:25" customFormat="1" ht="16.5" customHeight="1">
      <c r="A4" s="2"/>
      <c r="B4" s="24"/>
      <c r="C4" s="2"/>
      <c r="D4" s="2"/>
      <c r="E4" s="25"/>
      <c r="F4" s="25"/>
      <c r="G4" s="25"/>
      <c r="H4" s="25"/>
      <c r="I4" s="25"/>
      <c r="J4" s="25"/>
      <c r="K4" s="165"/>
      <c r="L4" s="163"/>
      <c r="M4" s="163"/>
      <c r="N4" s="163"/>
      <c r="O4" s="163"/>
      <c r="P4" s="163"/>
      <c r="Q4" s="163"/>
      <c r="R4" s="163"/>
      <c r="S4" s="163"/>
      <c r="T4" s="163"/>
      <c r="U4" s="163"/>
      <c r="V4" s="163"/>
      <c r="W4" s="163"/>
      <c r="X4" s="164"/>
      <c r="Y4" s="104"/>
    </row>
    <row r="5" spans="1:25" customFormat="1" ht="21.95" customHeight="1" thickBot="1">
      <c r="A5" s="2"/>
      <c r="B5" s="2"/>
      <c r="C5" s="102"/>
      <c r="D5" s="154" t="s">
        <v>82</v>
      </c>
      <c r="E5" s="155"/>
      <c r="F5" s="155"/>
      <c r="G5" s="155"/>
      <c r="H5" s="101"/>
      <c r="I5" s="98"/>
      <c r="J5" s="98"/>
      <c r="K5" s="165"/>
      <c r="L5" s="163"/>
      <c r="M5" s="163"/>
      <c r="N5" s="163"/>
      <c r="O5" s="163"/>
      <c r="P5" s="163"/>
      <c r="Q5" s="163"/>
      <c r="R5" s="163"/>
      <c r="S5" s="163"/>
      <c r="T5" s="163"/>
      <c r="U5" s="163"/>
      <c r="V5" s="163"/>
      <c r="W5" s="163"/>
      <c r="X5" s="164"/>
      <c r="Y5" s="105"/>
    </row>
    <row r="6" spans="1:25" customFormat="1" ht="60.95" customHeight="1" thickBot="1">
      <c r="A6" s="2"/>
      <c r="B6" s="2"/>
      <c r="C6" s="99"/>
      <c r="D6" s="214" t="s">
        <v>101</v>
      </c>
      <c r="E6" s="215"/>
      <c r="F6" s="215"/>
      <c r="G6" s="215"/>
      <c r="H6" s="216"/>
      <c r="I6" s="124"/>
      <c r="J6" s="125"/>
      <c r="K6" s="166"/>
      <c r="L6" s="167"/>
      <c r="M6" s="167"/>
      <c r="N6" s="167"/>
      <c r="O6" s="167"/>
      <c r="P6" s="167"/>
      <c r="Q6" s="167"/>
      <c r="R6" s="167"/>
      <c r="S6" s="167"/>
      <c r="T6" s="167"/>
      <c r="U6" s="167"/>
      <c r="V6" s="167"/>
      <c r="W6" s="167"/>
      <c r="X6" s="168"/>
      <c r="Y6" s="107"/>
    </row>
    <row r="7" spans="1:25" customFormat="1" ht="16.5" customHeight="1" thickBot="1">
      <c r="A7" s="2"/>
      <c r="B7" s="3"/>
      <c r="C7" s="26"/>
      <c r="D7" s="27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8"/>
      <c r="W7" s="3"/>
      <c r="X7" s="3"/>
      <c r="Y7" s="2"/>
    </row>
    <row r="8" spans="1:25" customFormat="1">
      <c r="A8" s="2"/>
      <c r="B8" s="177" t="str">
        <f>_xlfn.CONCAT("Last Refreshed at: ",aurora_data!V732)</f>
        <v>Last Refreshed at: 09/17/2026 @ 7:20 AM</v>
      </c>
      <c r="C8" s="178"/>
      <c r="D8" s="178"/>
      <c r="E8" s="179" t="s">
        <v>83</v>
      </c>
      <c r="F8" s="180"/>
      <c r="G8" s="180"/>
      <c r="H8" s="180"/>
      <c r="I8" s="180"/>
      <c r="J8" s="180"/>
      <c r="K8" s="180"/>
      <c r="L8" s="180"/>
      <c r="M8" s="180"/>
      <c r="N8" s="180"/>
      <c r="O8" s="180"/>
      <c r="P8" s="180"/>
      <c r="Q8" s="180"/>
      <c r="R8" s="180"/>
      <c r="S8" s="180"/>
      <c r="T8" s="180"/>
      <c r="U8" s="181"/>
      <c r="V8" s="44"/>
      <c r="W8" s="182" t="s">
        <v>84</v>
      </c>
      <c r="X8" s="183"/>
      <c r="Y8" s="2"/>
    </row>
    <row r="9" spans="1:25" customFormat="1" ht="16.5" customHeight="1" thickBot="1">
      <c r="A9" s="2"/>
      <c r="B9" s="188"/>
      <c r="C9" s="189"/>
      <c r="D9" s="29" t="s">
        <v>85</v>
      </c>
      <c r="E9" s="190" t="s">
        <v>86</v>
      </c>
      <c r="F9" s="191"/>
      <c r="G9" s="191"/>
      <c r="H9" s="191"/>
      <c r="I9" s="191"/>
      <c r="J9" s="192" t="s">
        <v>86</v>
      </c>
      <c r="K9" s="193"/>
      <c r="L9" s="193"/>
      <c r="M9" s="193"/>
      <c r="N9" s="193"/>
      <c r="O9" s="194" t="s">
        <v>86</v>
      </c>
      <c r="P9" s="195"/>
      <c r="Q9" s="195"/>
      <c r="R9" s="195"/>
      <c r="S9" s="196" t="s">
        <v>86</v>
      </c>
      <c r="T9" s="197"/>
      <c r="U9" s="197"/>
      <c r="V9" s="28"/>
      <c r="W9" s="184"/>
      <c r="X9" s="185"/>
      <c r="Y9" s="2"/>
    </row>
    <row r="10" spans="1:25" customFormat="1" ht="17.25" thickTop="1" thickBot="1">
      <c r="A10" s="2"/>
      <c r="B10" s="198" t="s">
        <v>87</v>
      </c>
      <c r="C10" s="30"/>
      <c r="D10" s="31"/>
      <c r="E10" s="199" t="s">
        <v>88</v>
      </c>
      <c r="F10" s="200"/>
      <c r="G10" s="200"/>
      <c r="H10" s="200"/>
      <c r="I10" s="201"/>
      <c r="J10" s="200" t="s">
        <v>89</v>
      </c>
      <c r="K10" s="200"/>
      <c r="L10" s="200"/>
      <c r="M10" s="200"/>
      <c r="N10" s="201"/>
      <c r="O10" s="202" t="s">
        <v>90</v>
      </c>
      <c r="P10" s="202"/>
      <c r="Q10" s="202"/>
      <c r="R10" s="202"/>
      <c r="S10" s="203" t="s">
        <v>91</v>
      </c>
      <c r="T10" s="204"/>
      <c r="U10" s="205"/>
      <c r="V10" s="32"/>
      <c r="W10" s="184"/>
      <c r="X10" s="185"/>
      <c r="Y10" s="2"/>
    </row>
    <row r="11" spans="1:25" customFormat="1" ht="17.25" thickTop="1" thickBot="1">
      <c r="A11" s="2"/>
      <c r="B11" s="198"/>
      <c r="C11" s="30" t="s">
        <v>35</v>
      </c>
      <c r="D11" s="33" t="s">
        <v>37</v>
      </c>
      <c r="E11" s="96">
        <v>1</v>
      </c>
      <c r="F11" s="94">
        <v>2</v>
      </c>
      <c r="G11" s="95" t="s">
        <v>40</v>
      </c>
      <c r="H11" s="95">
        <v>4</v>
      </c>
      <c r="I11" s="95">
        <v>5</v>
      </c>
      <c r="J11" s="89" t="s">
        <v>43</v>
      </c>
      <c r="K11" s="89" t="s">
        <v>44</v>
      </c>
      <c r="L11" s="89" t="s">
        <v>45</v>
      </c>
      <c r="M11" s="93" t="s">
        <v>92</v>
      </c>
      <c r="N11" s="93" t="s">
        <v>47</v>
      </c>
      <c r="O11" s="89" t="s">
        <v>48</v>
      </c>
      <c r="P11" s="89" t="s">
        <v>49</v>
      </c>
      <c r="Q11" s="89" t="s">
        <v>50</v>
      </c>
      <c r="R11" s="89" t="s">
        <v>51</v>
      </c>
      <c r="S11" s="90" t="s">
        <v>52</v>
      </c>
      <c r="T11" s="91" t="s">
        <v>53</v>
      </c>
      <c r="U11" s="92" t="s">
        <v>93</v>
      </c>
      <c r="V11" s="28"/>
      <c r="W11" s="186"/>
      <c r="X11" s="187"/>
      <c r="Y11" s="2"/>
    </row>
    <row r="12" spans="1:25" customFormat="1">
      <c r="A12" s="2"/>
      <c r="B12" s="210" t="s">
        <v>94</v>
      </c>
      <c r="C12" s="212" t="str">
        <f>aurora_data!A732</f>
        <v>06.00.00-16.11.30</v>
      </c>
      <c r="D12" s="34" t="s">
        <v>71</v>
      </c>
      <c r="E12" s="39">
        <f>IFERROR(aurora_data!D732,0)</f>
        <v>0</v>
      </c>
      <c r="F12" s="40">
        <f>IFERROR(aurora_data!E732,0)</f>
        <v>0</v>
      </c>
      <c r="G12" s="40">
        <f>IFERROR(aurora_data!F732,0)</f>
        <v>0</v>
      </c>
      <c r="H12" s="40">
        <f>IFERROR(aurora_data!G732,0)</f>
        <v>0</v>
      </c>
      <c r="I12" s="41">
        <f>IFERROR(aurora_data!H732,0)</f>
        <v>0</v>
      </c>
      <c r="J12" s="39">
        <f>IFERROR(aurora_data!I732,0)</f>
        <v>0</v>
      </c>
      <c r="K12" s="40">
        <f>IFERROR(aurora_data!J732,0)</f>
        <v>0</v>
      </c>
      <c r="L12" s="40">
        <f>IFERROR(aurora_data!K732,0)</f>
        <v>0</v>
      </c>
      <c r="M12" s="40">
        <f>IFERROR(aurora_data!L732,0)</f>
        <v>0</v>
      </c>
      <c r="N12" s="41">
        <f>IFERROR(aurora_data!M732,0)</f>
        <v>0</v>
      </c>
      <c r="O12" s="39">
        <f>IFERROR(aurora_data!N732,0)</f>
        <v>0</v>
      </c>
      <c r="P12" s="40">
        <f>IFERROR(aurora_data!O732,0)</f>
        <v>0</v>
      </c>
      <c r="Q12" s="40">
        <f>IFERROR(aurora_data!P732,0)</f>
        <v>0</v>
      </c>
      <c r="R12" s="41">
        <f>IFERROR(aurora_data!Q732,0)</f>
        <v>0</v>
      </c>
      <c r="S12" s="40">
        <f>IFERROR(aurora_data!R732,0)</f>
        <v>0</v>
      </c>
      <c r="T12" s="40">
        <f>IFERROR(aurora_data!S732,0)</f>
        <v>0</v>
      </c>
      <c r="U12" s="76">
        <f>IFERROR(aurora_data!T732,0)</f>
        <v>0</v>
      </c>
      <c r="V12" s="61" t="s">
        <v>95</v>
      </c>
      <c r="W12" s="39">
        <f>IFERROR(aurora_data!U732,0)</f>
        <v>7</v>
      </c>
      <c r="X12" s="70">
        <f>IFERROR(W12/$W$12,0)</f>
        <v>1</v>
      </c>
      <c r="Y12" s="2"/>
    </row>
    <row r="13" spans="1:25" customFormat="1">
      <c r="A13" s="2"/>
      <c r="B13" s="211"/>
      <c r="C13" s="213"/>
      <c r="D13" s="35" t="s">
        <v>96</v>
      </c>
      <c r="E13" s="110">
        <f>IFERROR(aurora_data!D733,0)</f>
        <v>0</v>
      </c>
      <c r="F13" s="62">
        <f>IFERROR(aurora_data!E733,0)</f>
        <v>0</v>
      </c>
      <c r="G13" s="62">
        <f>IFERROR(aurora_data!F733,0)</f>
        <v>0</v>
      </c>
      <c r="H13" s="62">
        <f>IFERROR(aurora_data!G733,0)</f>
        <v>0</v>
      </c>
      <c r="I13" s="63">
        <f>IFERROR(aurora_data!H733,0)</f>
        <v>1</v>
      </c>
      <c r="J13" s="36">
        <f>IFERROR(aurora_data!I733,0)</f>
        <v>0</v>
      </c>
      <c r="K13" s="62">
        <f>IFERROR(aurora_data!J733,0)</f>
        <v>0</v>
      </c>
      <c r="L13" s="62">
        <f>IFERROR(aurora_data!K733,0)</f>
        <v>0</v>
      </c>
      <c r="M13" s="62">
        <f>IFERROR(aurora_data!L733,0)</f>
        <v>0</v>
      </c>
      <c r="N13" s="63">
        <f>IFERROR(aurora_data!M733,0)</f>
        <v>1</v>
      </c>
      <c r="O13" s="36">
        <f>IFERROR(aurora_data!N733,0)</f>
        <v>0</v>
      </c>
      <c r="P13" s="62">
        <f>IFERROR(aurora_data!O733,0)</f>
        <v>0</v>
      </c>
      <c r="Q13" s="62">
        <f>IFERROR(aurora_data!P733,0)</f>
        <v>0</v>
      </c>
      <c r="R13" s="63">
        <f>IFERROR(aurora_data!Q733,0)</f>
        <v>1</v>
      </c>
      <c r="S13" s="62">
        <f>IFERROR(aurora_data!R733,0)</f>
        <v>0</v>
      </c>
      <c r="T13" s="62">
        <f>IFERROR(aurora_data!S733,0)</f>
        <v>1</v>
      </c>
      <c r="U13" s="63">
        <f>IFERROR(aurora_data!T733,0)</f>
        <v>0</v>
      </c>
      <c r="V13" s="64" t="s">
        <v>95</v>
      </c>
      <c r="W13" s="36">
        <f>IFERROR(aurora_data!U733,0)</f>
        <v>1</v>
      </c>
      <c r="X13" s="71">
        <f t="shared" ref="X13:X19" si="0">IFERROR(W13/$W$12,0)</f>
        <v>0.14285714285714285</v>
      </c>
      <c r="Y13" s="2"/>
    </row>
    <row r="14" spans="1:25" customFormat="1">
      <c r="A14" s="2"/>
      <c r="B14" s="211"/>
      <c r="C14" s="213"/>
      <c r="D14" s="35" t="s">
        <v>60</v>
      </c>
      <c r="E14" s="110">
        <f>IFERROR(aurora_data!D734,0)</f>
        <v>0</v>
      </c>
      <c r="F14" s="62">
        <f>IFERROR(aurora_data!E734,0)</f>
        <v>0</v>
      </c>
      <c r="G14" s="62">
        <f>IFERROR(aurora_data!F734,0)</f>
        <v>0</v>
      </c>
      <c r="H14" s="62">
        <f>IFERROR(aurora_data!G734,0)</f>
        <v>0</v>
      </c>
      <c r="I14" s="63">
        <f>IFERROR(aurora_data!H734,0)</f>
        <v>0</v>
      </c>
      <c r="J14" s="36">
        <f>IFERROR(aurora_data!I734,0)</f>
        <v>0</v>
      </c>
      <c r="K14" s="62">
        <f>IFERROR(aurora_data!J734,0)</f>
        <v>0</v>
      </c>
      <c r="L14" s="62">
        <f>IFERROR(aurora_data!K734,0)</f>
        <v>0</v>
      </c>
      <c r="M14" s="62">
        <f>IFERROR(aurora_data!L734,0)</f>
        <v>0</v>
      </c>
      <c r="N14" s="63">
        <f>IFERROR(aurora_data!M734,0)</f>
        <v>0</v>
      </c>
      <c r="O14" s="36">
        <f>IFERROR(aurora_data!N734,0)</f>
        <v>0</v>
      </c>
      <c r="P14" s="62">
        <f>IFERROR(aurora_data!O734,0)</f>
        <v>0</v>
      </c>
      <c r="Q14" s="62">
        <f>IFERROR(aurora_data!P734,0)</f>
        <v>0</v>
      </c>
      <c r="R14" s="63">
        <f>IFERROR(aurora_data!Q734,0)</f>
        <v>0</v>
      </c>
      <c r="S14" s="62">
        <f>IFERROR(aurora_data!R734,0)</f>
        <v>0</v>
      </c>
      <c r="T14" s="62">
        <f>IFERROR(aurora_data!S734,0)</f>
        <v>0</v>
      </c>
      <c r="U14" s="63">
        <f>IFERROR(aurora_data!T734,0)</f>
        <v>0</v>
      </c>
      <c r="V14" s="64" t="s">
        <v>95</v>
      </c>
      <c r="W14" s="36">
        <f>IFERROR(aurora_data!U734,0)</f>
        <v>0</v>
      </c>
      <c r="X14" s="71">
        <f t="shared" si="0"/>
        <v>0</v>
      </c>
      <c r="Y14" s="2"/>
    </row>
    <row r="15" spans="1:25" customFormat="1">
      <c r="A15" s="2"/>
      <c r="B15" s="211"/>
      <c r="C15" s="213"/>
      <c r="D15" s="35" t="s">
        <v>97</v>
      </c>
      <c r="E15" s="36">
        <f>IFERROR(aurora_data!D735,0)</f>
        <v>0</v>
      </c>
      <c r="F15" s="62">
        <f>IFERROR(aurora_data!E735,0)</f>
        <v>0</v>
      </c>
      <c r="G15" s="62">
        <f>IFERROR(aurora_data!F735,0)</f>
        <v>0</v>
      </c>
      <c r="H15" s="62">
        <f>IFERROR(aurora_data!G735,0)</f>
        <v>0</v>
      </c>
      <c r="I15" s="63">
        <f>IFERROR(aurora_data!H735,0)</f>
        <v>0</v>
      </c>
      <c r="J15" s="36">
        <f>IFERROR(aurora_data!I735,0)</f>
        <v>0</v>
      </c>
      <c r="K15" s="62">
        <f>IFERROR(aurora_data!J735,0)</f>
        <v>0</v>
      </c>
      <c r="L15" s="62">
        <f>IFERROR(aurora_data!K735,0)</f>
        <v>0</v>
      </c>
      <c r="M15" s="62">
        <f>IFERROR(aurora_data!L735,0)</f>
        <v>0</v>
      </c>
      <c r="N15" s="63">
        <f>IFERROR(aurora_data!M735,0)</f>
        <v>0</v>
      </c>
      <c r="O15" s="36">
        <f>IFERROR(aurora_data!N735,0)</f>
        <v>0</v>
      </c>
      <c r="P15" s="62">
        <f>IFERROR(aurora_data!O735,0)</f>
        <v>0</v>
      </c>
      <c r="Q15" s="62">
        <f>IFERROR(aurora_data!P735,0)</f>
        <v>0</v>
      </c>
      <c r="R15" s="63">
        <f>IFERROR(aurora_data!Q735,0)</f>
        <v>0</v>
      </c>
      <c r="S15" s="62">
        <f>IFERROR(aurora_data!R735,0)</f>
        <v>0</v>
      </c>
      <c r="T15" s="62">
        <f>IFERROR(aurora_data!S735,0)</f>
        <v>0</v>
      </c>
      <c r="U15" s="63">
        <f>IFERROR(aurora_data!T735,0)</f>
        <v>0</v>
      </c>
      <c r="V15" s="64" t="s">
        <v>95</v>
      </c>
      <c r="W15" s="36">
        <f>IFERROR(aurora_data!U735,0)</f>
        <v>0</v>
      </c>
      <c r="X15" s="71">
        <f t="shared" si="0"/>
        <v>0</v>
      </c>
      <c r="Y15" s="2"/>
    </row>
    <row r="16" spans="1:25" customFormat="1">
      <c r="A16" s="2"/>
      <c r="B16" s="211"/>
      <c r="C16" s="213"/>
      <c r="D16" s="35" t="s">
        <v>98</v>
      </c>
      <c r="E16" s="36">
        <f>IFERROR(aurora_data!D736,0)</f>
        <v>0</v>
      </c>
      <c r="F16" s="62">
        <f>IFERROR(aurora_data!E736,0)</f>
        <v>0</v>
      </c>
      <c r="G16" s="62">
        <f>IFERROR(aurora_data!F736,0)</f>
        <v>0</v>
      </c>
      <c r="H16" s="62">
        <f>IFERROR(aurora_data!G736,0)</f>
        <v>0</v>
      </c>
      <c r="I16" s="63">
        <f>IFERROR(aurora_data!H736,0)</f>
        <v>0</v>
      </c>
      <c r="J16" s="36">
        <f>IFERROR(aurora_data!I736,0)</f>
        <v>0</v>
      </c>
      <c r="K16" s="62">
        <f>IFERROR(aurora_data!J736,0)</f>
        <v>0</v>
      </c>
      <c r="L16" s="62">
        <f>IFERROR(aurora_data!K736,0)</f>
        <v>0</v>
      </c>
      <c r="M16" s="62">
        <f>IFERROR(aurora_data!L736,0)</f>
        <v>0</v>
      </c>
      <c r="N16" s="63">
        <f>IFERROR(aurora_data!M736,0)</f>
        <v>0</v>
      </c>
      <c r="O16" s="36">
        <f>IFERROR(aurora_data!N736,0)</f>
        <v>0</v>
      </c>
      <c r="P16" s="62">
        <f>IFERROR(aurora_data!O736,0)</f>
        <v>0</v>
      </c>
      <c r="Q16" s="62">
        <f>IFERROR(aurora_data!P736,0)</f>
        <v>0</v>
      </c>
      <c r="R16" s="63">
        <f>IFERROR(aurora_data!Q736,0)</f>
        <v>0</v>
      </c>
      <c r="S16" s="62">
        <f>IFERROR(aurora_data!R736,0)</f>
        <v>0</v>
      </c>
      <c r="T16" s="62">
        <f>IFERROR(aurora_data!S736,0)</f>
        <v>0</v>
      </c>
      <c r="U16" s="63">
        <f>IFERROR(aurora_data!T736,0)</f>
        <v>0</v>
      </c>
      <c r="V16" s="64" t="s">
        <v>95</v>
      </c>
      <c r="W16" s="36">
        <f>IFERROR(aurora_data!U736,0)</f>
        <v>0</v>
      </c>
      <c r="X16" s="71">
        <f t="shared" si="0"/>
        <v>0</v>
      </c>
      <c r="Y16" s="2"/>
    </row>
    <row r="17" spans="1:25" customFormat="1" ht="16.5" thickBot="1">
      <c r="A17" s="2"/>
      <c r="B17" s="211"/>
      <c r="C17" s="213"/>
      <c r="D17" s="35" t="s">
        <v>99</v>
      </c>
      <c r="E17" s="36">
        <f>IFERROR(aurora_data!D737,0)</f>
        <v>0</v>
      </c>
      <c r="F17" s="62">
        <f>IFERROR(aurora_data!E737,0)</f>
        <v>0</v>
      </c>
      <c r="G17" s="62">
        <f>IFERROR(aurora_data!F737,0)</f>
        <v>0</v>
      </c>
      <c r="H17" s="62">
        <f>IFERROR(aurora_data!G737,0)</f>
        <v>0</v>
      </c>
      <c r="I17" s="63">
        <f>IFERROR(aurora_data!H737,0)</f>
        <v>0</v>
      </c>
      <c r="J17" s="36">
        <f>IFERROR(aurora_data!I737,0)</f>
        <v>0</v>
      </c>
      <c r="K17" s="62">
        <f>IFERROR(aurora_data!J737,0)</f>
        <v>0</v>
      </c>
      <c r="L17" s="62">
        <f>IFERROR(aurora_data!K737,0)</f>
        <v>0</v>
      </c>
      <c r="M17" s="62">
        <f>IFERROR(aurora_data!L737,0)</f>
        <v>0</v>
      </c>
      <c r="N17" s="63">
        <f>IFERROR(aurora_data!M737,0)</f>
        <v>0</v>
      </c>
      <c r="O17" s="36">
        <f>IFERROR(aurora_data!N737,0)</f>
        <v>0</v>
      </c>
      <c r="P17" s="62">
        <f>IFERROR(aurora_data!O737,0)</f>
        <v>0</v>
      </c>
      <c r="Q17" s="62">
        <f>IFERROR(aurora_data!P737,0)</f>
        <v>0</v>
      </c>
      <c r="R17" s="63">
        <f>IFERROR(aurora_data!Q737,0)</f>
        <v>0</v>
      </c>
      <c r="S17" s="62">
        <f>IFERROR(aurora_data!R737,0)</f>
        <v>0</v>
      </c>
      <c r="T17" s="62">
        <f>IFERROR(aurora_data!S737,0)</f>
        <v>0</v>
      </c>
      <c r="U17" s="63">
        <f>IFERROR(aurora_data!T737,0)</f>
        <v>0</v>
      </c>
      <c r="V17" s="64" t="s">
        <v>95</v>
      </c>
      <c r="W17" s="36">
        <f>IFERROR(aurora_data!U737,0)</f>
        <v>0</v>
      </c>
      <c r="X17" s="71">
        <f t="shared" si="0"/>
        <v>0</v>
      </c>
      <c r="Y17" s="2"/>
    </row>
    <row r="18" spans="1:25" customFormat="1" ht="16.5" thickBot="1">
      <c r="A18" s="2"/>
      <c r="B18" s="211"/>
      <c r="C18" s="213"/>
      <c r="D18" s="37" t="s">
        <v>64</v>
      </c>
      <c r="E18" s="59">
        <f>IFERROR(aurora_data!D738,0)</f>
        <v>0</v>
      </c>
      <c r="F18" s="65">
        <f>IFERROR(aurora_data!E738,0)</f>
        <v>0</v>
      </c>
      <c r="G18" s="65">
        <f>IFERROR(aurora_data!F738,0)</f>
        <v>0</v>
      </c>
      <c r="H18" s="65">
        <f>IFERROR(aurora_data!G738,0)</f>
        <v>0</v>
      </c>
      <c r="I18" s="66">
        <f>IFERROR(aurora_data!H738,0)</f>
        <v>1</v>
      </c>
      <c r="J18" s="59">
        <f>IFERROR(aurora_data!I738,0)</f>
        <v>0</v>
      </c>
      <c r="K18" s="65">
        <f>IFERROR(aurora_data!J738,0)</f>
        <v>0</v>
      </c>
      <c r="L18" s="65">
        <f>IFERROR(aurora_data!K738,0)</f>
        <v>0</v>
      </c>
      <c r="M18" s="65">
        <f>IFERROR(aurora_data!L738,0)</f>
        <v>0</v>
      </c>
      <c r="N18" s="66">
        <f>IFERROR(aurora_data!M738,0)</f>
        <v>1</v>
      </c>
      <c r="O18" s="59">
        <f>IFERROR(aurora_data!N738,0)</f>
        <v>0</v>
      </c>
      <c r="P18" s="65">
        <f>IFERROR(aurora_data!O738,0)</f>
        <v>0</v>
      </c>
      <c r="Q18" s="65">
        <f>IFERROR(aurora_data!P738,0)</f>
        <v>0</v>
      </c>
      <c r="R18" s="66">
        <f>IFERROR(aurora_data!Q738,0)</f>
        <v>1</v>
      </c>
      <c r="S18" s="65">
        <f>IFERROR(aurora_data!R738,0)</f>
        <v>0</v>
      </c>
      <c r="T18" s="65">
        <f>IFERROR(aurora_data!S738,0)</f>
        <v>1</v>
      </c>
      <c r="U18" s="66">
        <f>IFERROR(aurora_data!T738,0)</f>
        <v>0</v>
      </c>
      <c r="V18" s="67" t="s">
        <v>95</v>
      </c>
      <c r="W18" s="59">
        <f>IFERROR(aurora_data!U738,0)</f>
        <v>1</v>
      </c>
      <c r="X18" s="72">
        <f t="shared" si="0"/>
        <v>0.14285714285714285</v>
      </c>
      <c r="Y18" s="2"/>
    </row>
    <row r="19" spans="1:25" customFormat="1" ht="16.5" thickBot="1">
      <c r="A19" s="2"/>
      <c r="B19" s="211"/>
      <c r="C19" s="213"/>
      <c r="D19" s="38" t="s">
        <v>100</v>
      </c>
      <c r="E19" s="60">
        <f>IFERROR(aurora_data!D739,0)</f>
        <v>0</v>
      </c>
      <c r="F19" s="68">
        <f>IFERROR(aurora_data!E739,0)</f>
        <v>0</v>
      </c>
      <c r="G19" s="68">
        <f>IFERROR(aurora_data!F739,0)</f>
        <v>0</v>
      </c>
      <c r="H19" s="68">
        <f>IFERROR(aurora_data!G739,0)</f>
        <v>0</v>
      </c>
      <c r="I19" s="69">
        <f>IFERROR(aurora_data!H739,0)</f>
        <v>0</v>
      </c>
      <c r="J19" s="60">
        <f>IFERROR(aurora_data!I739,0)</f>
        <v>0</v>
      </c>
      <c r="K19" s="68">
        <f>IFERROR(aurora_data!J739,0)</f>
        <v>0</v>
      </c>
      <c r="L19" s="68">
        <f>IFERROR(aurora_data!K739,0)</f>
        <v>0</v>
      </c>
      <c r="M19" s="68">
        <f>IFERROR(aurora_data!L739,0)</f>
        <v>0</v>
      </c>
      <c r="N19" s="69">
        <f>IFERROR(aurora_data!M739,0)</f>
        <v>0</v>
      </c>
      <c r="O19" s="60">
        <f>IFERROR(aurora_data!N739,0)</f>
        <v>0</v>
      </c>
      <c r="P19" s="68">
        <f>IFERROR(aurora_data!O739,0)</f>
        <v>0</v>
      </c>
      <c r="Q19" s="68">
        <f>IFERROR(aurora_data!P739,0)</f>
        <v>0</v>
      </c>
      <c r="R19" s="69">
        <f>IFERROR(aurora_data!Q739,0)</f>
        <v>0</v>
      </c>
      <c r="S19" s="68">
        <f>IFERROR(aurora_data!R739,0)</f>
        <v>0</v>
      </c>
      <c r="T19" s="68">
        <f>IFERROR(aurora_data!S739,0)</f>
        <v>0</v>
      </c>
      <c r="U19" s="74">
        <f>IFERROR(aurora_data!T739,0)</f>
        <v>0</v>
      </c>
      <c r="V19" s="75" t="s">
        <v>95</v>
      </c>
      <c r="W19" s="60">
        <f>IFERROR(aurora_data!U739,0)</f>
        <v>0</v>
      </c>
      <c r="X19" s="73">
        <f t="shared" si="0"/>
        <v>0</v>
      </c>
      <c r="Y19" s="2"/>
    </row>
    <row r="20" spans="1:25" customFormat="1" ht="15.75" customHeight="1">
      <c r="A20" s="2"/>
      <c r="B20" s="206" t="s">
        <v>94</v>
      </c>
      <c r="C20" s="208" t="s">
        <v>55</v>
      </c>
      <c r="D20" s="34" t="s">
        <v>71</v>
      </c>
      <c r="E20" s="39">
        <f>IFERROR(aurora_data!D740,0)</f>
        <v>0</v>
      </c>
      <c r="F20" s="40">
        <f>IFERROR(aurora_data!E740,0)</f>
        <v>0</v>
      </c>
      <c r="G20" s="40">
        <f>IFERROR(aurora_data!F740,0)</f>
        <v>0</v>
      </c>
      <c r="H20" s="40">
        <f>IFERROR(aurora_data!G740,0)</f>
        <v>0</v>
      </c>
      <c r="I20" s="41">
        <f>IFERROR(aurora_data!H740,0)</f>
        <v>0</v>
      </c>
      <c r="J20" s="39">
        <f>IFERROR(aurora_data!I740,0)</f>
        <v>0</v>
      </c>
      <c r="K20" s="40">
        <f>IFERROR(aurora_data!J740,0)</f>
        <v>0</v>
      </c>
      <c r="L20" s="40">
        <f>IFERROR(aurora_data!K740,0)</f>
        <v>0</v>
      </c>
      <c r="M20" s="40">
        <f>IFERROR(aurora_data!L740,0)</f>
        <v>0</v>
      </c>
      <c r="N20" s="41">
        <f>IFERROR(aurora_data!M740,0)</f>
        <v>0</v>
      </c>
      <c r="O20" s="39">
        <f>IFERROR(aurora_data!N740,0)</f>
        <v>0</v>
      </c>
      <c r="P20" s="40">
        <f>IFERROR(aurora_data!O740,0)</f>
        <v>0</v>
      </c>
      <c r="Q20" s="40">
        <f>IFERROR(aurora_data!P740,0)</f>
        <v>0</v>
      </c>
      <c r="R20" s="41">
        <f>IFERROR(aurora_data!Q740,0)</f>
        <v>0</v>
      </c>
      <c r="S20" s="40">
        <f>IFERROR(aurora_data!R740,0)</f>
        <v>0</v>
      </c>
      <c r="T20" s="40">
        <f>IFERROR(aurora_data!S740,0)</f>
        <v>0</v>
      </c>
      <c r="U20" s="41">
        <f>IFERROR(aurora_data!T740,0)</f>
        <v>0</v>
      </c>
      <c r="V20" s="61" t="s">
        <v>95</v>
      </c>
      <c r="W20" s="39">
        <f>IFERROR(aurora_data!U740,0)</f>
        <v>7</v>
      </c>
      <c r="X20" s="70">
        <f>IFERROR(W20/$W$20,0)</f>
        <v>1</v>
      </c>
      <c r="Y20" s="2"/>
    </row>
    <row r="21" spans="1:25" customFormat="1" ht="15.75" customHeight="1">
      <c r="A21" s="2"/>
      <c r="B21" s="207"/>
      <c r="C21" s="209"/>
      <c r="D21" s="35" t="s">
        <v>96</v>
      </c>
      <c r="E21" s="36">
        <f>IFERROR(aurora_data!D741,0)</f>
        <v>0</v>
      </c>
      <c r="F21" s="62">
        <f>IFERROR(aurora_data!E741,0)</f>
        <v>0</v>
      </c>
      <c r="G21" s="62">
        <f>IFERROR(aurora_data!F741,0)</f>
        <v>0</v>
      </c>
      <c r="H21" s="62">
        <f>IFERROR(aurora_data!G741,0)</f>
        <v>0</v>
      </c>
      <c r="I21" s="63">
        <f>IFERROR(aurora_data!H741,0)</f>
        <v>1</v>
      </c>
      <c r="J21" s="36">
        <f>IFERROR(aurora_data!I741,0)</f>
        <v>0</v>
      </c>
      <c r="K21" s="62">
        <f>IFERROR(aurora_data!J741,0)</f>
        <v>0</v>
      </c>
      <c r="L21" s="62">
        <f>IFERROR(aurora_data!K741,0)</f>
        <v>0</v>
      </c>
      <c r="M21" s="62">
        <f>IFERROR(aurora_data!L741,0)</f>
        <v>0</v>
      </c>
      <c r="N21" s="63">
        <f>IFERROR(aurora_data!M741,0)</f>
        <v>1</v>
      </c>
      <c r="O21" s="36">
        <f>IFERROR(aurora_data!N741,0)</f>
        <v>0</v>
      </c>
      <c r="P21" s="62">
        <f>IFERROR(aurora_data!O741,0)</f>
        <v>0</v>
      </c>
      <c r="Q21" s="62">
        <f>IFERROR(aurora_data!P741,0)</f>
        <v>0</v>
      </c>
      <c r="R21" s="63">
        <f>IFERROR(aurora_data!Q741,0)</f>
        <v>1</v>
      </c>
      <c r="S21" s="62">
        <f>IFERROR(aurora_data!R741,0)</f>
        <v>0</v>
      </c>
      <c r="T21" s="62">
        <f>IFERROR(aurora_data!S741,0)</f>
        <v>1</v>
      </c>
      <c r="U21" s="63">
        <f>IFERROR(aurora_data!T741,0)</f>
        <v>0</v>
      </c>
      <c r="V21" s="64" t="s">
        <v>95</v>
      </c>
      <c r="W21" s="36">
        <f>IFERROR(aurora_data!U741,0)</f>
        <v>1</v>
      </c>
      <c r="X21" s="71">
        <f t="shared" ref="X21:X27" si="1">IFERROR(W21/$W$20,0)</f>
        <v>0.14285714285714285</v>
      </c>
      <c r="Y21" s="2"/>
    </row>
    <row r="22" spans="1:25" customFormat="1" ht="15.75" customHeight="1">
      <c r="A22" s="2"/>
      <c r="B22" s="207"/>
      <c r="C22" s="209"/>
      <c r="D22" s="35" t="s">
        <v>60</v>
      </c>
      <c r="E22" s="36">
        <f>IFERROR(aurora_data!D742,0)</f>
        <v>0</v>
      </c>
      <c r="F22" s="62">
        <f>IFERROR(aurora_data!E742,0)</f>
        <v>0</v>
      </c>
      <c r="G22" s="62">
        <f>IFERROR(aurora_data!F742,0)</f>
        <v>0</v>
      </c>
      <c r="H22" s="62">
        <f>IFERROR(aurora_data!G742,0)</f>
        <v>0</v>
      </c>
      <c r="I22" s="63">
        <f>IFERROR(aurora_data!H742,0)</f>
        <v>0</v>
      </c>
      <c r="J22" s="36">
        <f>IFERROR(aurora_data!I742,0)</f>
        <v>0</v>
      </c>
      <c r="K22" s="62">
        <f>IFERROR(aurora_data!J742,0)</f>
        <v>0</v>
      </c>
      <c r="L22" s="62">
        <f>IFERROR(aurora_data!K742,0)</f>
        <v>0</v>
      </c>
      <c r="M22" s="62">
        <f>IFERROR(aurora_data!L742,0)</f>
        <v>0</v>
      </c>
      <c r="N22" s="63">
        <f>IFERROR(aurora_data!M742,0)</f>
        <v>0</v>
      </c>
      <c r="O22" s="36">
        <f>IFERROR(aurora_data!N742,0)</f>
        <v>0</v>
      </c>
      <c r="P22" s="62">
        <f>IFERROR(aurora_data!O742,0)</f>
        <v>0</v>
      </c>
      <c r="Q22" s="62">
        <f>IFERROR(aurora_data!P742,0)</f>
        <v>0</v>
      </c>
      <c r="R22" s="63">
        <f>IFERROR(aurora_data!Q742,0)</f>
        <v>0</v>
      </c>
      <c r="S22" s="62">
        <f>IFERROR(aurora_data!R742,0)</f>
        <v>0</v>
      </c>
      <c r="T22" s="62">
        <f>IFERROR(aurora_data!S742,0)</f>
        <v>0</v>
      </c>
      <c r="U22" s="63">
        <f>IFERROR(aurora_data!T742,0)</f>
        <v>0</v>
      </c>
      <c r="V22" s="64" t="s">
        <v>95</v>
      </c>
      <c r="W22" s="36">
        <f>IFERROR(aurora_data!U742,0)</f>
        <v>0</v>
      </c>
      <c r="X22" s="71">
        <f t="shared" si="1"/>
        <v>0</v>
      </c>
      <c r="Y22" s="2"/>
    </row>
    <row r="23" spans="1:25" customFormat="1" ht="15.75" customHeight="1">
      <c r="A23" s="2"/>
      <c r="B23" s="207"/>
      <c r="C23" s="209"/>
      <c r="D23" s="35" t="s">
        <v>97</v>
      </c>
      <c r="E23" s="36">
        <f>IFERROR(aurora_data!D743,0)</f>
        <v>0</v>
      </c>
      <c r="F23" s="62">
        <f>IFERROR(aurora_data!E743,0)</f>
        <v>0</v>
      </c>
      <c r="G23" s="62">
        <f>IFERROR(aurora_data!F743,0)</f>
        <v>0</v>
      </c>
      <c r="H23" s="62">
        <f>IFERROR(aurora_data!G743,0)</f>
        <v>0</v>
      </c>
      <c r="I23" s="63">
        <f>IFERROR(aurora_data!H743,0)</f>
        <v>0</v>
      </c>
      <c r="J23" s="36">
        <f>IFERROR(aurora_data!I743,0)</f>
        <v>0</v>
      </c>
      <c r="K23" s="62">
        <f>IFERROR(aurora_data!J743,0)</f>
        <v>0</v>
      </c>
      <c r="L23" s="62">
        <f>IFERROR(aurora_data!K743,0)</f>
        <v>0</v>
      </c>
      <c r="M23" s="62">
        <f>IFERROR(aurora_data!L743,0)</f>
        <v>0</v>
      </c>
      <c r="N23" s="63">
        <f>IFERROR(aurora_data!M743,0)</f>
        <v>0</v>
      </c>
      <c r="O23" s="36">
        <f>IFERROR(aurora_data!N743,0)</f>
        <v>0</v>
      </c>
      <c r="P23" s="62">
        <f>IFERROR(aurora_data!O743,0)</f>
        <v>0</v>
      </c>
      <c r="Q23" s="62">
        <f>IFERROR(aurora_data!P743,0)</f>
        <v>0</v>
      </c>
      <c r="R23" s="63">
        <f>IFERROR(aurora_data!Q743,0)</f>
        <v>0</v>
      </c>
      <c r="S23" s="62">
        <f>IFERROR(aurora_data!R743,0)</f>
        <v>0</v>
      </c>
      <c r="T23" s="62">
        <f>IFERROR(aurora_data!S743,0)</f>
        <v>0</v>
      </c>
      <c r="U23" s="63">
        <f>IFERROR(aurora_data!T743,0)</f>
        <v>0</v>
      </c>
      <c r="V23" s="64" t="s">
        <v>95</v>
      </c>
      <c r="W23" s="36">
        <f>IFERROR(aurora_data!U743,0)</f>
        <v>0</v>
      </c>
      <c r="X23" s="71">
        <f t="shared" si="1"/>
        <v>0</v>
      </c>
      <c r="Y23" s="2"/>
    </row>
    <row r="24" spans="1:25" customFormat="1" ht="16.5" customHeight="1">
      <c r="A24" s="2"/>
      <c r="B24" s="207"/>
      <c r="C24" s="209"/>
      <c r="D24" s="35" t="s">
        <v>98</v>
      </c>
      <c r="E24" s="36">
        <f>IFERROR(aurora_data!D744,0)</f>
        <v>0</v>
      </c>
      <c r="F24" s="62">
        <f>IFERROR(aurora_data!E744,0)</f>
        <v>0</v>
      </c>
      <c r="G24" s="62">
        <f>IFERROR(aurora_data!F744,0)</f>
        <v>0</v>
      </c>
      <c r="H24" s="62">
        <f>IFERROR(aurora_data!G744,0)</f>
        <v>0</v>
      </c>
      <c r="I24" s="63">
        <f>IFERROR(aurora_data!H744,0)</f>
        <v>0</v>
      </c>
      <c r="J24" s="36">
        <f>IFERROR(aurora_data!I744,0)</f>
        <v>0</v>
      </c>
      <c r="K24" s="62">
        <f>IFERROR(aurora_data!J744,0)</f>
        <v>0</v>
      </c>
      <c r="L24" s="62">
        <f>IFERROR(aurora_data!K744,0)</f>
        <v>0</v>
      </c>
      <c r="M24" s="62">
        <f>IFERROR(aurora_data!L744,0)</f>
        <v>0</v>
      </c>
      <c r="N24" s="63">
        <f>IFERROR(aurora_data!M744,0)</f>
        <v>0</v>
      </c>
      <c r="O24" s="36">
        <f>IFERROR(aurora_data!N744,0)</f>
        <v>0</v>
      </c>
      <c r="P24" s="62">
        <f>IFERROR(aurora_data!O744,0)</f>
        <v>0</v>
      </c>
      <c r="Q24" s="62">
        <f>IFERROR(aurora_data!P744,0)</f>
        <v>0</v>
      </c>
      <c r="R24" s="63">
        <f>IFERROR(aurora_data!Q744,0)</f>
        <v>0</v>
      </c>
      <c r="S24" s="62">
        <f>IFERROR(aurora_data!R744,0)</f>
        <v>0</v>
      </c>
      <c r="T24" s="62">
        <f>IFERROR(aurora_data!S744,0)</f>
        <v>0</v>
      </c>
      <c r="U24" s="63">
        <f>IFERROR(aurora_data!T744,0)</f>
        <v>0</v>
      </c>
      <c r="V24" s="64" t="s">
        <v>95</v>
      </c>
      <c r="W24" s="36">
        <f>IFERROR(aurora_data!U744,0)</f>
        <v>0</v>
      </c>
      <c r="X24" s="71">
        <f t="shared" si="1"/>
        <v>0</v>
      </c>
      <c r="Y24" s="2"/>
    </row>
    <row r="25" spans="1:25" customFormat="1" ht="16.5" customHeight="1" thickBot="1">
      <c r="A25" s="2"/>
      <c r="B25" s="207"/>
      <c r="C25" s="209"/>
      <c r="D25" s="35" t="s">
        <v>99</v>
      </c>
      <c r="E25" s="36">
        <f>IFERROR(aurora_data!D745,0)</f>
        <v>0</v>
      </c>
      <c r="F25" s="62">
        <f>IFERROR(aurora_data!E745,0)</f>
        <v>0</v>
      </c>
      <c r="G25" s="62">
        <f>IFERROR(aurora_data!F745,0)</f>
        <v>0</v>
      </c>
      <c r="H25" s="62">
        <f>IFERROR(aurora_data!G745,0)</f>
        <v>0</v>
      </c>
      <c r="I25" s="63">
        <f>IFERROR(aurora_data!H745,0)</f>
        <v>0</v>
      </c>
      <c r="J25" s="36">
        <f>IFERROR(aurora_data!I745,0)</f>
        <v>0</v>
      </c>
      <c r="K25" s="62">
        <f>IFERROR(aurora_data!J745,0)</f>
        <v>0</v>
      </c>
      <c r="L25" s="62">
        <f>IFERROR(aurora_data!K745,0)</f>
        <v>0</v>
      </c>
      <c r="M25" s="62">
        <f>IFERROR(aurora_data!L745,0)</f>
        <v>0</v>
      </c>
      <c r="N25" s="63">
        <f>IFERROR(aurora_data!M745,0)</f>
        <v>0</v>
      </c>
      <c r="O25" s="36">
        <f>IFERROR(aurora_data!N745,0)</f>
        <v>0</v>
      </c>
      <c r="P25" s="62">
        <f>IFERROR(aurora_data!O745,0)</f>
        <v>0</v>
      </c>
      <c r="Q25" s="62">
        <f>IFERROR(aurora_data!P745,0)</f>
        <v>0</v>
      </c>
      <c r="R25" s="63">
        <f>IFERROR(aurora_data!Q745,0)</f>
        <v>0</v>
      </c>
      <c r="S25" s="62">
        <f>IFERROR(aurora_data!R745,0)</f>
        <v>0</v>
      </c>
      <c r="T25" s="62">
        <f>IFERROR(aurora_data!S745,0)</f>
        <v>0</v>
      </c>
      <c r="U25" s="63">
        <f>IFERROR(aurora_data!T745,0)</f>
        <v>0</v>
      </c>
      <c r="V25" s="64" t="s">
        <v>95</v>
      </c>
      <c r="W25" s="36">
        <f>IFERROR(aurora_data!U745,0)</f>
        <v>0</v>
      </c>
      <c r="X25" s="71">
        <f t="shared" si="1"/>
        <v>0</v>
      </c>
      <c r="Y25" s="2"/>
    </row>
    <row r="26" spans="1:25" customFormat="1" ht="16.5" customHeight="1" thickBot="1">
      <c r="A26" s="2"/>
      <c r="B26" s="207"/>
      <c r="C26" s="209"/>
      <c r="D26" s="37" t="s">
        <v>64</v>
      </c>
      <c r="E26" s="59">
        <f>IFERROR(aurora_data!D746,0)</f>
        <v>0</v>
      </c>
      <c r="F26" s="65">
        <f>IFERROR(aurora_data!E746,0)</f>
        <v>0</v>
      </c>
      <c r="G26" s="65">
        <f>IFERROR(aurora_data!F746,0)</f>
        <v>0</v>
      </c>
      <c r="H26" s="65">
        <f>IFERROR(aurora_data!G746,0)</f>
        <v>0</v>
      </c>
      <c r="I26" s="66">
        <f>IFERROR(aurora_data!H746,0)</f>
        <v>1</v>
      </c>
      <c r="J26" s="59">
        <f>IFERROR(aurora_data!I746,0)</f>
        <v>0</v>
      </c>
      <c r="K26" s="65">
        <f>IFERROR(aurora_data!J746,0)</f>
        <v>0</v>
      </c>
      <c r="L26" s="65">
        <f>IFERROR(aurora_data!K746,0)</f>
        <v>0</v>
      </c>
      <c r="M26" s="65">
        <f>IFERROR(aurora_data!L746,0)</f>
        <v>0</v>
      </c>
      <c r="N26" s="66">
        <f>IFERROR(aurora_data!M746,0)</f>
        <v>1</v>
      </c>
      <c r="O26" s="59">
        <f>IFERROR(aurora_data!N746,0)</f>
        <v>0</v>
      </c>
      <c r="P26" s="65">
        <f>IFERROR(aurora_data!O746,0)</f>
        <v>0</v>
      </c>
      <c r="Q26" s="65">
        <f>IFERROR(aurora_data!P746,0)</f>
        <v>0</v>
      </c>
      <c r="R26" s="66">
        <f>IFERROR(aurora_data!Q746,0)</f>
        <v>1</v>
      </c>
      <c r="S26" s="65">
        <f>IFERROR(aurora_data!R746,0)</f>
        <v>0</v>
      </c>
      <c r="T26" s="65">
        <f>IFERROR(aurora_data!S746,0)</f>
        <v>1</v>
      </c>
      <c r="U26" s="66">
        <f>IFERROR(aurora_data!T746,0)</f>
        <v>0</v>
      </c>
      <c r="V26" s="67" t="s">
        <v>95</v>
      </c>
      <c r="W26" s="59">
        <f>IFERROR(aurora_data!U746,0)</f>
        <v>1</v>
      </c>
      <c r="X26" s="72">
        <f t="shared" si="1"/>
        <v>0.14285714285714285</v>
      </c>
      <c r="Y26" s="2"/>
    </row>
    <row r="27" spans="1:25" customFormat="1" ht="16.5" customHeight="1" thickBot="1">
      <c r="A27" s="2"/>
      <c r="B27" s="207"/>
      <c r="C27" s="209"/>
      <c r="D27" s="38" t="s">
        <v>100</v>
      </c>
      <c r="E27" s="60">
        <f>IFERROR(aurora_data!D747,0)</f>
        <v>0</v>
      </c>
      <c r="F27" s="68">
        <f>IFERROR(aurora_data!E747,0)</f>
        <v>0</v>
      </c>
      <c r="G27" s="68">
        <f>IFERROR(aurora_data!F747,0)</f>
        <v>0</v>
      </c>
      <c r="H27" s="68">
        <f>IFERROR(aurora_data!G747,0)</f>
        <v>0</v>
      </c>
      <c r="I27" s="69">
        <f>IFERROR(aurora_data!H747,0)</f>
        <v>0</v>
      </c>
      <c r="J27" s="60">
        <f>IFERROR(aurora_data!I747,0)</f>
        <v>0</v>
      </c>
      <c r="K27" s="68">
        <f>IFERROR(aurora_data!J747,0)</f>
        <v>0</v>
      </c>
      <c r="L27" s="68">
        <f>IFERROR(aurora_data!K747,0)</f>
        <v>0</v>
      </c>
      <c r="M27" s="68">
        <f>IFERROR(aurora_data!L747,0)</f>
        <v>0</v>
      </c>
      <c r="N27" s="69">
        <f>IFERROR(aurora_data!M747,0)</f>
        <v>0</v>
      </c>
      <c r="O27" s="60">
        <f>IFERROR(aurora_data!N747,0)</f>
        <v>0</v>
      </c>
      <c r="P27" s="68">
        <f>IFERROR(aurora_data!O747,0)</f>
        <v>0</v>
      </c>
      <c r="Q27" s="68">
        <f>IFERROR(aurora_data!P747,0)</f>
        <v>0</v>
      </c>
      <c r="R27" s="69">
        <f>IFERROR(aurora_data!Q747,0)</f>
        <v>0</v>
      </c>
      <c r="S27" s="68">
        <f>IFERROR(aurora_data!R747,0)</f>
        <v>0</v>
      </c>
      <c r="T27" s="68">
        <f>IFERROR(aurora_data!S747,0)</f>
        <v>0</v>
      </c>
      <c r="U27" s="74">
        <f>IFERROR(aurora_data!T747,0)</f>
        <v>0</v>
      </c>
      <c r="V27" s="75" t="s">
        <v>95</v>
      </c>
      <c r="W27" s="60">
        <f>IFERROR(aurora_data!U747,0)</f>
        <v>0</v>
      </c>
      <c r="X27" s="73">
        <f t="shared" si="1"/>
        <v>0</v>
      </c>
      <c r="Y27" s="2"/>
    </row>
    <row r="28" spans="1:25" ht="16.5" customHeight="1">
      <c r="B28" s="97"/>
      <c r="C28" s="97"/>
    </row>
  </sheetData>
  <mergeCells count="26">
    <mergeCell ref="C12:C19"/>
    <mergeCell ref="B20:B27"/>
    <mergeCell ref="C20:C27"/>
    <mergeCell ref="B8:D8"/>
    <mergeCell ref="E8:U8"/>
    <mergeCell ref="B12:B19"/>
    <mergeCell ref="W8:X11"/>
    <mergeCell ref="B9:C9"/>
    <mergeCell ref="E9:I9"/>
    <mergeCell ref="J9:N9"/>
    <mergeCell ref="O9:R9"/>
    <mergeCell ref="S9:U9"/>
    <mergeCell ref="B10:B11"/>
    <mergeCell ref="E10:I10"/>
    <mergeCell ref="J10:N10"/>
    <mergeCell ref="O10:R10"/>
    <mergeCell ref="S10:U10"/>
    <mergeCell ref="A1:C1"/>
    <mergeCell ref="D1:H1"/>
    <mergeCell ref="A2:C2"/>
    <mergeCell ref="D2:H2"/>
    <mergeCell ref="K2:X6"/>
    <mergeCell ref="D3:E3"/>
    <mergeCell ref="F3:H3"/>
    <mergeCell ref="D5:G5"/>
    <mergeCell ref="D6:H6"/>
  </mergeCells>
  <conditionalFormatting sqref="E13:W13">
    <cfRule type="expression" dxfId="215" priority="2">
      <formula>ROUND(E$13,0) &gt;= ROUND(E$12,0)</formula>
    </cfRule>
  </conditionalFormatting>
  <conditionalFormatting sqref="E18:W18">
    <cfRule type="expression" dxfId="214" priority="3">
      <formula>ROUND(E$18,0) &lt; ROUND(E$12,0)</formula>
    </cfRule>
  </conditionalFormatting>
  <conditionalFormatting sqref="E21:W21">
    <cfRule type="expression" dxfId="213" priority="1">
      <formula>ROUND(E$21,0) &gt;= ROUND(E$20,0)</formula>
    </cfRule>
  </conditionalFormatting>
  <conditionalFormatting sqref="E26:W26">
    <cfRule type="expression" dxfId="212" priority="4">
      <formula>ROUND(E$26,0) &lt; ROUND(E$20,0)</formula>
    </cfRule>
  </conditionalFormatting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18F0CD-0C7F-44F5-9D55-57B9666A83AB}">
  <sheetPr>
    <tabColor rgb="FF0070C0"/>
  </sheetPr>
  <dimension ref="A1:Y28"/>
  <sheetViews>
    <sheetView zoomScale="85" zoomScaleNormal="85" workbookViewId="0">
      <selection sqref="A1:C1"/>
    </sheetView>
  </sheetViews>
  <sheetFormatPr defaultColWidth="2.625" defaultRowHeight="15.75"/>
  <cols>
    <col min="1" max="1" width="1.375" style="2" customWidth="1"/>
    <col min="2" max="2" width="10.875" style="2" customWidth="1"/>
    <col min="3" max="3" width="15.625" style="2" customWidth="1"/>
    <col min="4" max="4" width="22.625" style="4" customWidth="1"/>
    <col min="5" max="8" width="7.625" style="4" customWidth="1"/>
    <col min="9" max="9" width="6.625" style="4" hidden="1" customWidth="1"/>
    <col min="10" max="21" width="7.625" style="4" customWidth="1"/>
    <col min="22" max="22" width="0.625" style="2" customWidth="1"/>
    <col min="23" max="24" width="5.875" style="2" customWidth="1"/>
    <col min="25" max="25" width="12.5" style="2" customWidth="1"/>
    <col min="26" max="26" width="2.625" style="2" customWidth="1"/>
    <col min="27" max="64" width="7.625" style="2" customWidth="1"/>
    <col min="65" max="16323" width="2.625" style="2"/>
    <col min="16324" max="16324" width="1.375" style="2" customWidth="1"/>
    <col min="16325" max="16325" width="2.625" style="2" customWidth="1"/>
    <col min="16326" max="16326" width="3.5" style="2" customWidth="1"/>
    <col min="16327" max="16327" width="1" style="2" customWidth="1"/>
    <col min="16328" max="16328" width="0.875" style="2" customWidth="1"/>
    <col min="16329" max="16329" width="2.375" style="2" customWidth="1"/>
    <col min="16330" max="16384" width="20.375" style="2" customWidth="1"/>
  </cols>
  <sheetData>
    <row r="1" spans="1:25" customFormat="1" ht="25.5" customHeight="1">
      <c r="A1" s="151" t="s">
        <v>77</v>
      </c>
      <c r="B1" s="152"/>
      <c r="C1" s="153"/>
      <c r="D1" s="154" t="s">
        <v>78</v>
      </c>
      <c r="E1" s="155"/>
      <c r="F1" s="155"/>
      <c r="G1" s="155"/>
      <c r="H1" s="156"/>
      <c r="I1" s="98"/>
      <c r="J1" s="88"/>
      <c r="K1" s="100"/>
      <c r="L1" s="100"/>
      <c r="M1" s="100"/>
      <c r="N1" s="100" t="s">
        <v>79</v>
      </c>
      <c r="O1" s="100"/>
      <c r="P1" s="100"/>
      <c r="Q1" s="100"/>
      <c r="R1" s="100"/>
      <c r="S1" s="100"/>
      <c r="T1" s="100"/>
      <c r="U1" s="100"/>
      <c r="V1" s="100"/>
      <c r="W1" s="100"/>
      <c r="X1" s="106"/>
      <c r="Y1" s="108"/>
    </row>
    <row r="2" spans="1:25" customFormat="1" ht="31.5" customHeight="1">
      <c r="A2" s="157" t="s">
        <v>80</v>
      </c>
      <c r="B2" s="157"/>
      <c r="C2" s="158"/>
      <c r="D2" s="217" t="str">
        <f>_xlfn.CONCAT("Study Name: ","
OSEP – Multiple Disabilities - Digital")</f>
        <v>Study Name: 
OSEP – Multiple Disabilities - Digital</v>
      </c>
      <c r="E2" s="218"/>
      <c r="F2" s="218"/>
      <c r="G2" s="218"/>
      <c r="H2" s="219"/>
      <c r="I2" s="4"/>
      <c r="J2" s="4"/>
      <c r="K2" s="162" t="s">
        <v>81</v>
      </c>
      <c r="L2" s="163"/>
      <c r="M2" s="163"/>
      <c r="N2" s="163"/>
      <c r="O2" s="163"/>
      <c r="P2" s="163"/>
      <c r="Q2" s="163"/>
      <c r="R2" s="163"/>
      <c r="S2" s="163"/>
      <c r="T2" s="163"/>
      <c r="U2" s="163"/>
      <c r="V2" s="163"/>
      <c r="W2" s="163"/>
      <c r="X2" s="164"/>
      <c r="Y2" s="103"/>
    </row>
    <row r="3" spans="1:25" customFormat="1" ht="30.75" customHeight="1" thickBot="1">
      <c r="A3" s="2"/>
      <c r="B3" s="2"/>
      <c r="C3" s="2"/>
      <c r="D3" s="169" t="str">
        <f>_xlfn.CONCAT("Study Acronym: ","
OSEP_MD_D")</f>
        <v>Study Acronym: 
OSEP_MD_D</v>
      </c>
      <c r="E3" s="170"/>
      <c r="F3" s="171" t="s">
        <v>268</v>
      </c>
      <c r="G3" s="172"/>
      <c r="H3" s="173"/>
      <c r="I3" s="4"/>
      <c r="J3" s="4"/>
      <c r="K3" s="165"/>
      <c r="L3" s="163"/>
      <c r="M3" s="163"/>
      <c r="N3" s="163"/>
      <c r="O3" s="163"/>
      <c r="P3" s="163"/>
      <c r="Q3" s="163"/>
      <c r="R3" s="163"/>
      <c r="S3" s="163"/>
      <c r="T3" s="163"/>
      <c r="U3" s="163"/>
      <c r="V3" s="163"/>
      <c r="W3" s="163"/>
      <c r="X3" s="164"/>
      <c r="Y3" s="103"/>
    </row>
    <row r="4" spans="1:25" customFormat="1" ht="16.5" customHeight="1">
      <c r="A4" s="2"/>
      <c r="B4" s="24"/>
      <c r="C4" s="2"/>
      <c r="D4" s="2"/>
      <c r="E4" s="25"/>
      <c r="F4" s="25"/>
      <c r="G4" s="25"/>
      <c r="H4" s="25"/>
      <c r="I4" s="25"/>
      <c r="J4" s="25"/>
      <c r="K4" s="165"/>
      <c r="L4" s="163"/>
      <c r="M4" s="163"/>
      <c r="N4" s="163"/>
      <c r="O4" s="163"/>
      <c r="P4" s="163"/>
      <c r="Q4" s="163"/>
      <c r="R4" s="163"/>
      <c r="S4" s="163"/>
      <c r="T4" s="163"/>
      <c r="U4" s="163"/>
      <c r="V4" s="163"/>
      <c r="W4" s="163"/>
      <c r="X4" s="164"/>
      <c r="Y4" s="104"/>
    </row>
    <row r="5" spans="1:25" customFormat="1" ht="21.95" customHeight="1" thickBot="1">
      <c r="A5" s="2"/>
      <c r="B5" s="2"/>
      <c r="C5" s="102"/>
      <c r="D5" s="154" t="s">
        <v>82</v>
      </c>
      <c r="E5" s="155"/>
      <c r="F5" s="155"/>
      <c r="G5" s="155"/>
      <c r="H5" s="101"/>
      <c r="I5" s="98"/>
      <c r="J5" s="98"/>
      <c r="K5" s="165"/>
      <c r="L5" s="163"/>
      <c r="M5" s="163"/>
      <c r="N5" s="163"/>
      <c r="O5" s="163"/>
      <c r="P5" s="163"/>
      <c r="Q5" s="163"/>
      <c r="R5" s="163"/>
      <c r="S5" s="163"/>
      <c r="T5" s="163"/>
      <c r="U5" s="163"/>
      <c r="V5" s="163"/>
      <c r="W5" s="163"/>
      <c r="X5" s="164"/>
      <c r="Y5" s="105"/>
    </row>
    <row r="6" spans="1:25" customFormat="1" ht="60.95" customHeight="1" thickBot="1">
      <c r="A6" s="2"/>
      <c r="B6" s="2"/>
      <c r="C6" s="99"/>
      <c r="D6" s="214" t="s">
        <v>101</v>
      </c>
      <c r="E6" s="215"/>
      <c r="F6" s="215"/>
      <c r="G6" s="215"/>
      <c r="H6" s="216"/>
      <c r="I6" s="124"/>
      <c r="J6" s="125"/>
      <c r="K6" s="166"/>
      <c r="L6" s="167"/>
      <c r="M6" s="167"/>
      <c r="N6" s="167"/>
      <c r="O6" s="167"/>
      <c r="P6" s="167"/>
      <c r="Q6" s="167"/>
      <c r="R6" s="167"/>
      <c r="S6" s="167"/>
      <c r="T6" s="167"/>
      <c r="U6" s="167"/>
      <c r="V6" s="167"/>
      <c r="W6" s="167"/>
      <c r="X6" s="168"/>
      <c r="Y6" s="107"/>
    </row>
    <row r="7" spans="1:25" customFormat="1" ht="16.5" customHeight="1" thickBot="1">
      <c r="A7" s="2"/>
      <c r="B7" s="3"/>
      <c r="C7" s="26"/>
      <c r="D7" s="27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8"/>
      <c r="W7" s="3"/>
      <c r="X7" s="3"/>
      <c r="Y7" s="2"/>
    </row>
    <row r="8" spans="1:25" customFormat="1">
      <c r="A8" s="2"/>
      <c r="B8" s="177" t="str">
        <f>_xlfn.CONCAT("Last Refreshed at: ",aurora_data!V832)</f>
        <v>Last Refreshed at: 09/17/2026 @ 7:20 AM</v>
      </c>
      <c r="C8" s="178"/>
      <c r="D8" s="178"/>
      <c r="E8" s="179" t="s">
        <v>83</v>
      </c>
      <c r="F8" s="180"/>
      <c r="G8" s="180"/>
      <c r="H8" s="180"/>
      <c r="I8" s="180"/>
      <c r="J8" s="180"/>
      <c r="K8" s="180"/>
      <c r="L8" s="180"/>
      <c r="M8" s="180"/>
      <c r="N8" s="180"/>
      <c r="O8" s="180"/>
      <c r="P8" s="180"/>
      <c r="Q8" s="180"/>
      <c r="R8" s="180"/>
      <c r="S8" s="180"/>
      <c r="T8" s="180"/>
      <c r="U8" s="181"/>
      <c r="V8" s="44"/>
      <c r="W8" s="182" t="s">
        <v>84</v>
      </c>
      <c r="X8" s="183"/>
      <c r="Y8" s="2"/>
    </row>
    <row r="9" spans="1:25" customFormat="1" ht="16.5" customHeight="1" thickBot="1">
      <c r="A9" s="2"/>
      <c r="B9" s="188"/>
      <c r="C9" s="189"/>
      <c r="D9" s="29" t="s">
        <v>85</v>
      </c>
      <c r="E9" s="190" t="s">
        <v>86</v>
      </c>
      <c r="F9" s="191"/>
      <c r="G9" s="191"/>
      <c r="H9" s="191"/>
      <c r="I9" s="191"/>
      <c r="J9" s="192" t="s">
        <v>86</v>
      </c>
      <c r="K9" s="193"/>
      <c r="L9" s="193"/>
      <c r="M9" s="193"/>
      <c r="N9" s="193"/>
      <c r="O9" s="194" t="s">
        <v>86</v>
      </c>
      <c r="P9" s="195"/>
      <c r="Q9" s="195"/>
      <c r="R9" s="195"/>
      <c r="S9" s="196" t="s">
        <v>86</v>
      </c>
      <c r="T9" s="197"/>
      <c r="U9" s="197"/>
      <c r="V9" s="28"/>
      <c r="W9" s="184"/>
      <c r="X9" s="185"/>
      <c r="Y9" s="2"/>
    </row>
    <row r="10" spans="1:25" customFormat="1" ht="17.25" thickTop="1" thickBot="1">
      <c r="A10" s="2"/>
      <c r="B10" s="198" t="s">
        <v>87</v>
      </c>
      <c r="C10" s="30"/>
      <c r="D10" s="31"/>
      <c r="E10" s="199" t="s">
        <v>88</v>
      </c>
      <c r="F10" s="200"/>
      <c r="G10" s="200"/>
      <c r="H10" s="200"/>
      <c r="I10" s="201"/>
      <c r="J10" s="200" t="s">
        <v>89</v>
      </c>
      <c r="K10" s="200"/>
      <c r="L10" s="200"/>
      <c r="M10" s="200"/>
      <c r="N10" s="201"/>
      <c r="O10" s="202" t="s">
        <v>90</v>
      </c>
      <c r="P10" s="202"/>
      <c r="Q10" s="202"/>
      <c r="R10" s="202"/>
      <c r="S10" s="203" t="s">
        <v>91</v>
      </c>
      <c r="T10" s="204"/>
      <c r="U10" s="205"/>
      <c r="V10" s="32"/>
      <c r="W10" s="184"/>
      <c r="X10" s="185"/>
      <c r="Y10" s="2"/>
    </row>
    <row r="11" spans="1:25" customFormat="1" ht="17.25" thickTop="1" thickBot="1">
      <c r="A11" s="2"/>
      <c r="B11" s="198"/>
      <c r="C11" s="30" t="s">
        <v>35</v>
      </c>
      <c r="D11" s="33" t="s">
        <v>37</v>
      </c>
      <c r="E11" s="96">
        <v>1</v>
      </c>
      <c r="F11" s="94">
        <v>2</v>
      </c>
      <c r="G11" s="95" t="s">
        <v>40</v>
      </c>
      <c r="H11" s="95">
        <v>4</v>
      </c>
      <c r="I11" s="95">
        <v>5</v>
      </c>
      <c r="J11" s="89" t="s">
        <v>43</v>
      </c>
      <c r="K11" s="89" t="s">
        <v>44</v>
      </c>
      <c r="L11" s="89" t="s">
        <v>45</v>
      </c>
      <c r="M11" s="93" t="s">
        <v>92</v>
      </c>
      <c r="N11" s="93" t="s">
        <v>47</v>
      </c>
      <c r="O11" s="89" t="s">
        <v>48</v>
      </c>
      <c r="P11" s="89" t="s">
        <v>49</v>
      </c>
      <c r="Q11" s="89" t="s">
        <v>50</v>
      </c>
      <c r="R11" s="89" t="s">
        <v>51</v>
      </c>
      <c r="S11" s="90" t="s">
        <v>52</v>
      </c>
      <c r="T11" s="91" t="s">
        <v>53</v>
      </c>
      <c r="U11" s="92" t="s">
        <v>93</v>
      </c>
      <c r="V11" s="28"/>
      <c r="W11" s="186"/>
      <c r="X11" s="187"/>
      <c r="Y11" s="2"/>
    </row>
    <row r="12" spans="1:25" customFormat="1">
      <c r="A12" s="2"/>
      <c r="B12" s="210" t="s">
        <v>94</v>
      </c>
      <c r="C12" s="212" t="str">
        <f>aurora_data!A832</f>
        <v>06.00.00-16.11.30</v>
      </c>
      <c r="D12" s="34" t="s">
        <v>71</v>
      </c>
      <c r="E12" s="39">
        <f>IFERROR(aurora_data!D832,0)</f>
        <v>0</v>
      </c>
      <c r="F12" s="40">
        <f>IFERROR(aurora_data!E832,0)</f>
        <v>0</v>
      </c>
      <c r="G12" s="40">
        <f>IFERROR(aurora_data!F832,0)</f>
        <v>0</v>
      </c>
      <c r="H12" s="40">
        <f>IFERROR(aurora_data!G832,0)</f>
        <v>0</v>
      </c>
      <c r="I12" s="41">
        <f>IFERROR(aurora_data!H832,0)</f>
        <v>0</v>
      </c>
      <c r="J12" s="39">
        <f>IFERROR(aurora_data!I832,0)</f>
        <v>0</v>
      </c>
      <c r="K12" s="40">
        <f>IFERROR(aurora_data!J832,0)</f>
        <v>0</v>
      </c>
      <c r="L12" s="40">
        <f>IFERROR(aurora_data!K832,0)</f>
        <v>0</v>
      </c>
      <c r="M12" s="40">
        <f>IFERROR(aurora_data!L832,0)</f>
        <v>0</v>
      </c>
      <c r="N12" s="41">
        <f>IFERROR(aurora_data!M832,0)</f>
        <v>0</v>
      </c>
      <c r="O12" s="39">
        <f>IFERROR(aurora_data!N832,0)</f>
        <v>0</v>
      </c>
      <c r="P12" s="40">
        <f>IFERROR(aurora_data!O832,0)</f>
        <v>0</v>
      </c>
      <c r="Q12" s="40">
        <f>IFERROR(aurora_data!P832,0)</f>
        <v>0</v>
      </c>
      <c r="R12" s="41">
        <f>IFERROR(aurora_data!Q832,0)</f>
        <v>0</v>
      </c>
      <c r="S12" s="40">
        <f>IFERROR(aurora_data!R832,0)</f>
        <v>0</v>
      </c>
      <c r="T12" s="40">
        <f>IFERROR(aurora_data!S832,0)</f>
        <v>0</v>
      </c>
      <c r="U12" s="76">
        <f>IFERROR(aurora_data!T832,0)</f>
        <v>0</v>
      </c>
      <c r="V12" s="61" t="s">
        <v>95</v>
      </c>
      <c r="W12" s="39">
        <f>IFERROR(aurora_data!U832,0)</f>
        <v>2</v>
      </c>
      <c r="X12" s="70">
        <f>IFERROR(W12/$W$12,0)</f>
        <v>1</v>
      </c>
      <c r="Y12" s="2"/>
    </row>
    <row r="13" spans="1:25" customFormat="1">
      <c r="A13" s="2"/>
      <c r="B13" s="211"/>
      <c r="C13" s="213"/>
      <c r="D13" s="35" t="s">
        <v>96</v>
      </c>
      <c r="E13" s="110">
        <f>IFERROR(aurora_data!D833,0)</f>
        <v>0</v>
      </c>
      <c r="F13" s="62">
        <f>IFERROR(aurora_data!E833,0)</f>
        <v>0</v>
      </c>
      <c r="G13" s="62">
        <f>IFERROR(aurora_data!F833,0)</f>
        <v>0</v>
      </c>
      <c r="H13" s="62">
        <f>IFERROR(aurora_data!G833,0)</f>
        <v>0</v>
      </c>
      <c r="I13" s="63">
        <f>IFERROR(aurora_data!H833,0)</f>
        <v>0</v>
      </c>
      <c r="J13" s="36">
        <f>IFERROR(aurora_data!I833,0)</f>
        <v>0</v>
      </c>
      <c r="K13" s="62">
        <f>IFERROR(aurora_data!J833,0)</f>
        <v>0</v>
      </c>
      <c r="L13" s="62">
        <f>IFERROR(aurora_data!K833,0)</f>
        <v>0</v>
      </c>
      <c r="M13" s="62">
        <f>IFERROR(aurora_data!L833,0)</f>
        <v>0</v>
      </c>
      <c r="N13" s="63">
        <f>IFERROR(aurora_data!M833,0)</f>
        <v>0</v>
      </c>
      <c r="O13" s="36">
        <f>IFERROR(aurora_data!N833,0)</f>
        <v>0</v>
      </c>
      <c r="P13" s="62">
        <f>IFERROR(aurora_data!O833,0)</f>
        <v>0</v>
      </c>
      <c r="Q13" s="62">
        <f>IFERROR(aurora_data!P833,0)</f>
        <v>0</v>
      </c>
      <c r="R13" s="63">
        <f>IFERROR(aurora_data!Q833,0)</f>
        <v>0</v>
      </c>
      <c r="S13" s="62">
        <f>IFERROR(aurora_data!R833,0)</f>
        <v>0</v>
      </c>
      <c r="T13" s="62">
        <f>IFERROR(aurora_data!S833,0)</f>
        <v>0</v>
      </c>
      <c r="U13" s="63">
        <f>IFERROR(aurora_data!T833,0)</f>
        <v>0</v>
      </c>
      <c r="V13" s="64" t="s">
        <v>95</v>
      </c>
      <c r="W13" s="36">
        <f>IFERROR(aurora_data!U833,0)</f>
        <v>0</v>
      </c>
      <c r="X13" s="71">
        <f t="shared" ref="X13:X19" si="0">IFERROR(W13/$W$12,0)</f>
        <v>0</v>
      </c>
      <c r="Y13" s="2"/>
    </row>
    <row r="14" spans="1:25" customFormat="1">
      <c r="A14" s="2"/>
      <c r="B14" s="211"/>
      <c r="C14" s="213"/>
      <c r="D14" s="35" t="s">
        <v>60</v>
      </c>
      <c r="E14" s="110">
        <f>IFERROR(aurora_data!D834,0)</f>
        <v>0</v>
      </c>
      <c r="F14" s="62">
        <f>IFERROR(aurora_data!E834,0)</f>
        <v>0</v>
      </c>
      <c r="G14" s="62">
        <f>IFERROR(aurora_data!F834,0)</f>
        <v>0</v>
      </c>
      <c r="H14" s="62">
        <f>IFERROR(aurora_data!G834,0)</f>
        <v>0</v>
      </c>
      <c r="I14" s="63">
        <f>IFERROR(aurora_data!H834,0)</f>
        <v>0</v>
      </c>
      <c r="J14" s="36">
        <f>IFERROR(aurora_data!I834,0)</f>
        <v>0</v>
      </c>
      <c r="K14" s="62">
        <f>IFERROR(aurora_data!J834,0)</f>
        <v>0</v>
      </c>
      <c r="L14" s="62">
        <f>IFERROR(aurora_data!K834,0)</f>
        <v>0</v>
      </c>
      <c r="M14" s="62">
        <f>IFERROR(aurora_data!L834,0)</f>
        <v>0</v>
      </c>
      <c r="N14" s="63">
        <f>IFERROR(aurora_data!M834,0)</f>
        <v>0</v>
      </c>
      <c r="O14" s="36">
        <f>IFERROR(aurora_data!N834,0)</f>
        <v>0</v>
      </c>
      <c r="P14" s="62">
        <f>IFERROR(aurora_data!O834,0)</f>
        <v>0</v>
      </c>
      <c r="Q14" s="62">
        <f>IFERROR(aurora_data!P834,0)</f>
        <v>0</v>
      </c>
      <c r="R14" s="63">
        <f>IFERROR(aurora_data!Q834,0)</f>
        <v>0</v>
      </c>
      <c r="S14" s="62">
        <f>IFERROR(aurora_data!R834,0)</f>
        <v>0</v>
      </c>
      <c r="T14" s="62">
        <f>IFERROR(aurora_data!S834,0)</f>
        <v>0</v>
      </c>
      <c r="U14" s="63">
        <f>IFERROR(aurora_data!T834,0)</f>
        <v>0</v>
      </c>
      <c r="V14" s="64" t="s">
        <v>95</v>
      </c>
      <c r="W14" s="36">
        <f>IFERROR(aurora_data!U834,0)</f>
        <v>0</v>
      </c>
      <c r="X14" s="71">
        <f t="shared" si="0"/>
        <v>0</v>
      </c>
      <c r="Y14" s="2"/>
    </row>
    <row r="15" spans="1:25" customFormat="1">
      <c r="A15" s="2"/>
      <c r="B15" s="211"/>
      <c r="C15" s="213"/>
      <c r="D15" s="35" t="s">
        <v>97</v>
      </c>
      <c r="E15" s="36">
        <f>IFERROR(aurora_data!D835,0)</f>
        <v>0</v>
      </c>
      <c r="F15" s="62">
        <f>IFERROR(aurora_data!E835,0)</f>
        <v>0</v>
      </c>
      <c r="G15" s="62">
        <f>IFERROR(aurora_data!F835,0)</f>
        <v>0</v>
      </c>
      <c r="H15" s="62">
        <f>IFERROR(aurora_data!G835,0)</f>
        <v>0</v>
      </c>
      <c r="I15" s="63">
        <f>IFERROR(aurora_data!H835,0)</f>
        <v>0</v>
      </c>
      <c r="J15" s="36">
        <f>IFERROR(aurora_data!I835,0)</f>
        <v>0</v>
      </c>
      <c r="K15" s="62">
        <f>IFERROR(aurora_data!J835,0)</f>
        <v>0</v>
      </c>
      <c r="L15" s="62">
        <f>IFERROR(aurora_data!K835,0)</f>
        <v>0</v>
      </c>
      <c r="M15" s="62">
        <f>IFERROR(aurora_data!L835,0)</f>
        <v>0</v>
      </c>
      <c r="N15" s="63">
        <f>IFERROR(aurora_data!M835,0)</f>
        <v>0</v>
      </c>
      <c r="O15" s="36">
        <f>IFERROR(aurora_data!N835,0)</f>
        <v>0</v>
      </c>
      <c r="P15" s="62">
        <f>IFERROR(aurora_data!O835,0)</f>
        <v>0</v>
      </c>
      <c r="Q15" s="62">
        <f>IFERROR(aurora_data!P835,0)</f>
        <v>0</v>
      </c>
      <c r="R15" s="63">
        <f>IFERROR(aurora_data!Q835,0)</f>
        <v>0</v>
      </c>
      <c r="S15" s="62">
        <f>IFERROR(aurora_data!R835,0)</f>
        <v>0</v>
      </c>
      <c r="T15" s="62">
        <f>IFERROR(aurora_data!S835,0)</f>
        <v>0</v>
      </c>
      <c r="U15" s="63">
        <f>IFERROR(aurora_data!T835,0)</f>
        <v>0</v>
      </c>
      <c r="V15" s="64" t="s">
        <v>95</v>
      </c>
      <c r="W15" s="36">
        <f>IFERROR(aurora_data!U835,0)</f>
        <v>0</v>
      </c>
      <c r="X15" s="71">
        <f t="shared" si="0"/>
        <v>0</v>
      </c>
      <c r="Y15" s="2"/>
    </row>
    <row r="16" spans="1:25" customFormat="1">
      <c r="A16" s="2"/>
      <c r="B16" s="211"/>
      <c r="C16" s="213"/>
      <c r="D16" s="35" t="s">
        <v>98</v>
      </c>
      <c r="E16" s="36">
        <f>IFERROR(aurora_data!D836,0)</f>
        <v>0</v>
      </c>
      <c r="F16" s="62">
        <f>IFERROR(aurora_data!E836,0)</f>
        <v>0</v>
      </c>
      <c r="G16" s="62">
        <f>IFERROR(aurora_data!F836,0)</f>
        <v>0</v>
      </c>
      <c r="H16" s="62">
        <f>IFERROR(aurora_data!G836,0)</f>
        <v>0</v>
      </c>
      <c r="I16" s="63">
        <f>IFERROR(aurora_data!H836,0)</f>
        <v>0</v>
      </c>
      <c r="J16" s="36">
        <f>IFERROR(aurora_data!I836,0)</f>
        <v>0</v>
      </c>
      <c r="K16" s="62">
        <f>IFERROR(aurora_data!J836,0)</f>
        <v>0</v>
      </c>
      <c r="L16" s="62">
        <f>IFERROR(aurora_data!K836,0)</f>
        <v>0</v>
      </c>
      <c r="M16" s="62">
        <f>IFERROR(aurora_data!L836,0)</f>
        <v>0</v>
      </c>
      <c r="N16" s="63">
        <f>IFERROR(aurora_data!M836,0)</f>
        <v>0</v>
      </c>
      <c r="O16" s="36">
        <f>IFERROR(aurora_data!N836,0)</f>
        <v>0</v>
      </c>
      <c r="P16" s="62">
        <f>IFERROR(aurora_data!O836,0)</f>
        <v>0</v>
      </c>
      <c r="Q16" s="62">
        <f>IFERROR(aurora_data!P836,0)</f>
        <v>0</v>
      </c>
      <c r="R16" s="63">
        <f>IFERROR(aurora_data!Q836,0)</f>
        <v>0</v>
      </c>
      <c r="S16" s="62">
        <f>IFERROR(aurora_data!R836,0)</f>
        <v>0</v>
      </c>
      <c r="T16" s="62">
        <f>IFERROR(aurora_data!S836,0)</f>
        <v>0</v>
      </c>
      <c r="U16" s="63">
        <f>IFERROR(aurora_data!T836,0)</f>
        <v>0</v>
      </c>
      <c r="V16" s="64" t="s">
        <v>95</v>
      </c>
      <c r="W16" s="36">
        <f>IFERROR(aurora_data!U836,0)</f>
        <v>0</v>
      </c>
      <c r="X16" s="71">
        <f t="shared" si="0"/>
        <v>0</v>
      </c>
      <c r="Y16" s="2"/>
    </row>
    <row r="17" spans="1:25" customFormat="1" ht="16.5" thickBot="1">
      <c r="A17" s="2"/>
      <c r="B17" s="211"/>
      <c r="C17" s="213"/>
      <c r="D17" s="35" t="s">
        <v>99</v>
      </c>
      <c r="E17" s="36">
        <f>IFERROR(aurora_data!D837,0)</f>
        <v>0</v>
      </c>
      <c r="F17" s="62">
        <f>IFERROR(aurora_data!E837,0)</f>
        <v>0</v>
      </c>
      <c r="G17" s="62">
        <f>IFERROR(aurora_data!F837,0)</f>
        <v>0</v>
      </c>
      <c r="H17" s="62">
        <f>IFERROR(aurora_data!G837,0)</f>
        <v>0</v>
      </c>
      <c r="I17" s="63">
        <f>IFERROR(aurora_data!H837,0)</f>
        <v>0</v>
      </c>
      <c r="J17" s="36">
        <f>IFERROR(aurora_data!I837,0)</f>
        <v>0</v>
      </c>
      <c r="K17" s="62">
        <f>IFERROR(aurora_data!J837,0)</f>
        <v>0</v>
      </c>
      <c r="L17" s="62">
        <f>IFERROR(aurora_data!K837,0)</f>
        <v>0</v>
      </c>
      <c r="M17" s="62">
        <f>IFERROR(aurora_data!L837,0)</f>
        <v>0</v>
      </c>
      <c r="N17" s="63">
        <f>IFERROR(aurora_data!M837,0)</f>
        <v>0</v>
      </c>
      <c r="O17" s="36">
        <f>IFERROR(aurora_data!N837,0)</f>
        <v>0</v>
      </c>
      <c r="P17" s="62">
        <f>IFERROR(aurora_data!O837,0)</f>
        <v>0</v>
      </c>
      <c r="Q17" s="62">
        <f>IFERROR(aurora_data!P837,0)</f>
        <v>0</v>
      </c>
      <c r="R17" s="63">
        <f>IFERROR(aurora_data!Q837,0)</f>
        <v>0</v>
      </c>
      <c r="S17" s="62">
        <f>IFERROR(aurora_data!R837,0)</f>
        <v>0</v>
      </c>
      <c r="T17" s="62">
        <f>IFERROR(aurora_data!S837,0)</f>
        <v>0</v>
      </c>
      <c r="U17" s="63">
        <f>IFERROR(aurora_data!T837,0)</f>
        <v>0</v>
      </c>
      <c r="V17" s="64" t="s">
        <v>95</v>
      </c>
      <c r="W17" s="36">
        <f>IFERROR(aurora_data!U837,0)</f>
        <v>0</v>
      </c>
      <c r="X17" s="71">
        <f t="shared" si="0"/>
        <v>0</v>
      </c>
      <c r="Y17" s="2"/>
    </row>
    <row r="18" spans="1:25" customFormat="1" ht="16.5" thickBot="1">
      <c r="A18" s="2"/>
      <c r="B18" s="211"/>
      <c r="C18" s="213"/>
      <c r="D18" s="37" t="s">
        <v>64</v>
      </c>
      <c r="E18" s="59">
        <f>IFERROR(aurora_data!D838,0)</f>
        <v>0</v>
      </c>
      <c r="F18" s="65">
        <f>IFERROR(aurora_data!E838,0)</f>
        <v>0</v>
      </c>
      <c r="G18" s="65">
        <f>IFERROR(aurora_data!F838,0)</f>
        <v>0</v>
      </c>
      <c r="H18" s="65">
        <f>IFERROR(aurora_data!G838,0)</f>
        <v>0</v>
      </c>
      <c r="I18" s="66">
        <f>IFERROR(aurora_data!H838,0)</f>
        <v>0</v>
      </c>
      <c r="J18" s="59">
        <f>IFERROR(aurora_data!I838,0)</f>
        <v>0</v>
      </c>
      <c r="K18" s="65">
        <f>IFERROR(aurora_data!J838,0)</f>
        <v>0</v>
      </c>
      <c r="L18" s="65">
        <f>IFERROR(aurora_data!K838,0)</f>
        <v>0</v>
      </c>
      <c r="M18" s="65">
        <f>IFERROR(aurora_data!L838,0)</f>
        <v>0</v>
      </c>
      <c r="N18" s="66">
        <f>IFERROR(aurora_data!M838,0)</f>
        <v>0</v>
      </c>
      <c r="O18" s="59">
        <f>IFERROR(aurora_data!N838,0)</f>
        <v>0</v>
      </c>
      <c r="P18" s="65">
        <f>IFERROR(aurora_data!O838,0)</f>
        <v>0</v>
      </c>
      <c r="Q18" s="65">
        <f>IFERROR(aurora_data!P838,0)</f>
        <v>0</v>
      </c>
      <c r="R18" s="66">
        <f>IFERROR(aurora_data!Q838,0)</f>
        <v>0</v>
      </c>
      <c r="S18" s="65">
        <f>IFERROR(aurora_data!R838,0)</f>
        <v>0</v>
      </c>
      <c r="T18" s="65">
        <f>IFERROR(aurora_data!S838,0)</f>
        <v>0</v>
      </c>
      <c r="U18" s="66">
        <f>IFERROR(aurora_data!T838,0)</f>
        <v>0</v>
      </c>
      <c r="V18" s="67" t="s">
        <v>95</v>
      </c>
      <c r="W18" s="59">
        <f>IFERROR(aurora_data!U838,0)</f>
        <v>0</v>
      </c>
      <c r="X18" s="72">
        <f t="shared" si="0"/>
        <v>0</v>
      </c>
      <c r="Y18" s="2"/>
    </row>
    <row r="19" spans="1:25" customFormat="1" ht="16.5" thickBot="1">
      <c r="A19" s="2"/>
      <c r="B19" s="211"/>
      <c r="C19" s="213"/>
      <c r="D19" s="38" t="s">
        <v>100</v>
      </c>
      <c r="E19" s="60">
        <f>IFERROR(aurora_data!D839,0)</f>
        <v>0</v>
      </c>
      <c r="F19" s="68">
        <f>IFERROR(aurora_data!E839,0)</f>
        <v>0</v>
      </c>
      <c r="G19" s="68">
        <f>IFERROR(aurora_data!F839,0)</f>
        <v>0</v>
      </c>
      <c r="H19" s="68">
        <f>IFERROR(aurora_data!G839,0)</f>
        <v>0</v>
      </c>
      <c r="I19" s="69">
        <f>IFERROR(aurora_data!H839,0)</f>
        <v>0</v>
      </c>
      <c r="J19" s="60">
        <f>IFERROR(aurora_data!I839,0)</f>
        <v>0</v>
      </c>
      <c r="K19" s="68">
        <f>IFERROR(aurora_data!J839,0)</f>
        <v>0</v>
      </c>
      <c r="L19" s="68">
        <f>IFERROR(aurora_data!K839,0)</f>
        <v>0</v>
      </c>
      <c r="M19" s="68">
        <f>IFERROR(aurora_data!L839,0)</f>
        <v>0</v>
      </c>
      <c r="N19" s="69">
        <f>IFERROR(aurora_data!M839,0)</f>
        <v>0</v>
      </c>
      <c r="O19" s="60">
        <f>IFERROR(aurora_data!N839,0)</f>
        <v>0</v>
      </c>
      <c r="P19" s="68">
        <f>IFERROR(aurora_data!O839,0)</f>
        <v>0</v>
      </c>
      <c r="Q19" s="68">
        <f>IFERROR(aurora_data!P839,0)</f>
        <v>0</v>
      </c>
      <c r="R19" s="69">
        <f>IFERROR(aurora_data!Q839,0)</f>
        <v>0</v>
      </c>
      <c r="S19" s="68">
        <f>IFERROR(aurora_data!R839,0)</f>
        <v>0</v>
      </c>
      <c r="T19" s="68">
        <f>IFERROR(aurora_data!S839,0)</f>
        <v>0</v>
      </c>
      <c r="U19" s="74">
        <f>IFERROR(aurora_data!T839,0)</f>
        <v>0</v>
      </c>
      <c r="V19" s="75" t="s">
        <v>95</v>
      </c>
      <c r="W19" s="60">
        <f>IFERROR(aurora_data!U839,0)</f>
        <v>0</v>
      </c>
      <c r="X19" s="73">
        <f t="shared" si="0"/>
        <v>0</v>
      </c>
      <c r="Y19" s="2"/>
    </row>
    <row r="20" spans="1:25" customFormat="1" ht="15.75" customHeight="1">
      <c r="A20" s="2"/>
      <c r="B20" s="206" t="s">
        <v>94</v>
      </c>
      <c r="C20" s="208" t="s">
        <v>55</v>
      </c>
      <c r="D20" s="34" t="s">
        <v>71</v>
      </c>
      <c r="E20" s="39">
        <f>IFERROR(aurora_data!D840,0)</f>
        <v>0</v>
      </c>
      <c r="F20" s="40">
        <f>IFERROR(aurora_data!E840,0)</f>
        <v>0</v>
      </c>
      <c r="G20" s="40">
        <f>IFERROR(aurora_data!F840,0)</f>
        <v>0</v>
      </c>
      <c r="H20" s="40">
        <f>IFERROR(aurora_data!G840,0)</f>
        <v>0</v>
      </c>
      <c r="I20" s="41">
        <f>IFERROR(aurora_data!H840,0)</f>
        <v>0</v>
      </c>
      <c r="J20" s="39">
        <f>IFERROR(aurora_data!I840,0)</f>
        <v>0</v>
      </c>
      <c r="K20" s="40">
        <f>IFERROR(aurora_data!J840,0)</f>
        <v>0</v>
      </c>
      <c r="L20" s="40">
        <f>IFERROR(aurora_data!K840,0)</f>
        <v>0</v>
      </c>
      <c r="M20" s="40">
        <f>IFERROR(aurora_data!L840,0)</f>
        <v>0</v>
      </c>
      <c r="N20" s="41">
        <f>IFERROR(aurora_data!M840,0)</f>
        <v>0</v>
      </c>
      <c r="O20" s="39">
        <f>IFERROR(aurora_data!N840,0)</f>
        <v>0</v>
      </c>
      <c r="P20" s="40">
        <f>IFERROR(aurora_data!O840,0)</f>
        <v>0</v>
      </c>
      <c r="Q20" s="40">
        <f>IFERROR(aurora_data!P840,0)</f>
        <v>0</v>
      </c>
      <c r="R20" s="41">
        <f>IFERROR(aurora_data!Q840,0)</f>
        <v>0</v>
      </c>
      <c r="S20" s="40">
        <f>IFERROR(aurora_data!R840,0)</f>
        <v>0</v>
      </c>
      <c r="T20" s="40">
        <f>IFERROR(aurora_data!S840,0)</f>
        <v>0</v>
      </c>
      <c r="U20" s="41">
        <f>IFERROR(aurora_data!T840,0)</f>
        <v>0</v>
      </c>
      <c r="V20" s="61" t="s">
        <v>95</v>
      </c>
      <c r="W20" s="39">
        <f>IFERROR(aurora_data!U840,0)</f>
        <v>2</v>
      </c>
      <c r="X20" s="70">
        <f>IFERROR(W20/$W$20,0)</f>
        <v>1</v>
      </c>
      <c r="Y20" s="2"/>
    </row>
    <row r="21" spans="1:25" customFormat="1" ht="15.75" customHeight="1">
      <c r="A21" s="2"/>
      <c r="B21" s="207"/>
      <c r="C21" s="209"/>
      <c r="D21" s="35" t="s">
        <v>96</v>
      </c>
      <c r="E21" s="36">
        <f>IFERROR(aurora_data!D841,0)</f>
        <v>0</v>
      </c>
      <c r="F21" s="62">
        <f>IFERROR(aurora_data!E841,0)</f>
        <v>0</v>
      </c>
      <c r="G21" s="62">
        <f>IFERROR(aurora_data!F841,0)</f>
        <v>0</v>
      </c>
      <c r="H21" s="62">
        <f>IFERROR(aurora_data!G841,0)</f>
        <v>0</v>
      </c>
      <c r="I21" s="63">
        <f>IFERROR(aurora_data!H841,0)</f>
        <v>0</v>
      </c>
      <c r="J21" s="36">
        <f>IFERROR(aurora_data!I841,0)</f>
        <v>0</v>
      </c>
      <c r="K21" s="62">
        <f>IFERROR(aurora_data!J841,0)</f>
        <v>0</v>
      </c>
      <c r="L21" s="62">
        <f>IFERROR(aurora_data!K841,0)</f>
        <v>0</v>
      </c>
      <c r="M21" s="62">
        <f>IFERROR(aurora_data!L841,0)</f>
        <v>0</v>
      </c>
      <c r="N21" s="63">
        <f>IFERROR(aurora_data!M841,0)</f>
        <v>0</v>
      </c>
      <c r="O21" s="36">
        <f>IFERROR(aurora_data!N841,0)</f>
        <v>0</v>
      </c>
      <c r="P21" s="62">
        <f>IFERROR(aurora_data!O841,0)</f>
        <v>0</v>
      </c>
      <c r="Q21" s="62">
        <f>IFERROR(aurora_data!P841,0)</f>
        <v>0</v>
      </c>
      <c r="R21" s="63">
        <f>IFERROR(aurora_data!Q841,0)</f>
        <v>0</v>
      </c>
      <c r="S21" s="62">
        <f>IFERROR(aurora_data!R841,0)</f>
        <v>0</v>
      </c>
      <c r="T21" s="62">
        <f>IFERROR(aurora_data!S841,0)</f>
        <v>0</v>
      </c>
      <c r="U21" s="63">
        <f>IFERROR(aurora_data!T841,0)</f>
        <v>0</v>
      </c>
      <c r="V21" s="64" t="s">
        <v>95</v>
      </c>
      <c r="W21" s="36">
        <f>IFERROR(aurora_data!U841,0)</f>
        <v>0</v>
      </c>
      <c r="X21" s="71">
        <f t="shared" ref="X21:X27" si="1">IFERROR(W21/$W$20,0)</f>
        <v>0</v>
      </c>
      <c r="Y21" s="2"/>
    </row>
    <row r="22" spans="1:25" customFormat="1" ht="15.75" customHeight="1">
      <c r="A22" s="2"/>
      <c r="B22" s="207"/>
      <c r="C22" s="209"/>
      <c r="D22" s="35" t="s">
        <v>60</v>
      </c>
      <c r="E22" s="36">
        <f>IFERROR(aurora_data!D842,0)</f>
        <v>0</v>
      </c>
      <c r="F22" s="62">
        <f>IFERROR(aurora_data!E842,0)</f>
        <v>0</v>
      </c>
      <c r="G22" s="62">
        <f>IFERROR(aurora_data!F842,0)</f>
        <v>0</v>
      </c>
      <c r="H22" s="62">
        <f>IFERROR(aurora_data!G842,0)</f>
        <v>0</v>
      </c>
      <c r="I22" s="63">
        <f>IFERROR(aurora_data!H842,0)</f>
        <v>0</v>
      </c>
      <c r="J22" s="36">
        <f>IFERROR(aurora_data!I842,0)</f>
        <v>0</v>
      </c>
      <c r="K22" s="62">
        <f>IFERROR(aurora_data!J842,0)</f>
        <v>0</v>
      </c>
      <c r="L22" s="62">
        <f>IFERROR(aurora_data!K842,0)</f>
        <v>0</v>
      </c>
      <c r="M22" s="62">
        <f>IFERROR(aurora_data!L842,0)</f>
        <v>0</v>
      </c>
      <c r="N22" s="63">
        <f>IFERROR(aurora_data!M842,0)</f>
        <v>0</v>
      </c>
      <c r="O22" s="36">
        <f>IFERROR(aurora_data!N842,0)</f>
        <v>0</v>
      </c>
      <c r="P22" s="62">
        <f>IFERROR(aurora_data!O842,0)</f>
        <v>0</v>
      </c>
      <c r="Q22" s="62">
        <f>IFERROR(aurora_data!P842,0)</f>
        <v>0</v>
      </c>
      <c r="R22" s="63">
        <f>IFERROR(aurora_data!Q842,0)</f>
        <v>0</v>
      </c>
      <c r="S22" s="62">
        <f>IFERROR(aurora_data!R842,0)</f>
        <v>0</v>
      </c>
      <c r="T22" s="62">
        <f>IFERROR(aurora_data!S842,0)</f>
        <v>0</v>
      </c>
      <c r="U22" s="63">
        <f>IFERROR(aurora_data!T842,0)</f>
        <v>0</v>
      </c>
      <c r="V22" s="64" t="s">
        <v>95</v>
      </c>
      <c r="W22" s="36">
        <f>IFERROR(aurora_data!U842,0)</f>
        <v>0</v>
      </c>
      <c r="X22" s="71">
        <f t="shared" si="1"/>
        <v>0</v>
      </c>
      <c r="Y22" s="2"/>
    </row>
    <row r="23" spans="1:25" customFormat="1" ht="15.75" customHeight="1">
      <c r="A23" s="2"/>
      <c r="B23" s="207"/>
      <c r="C23" s="209"/>
      <c r="D23" s="35" t="s">
        <v>97</v>
      </c>
      <c r="E23" s="36">
        <f>IFERROR(aurora_data!D843,0)</f>
        <v>0</v>
      </c>
      <c r="F23" s="62">
        <f>IFERROR(aurora_data!E843,0)</f>
        <v>0</v>
      </c>
      <c r="G23" s="62">
        <f>IFERROR(aurora_data!F843,0)</f>
        <v>0</v>
      </c>
      <c r="H23" s="62">
        <f>IFERROR(aurora_data!G843,0)</f>
        <v>0</v>
      </c>
      <c r="I23" s="63">
        <f>IFERROR(aurora_data!H843,0)</f>
        <v>0</v>
      </c>
      <c r="J23" s="36">
        <f>IFERROR(aurora_data!I843,0)</f>
        <v>0</v>
      </c>
      <c r="K23" s="62">
        <f>IFERROR(aurora_data!J843,0)</f>
        <v>0</v>
      </c>
      <c r="L23" s="62">
        <f>IFERROR(aurora_data!K843,0)</f>
        <v>0</v>
      </c>
      <c r="M23" s="62">
        <f>IFERROR(aurora_data!L843,0)</f>
        <v>0</v>
      </c>
      <c r="N23" s="63">
        <f>IFERROR(aurora_data!M843,0)</f>
        <v>0</v>
      </c>
      <c r="O23" s="36">
        <f>IFERROR(aurora_data!N843,0)</f>
        <v>0</v>
      </c>
      <c r="P23" s="62">
        <f>IFERROR(aurora_data!O843,0)</f>
        <v>0</v>
      </c>
      <c r="Q23" s="62">
        <f>IFERROR(aurora_data!P843,0)</f>
        <v>0</v>
      </c>
      <c r="R23" s="63">
        <f>IFERROR(aurora_data!Q843,0)</f>
        <v>0</v>
      </c>
      <c r="S23" s="62">
        <f>IFERROR(aurora_data!R843,0)</f>
        <v>0</v>
      </c>
      <c r="T23" s="62">
        <f>IFERROR(aurora_data!S843,0)</f>
        <v>0</v>
      </c>
      <c r="U23" s="63">
        <f>IFERROR(aurora_data!T843,0)</f>
        <v>0</v>
      </c>
      <c r="V23" s="64" t="s">
        <v>95</v>
      </c>
      <c r="W23" s="36">
        <f>IFERROR(aurora_data!U843,0)</f>
        <v>0</v>
      </c>
      <c r="X23" s="71">
        <f t="shared" si="1"/>
        <v>0</v>
      </c>
      <c r="Y23" s="2"/>
    </row>
    <row r="24" spans="1:25" customFormat="1" ht="16.5" customHeight="1">
      <c r="A24" s="2"/>
      <c r="B24" s="207"/>
      <c r="C24" s="209"/>
      <c r="D24" s="35" t="s">
        <v>98</v>
      </c>
      <c r="E24" s="36">
        <f>IFERROR(aurora_data!D844,0)</f>
        <v>0</v>
      </c>
      <c r="F24" s="62">
        <f>IFERROR(aurora_data!E844,0)</f>
        <v>0</v>
      </c>
      <c r="G24" s="62">
        <f>IFERROR(aurora_data!F844,0)</f>
        <v>0</v>
      </c>
      <c r="H24" s="62">
        <f>IFERROR(aurora_data!G844,0)</f>
        <v>0</v>
      </c>
      <c r="I24" s="63">
        <f>IFERROR(aurora_data!H844,0)</f>
        <v>0</v>
      </c>
      <c r="J24" s="36">
        <f>IFERROR(aurora_data!I844,0)</f>
        <v>0</v>
      </c>
      <c r="K24" s="62">
        <f>IFERROR(aurora_data!J844,0)</f>
        <v>0</v>
      </c>
      <c r="L24" s="62">
        <f>IFERROR(aurora_data!K844,0)</f>
        <v>0</v>
      </c>
      <c r="M24" s="62">
        <f>IFERROR(aurora_data!L844,0)</f>
        <v>0</v>
      </c>
      <c r="N24" s="63">
        <f>IFERROR(aurora_data!M844,0)</f>
        <v>0</v>
      </c>
      <c r="O24" s="36">
        <f>IFERROR(aurora_data!N844,0)</f>
        <v>0</v>
      </c>
      <c r="P24" s="62">
        <f>IFERROR(aurora_data!O844,0)</f>
        <v>0</v>
      </c>
      <c r="Q24" s="62">
        <f>IFERROR(aurora_data!P844,0)</f>
        <v>0</v>
      </c>
      <c r="R24" s="63">
        <f>IFERROR(aurora_data!Q844,0)</f>
        <v>0</v>
      </c>
      <c r="S24" s="62">
        <f>IFERROR(aurora_data!R844,0)</f>
        <v>0</v>
      </c>
      <c r="T24" s="62">
        <f>IFERROR(aurora_data!S844,0)</f>
        <v>0</v>
      </c>
      <c r="U24" s="63">
        <f>IFERROR(aurora_data!T844,0)</f>
        <v>0</v>
      </c>
      <c r="V24" s="64" t="s">
        <v>95</v>
      </c>
      <c r="W24" s="36">
        <f>IFERROR(aurora_data!U844,0)</f>
        <v>0</v>
      </c>
      <c r="X24" s="71">
        <f t="shared" si="1"/>
        <v>0</v>
      </c>
      <c r="Y24" s="2"/>
    </row>
    <row r="25" spans="1:25" customFormat="1" ht="16.5" customHeight="1" thickBot="1">
      <c r="A25" s="2"/>
      <c r="B25" s="207"/>
      <c r="C25" s="209"/>
      <c r="D25" s="35" t="s">
        <v>99</v>
      </c>
      <c r="E25" s="36">
        <f>IFERROR(aurora_data!D845,0)</f>
        <v>0</v>
      </c>
      <c r="F25" s="62">
        <f>IFERROR(aurora_data!E845,0)</f>
        <v>0</v>
      </c>
      <c r="G25" s="62">
        <f>IFERROR(aurora_data!F845,0)</f>
        <v>0</v>
      </c>
      <c r="H25" s="62">
        <f>IFERROR(aurora_data!G845,0)</f>
        <v>0</v>
      </c>
      <c r="I25" s="63">
        <f>IFERROR(aurora_data!H845,0)</f>
        <v>0</v>
      </c>
      <c r="J25" s="36">
        <f>IFERROR(aurora_data!I845,0)</f>
        <v>0</v>
      </c>
      <c r="K25" s="62">
        <f>IFERROR(aurora_data!J845,0)</f>
        <v>0</v>
      </c>
      <c r="L25" s="62">
        <f>IFERROR(aurora_data!K845,0)</f>
        <v>0</v>
      </c>
      <c r="M25" s="62">
        <f>IFERROR(aurora_data!L845,0)</f>
        <v>0</v>
      </c>
      <c r="N25" s="63">
        <f>IFERROR(aurora_data!M845,0)</f>
        <v>0</v>
      </c>
      <c r="O25" s="36">
        <f>IFERROR(aurora_data!N845,0)</f>
        <v>0</v>
      </c>
      <c r="P25" s="62">
        <f>IFERROR(aurora_data!O845,0)</f>
        <v>0</v>
      </c>
      <c r="Q25" s="62">
        <f>IFERROR(aurora_data!P845,0)</f>
        <v>0</v>
      </c>
      <c r="R25" s="63">
        <f>IFERROR(aurora_data!Q845,0)</f>
        <v>0</v>
      </c>
      <c r="S25" s="62">
        <f>IFERROR(aurora_data!R845,0)</f>
        <v>0</v>
      </c>
      <c r="T25" s="62">
        <f>IFERROR(aurora_data!S845,0)</f>
        <v>0</v>
      </c>
      <c r="U25" s="63">
        <f>IFERROR(aurora_data!T845,0)</f>
        <v>0</v>
      </c>
      <c r="V25" s="64" t="s">
        <v>95</v>
      </c>
      <c r="W25" s="36">
        <f>IFERROR(aurora_data!U845,0)</f>
        <v>0</v>
      </c>
      <c r="X25" s="71">
        <f t="shared" si="1"/>
        <v>0</v>
      </c>
      <c r="Y25" s="2"/>
    </row>
    <row r="26" spans="1:25" customFormat="1" ht="16.5" customHeight="1" thickBot="1">
      <c r="A26" s="2"/>
      <c r="B26" s="207"/>
      <c r="C26" s="209"/>
      <c r="D26" s="37" t="s">
        <v>64</v>
      </c>
      <c r="E26" s="59">
        <f>IFERROR(aurora_data!D846,0)</f>
        <v>0</v>
      </c>
      <c r="F26" s="65">
        <f>IFERROR(aurora_data!E846,0)</f>
        <v>0</v>
      </c>
      <c r="G26" s="65">
        <f>IFERROR(aurora_data!F846,0)</f>
        <v>0</v>
      </c>
      <c r="H26" s="65">
        <f>IFERROR(aurora_data!G846,0)</f>
        <v>0</v>
      </c>
      <c r="I26" s="66">
        <f>IFERROR(aurora_data!H846,0)</f>
        <v>0</v>
      </c>
      <c r="J26" s="59">
        <f>IFERROR(aurora_data!I846,0)</f>
        <v>0</v>
      </c>
      <c r="K26" s="65">
        <f>IFERROR(aurora_data!J846,0)</f>
        <v>0</v>
      </c>
      <c r="L26" s="65">
        <f>IFERROR(aurora_data!K846,0)</f>
        <v>0</v>
      </c>
      <c r="M26" s="65">
        <f>IFERROR(aurora_data!L846,0)</f>
        <v>0</v>
      </c>
      <c r="N26" s="66">
        <f>IFERROR(aurora_data!M846,0)</f>
        <v>0</v>
      </c>
      <c r="O26" s="59">
        <f>IFERROR(aurora_data!N846,0)</f>
        <v>0</v>
      </c>
      <c r="P26" s="65">
        <f>IFERROR(aurora_data!O846,0)</f>
        <v>0</v>
      </c>
      <c r="Q26" s="65">
        <f>IFERROR(aurora_data!P846,0)</f>
        <v>0</v>
      </c>
      <c r="R26" s="66">
        <f>IFERROR(aurora_data!Q846,0)</f>
        <v>0</v>
      </c>
      <c r="S26" s="65">
        <f>IFERROR(aurora_data!R846,0)</f>
        <v>0</v>
      </c>
      <c r="T26" s="65">
        <f>IFERROR(aurora_data!S846,0)</f>
        <v>0</v>
      </c>
      <c r="U26" s="66">
        <f>IFERROR(aurora_data!T846,0)</f>
        <v>0</v>
      </c>
      <c r="V26" s="67" t="s">
        <v>95</v>
      </c>
      <c r="W26" s="59">
        <f>IFERROR(aurora_data!U846,0)</f>
        <v>0</v>
      </c>
      <c r="X26" s="72">
        <f t="shared" si="1"/>
        <v>0</v>
      </c>
      <c r="Y26" s="2"/>
    </row>
    <row r="27" spans="1:25" customFormat="1" ht="16.5" customHeight="1" thickBot="1">
      <c r="A27" s="2"/>
      <c r="B27" s="207"/>
      <c r="C27" s="209"/>
      <c r="D27" s="38" t="s">
        <v>100</v>
      </c>
      <c r="E27" s="60">
        <f>IFERROR(aurora_data!D847,0)</f>
        <v>0</v>
      </c>
      <c r="F27" s="68">
        <f>IFERROR(aurora_data!E847,0)</f>
        <v>0</v>
      </c>
      <c r="G27" s="68">
        <f>IFERROR(aurora_data!F847,0)</f>
        <v>0</v>
      </c>
      <c r="H27" s="68">
        <f>IFERROR(aurora_data!G847,0)</f>
        <v>0</v>
      </c>
      <c r="I27" s="69">
        <f>IFERROR(aurora_data!H847,0)</f>
        <v>0</v>
      </c>
      <c r="J27" s="60">
        <f>IFERROR(aurora_data!I847,0)</f>
        <v>0</v>
      </c>
      <c r="K27" s="68">
        <f>IFERROR(aurora_data!J847,0)</f>
        <v>0</v>
      </c>
      <c r="L27" s="68">
        <f>IFERROR(aurora_data!K847,0)</f>
        <v>0</v>
      </c>
      <c r="M27" s="68">
        <f>IFERROR(aurora_data!L847,0)</f>
        <v>0</v>
      </c>
      <c r="N27" s="69">
        <f>IFERROR(aurora_data!M847,0)</f>
        <v>0</v>
      </c>
      <c r="O27" s="60">
        <f>IFERROR(aurora_data!N847,0)</f>
        <v>0</v>
      </c>
      <c r="P27" s="68">
        <f>IFERROR(aurora_data!O847,0)</f>
        <v>0</v>
      </c>
      <c r="Q27" s="68">
        <f>IFERROR(aurora_data!P847,0)</f>
        <v>0</v>
      </c>
      <c r="R27" s="69">
        <f>IFERROR(aurora_data!Q847,0)</f>
        <v>0</v>
      </c>
      <c r="S27" s="68">
        <f>IFERROR(aurora_data!R847,0)</f>
        <v>0</v>
      </c>
      <c r="T27" s="68">
        <f>IFERROR(aurora_data!S847,0)</f>
        <v>0</v>
      </c>
      <c r="U27" s="74">
        <f>IFERROR(aurora_data!T847,0)</f>
        <v>0</v>
      </c>
      <c r="V27" s="75" t="s">
        <v>95</v>
      </c>
      <c r="W27" s="60">
        <f>IFERROR(aurora_data!U847,0)</f>
        <v>0</v>
      </c>
      <c r="X27" s="73">
        <f t="shared" si="1"/>
        <v>0</v>
      </c>
      <c r="Y27" s="2"/>
    </row>
    <row r="28" spans="1:25" ht="16.5" customHeight="1">
      <c r="B28" s="97"/>
      <c r="C28" s="97"/>
    </row>
  </sheetData>
  <mergeCells count="26">
    <mergeCell ref="C12:C19"/>
    <mergeCell ref="B20:B27"/>
    <mergeCell ref="C20:C27"/>
    <mergeCell ref="B8:D8"/>
    <mergeCell ref="E8:U8"/>
    <mergeCell ref="B12:B19"/>
    <mergeCell ref="W8:X11"/>
    <mergeCell ref="B9:C9"/>
    <mergeCell ref="E9:I9"/>
    <mergeCell ref="J9:N9"/>
    <mergeCell ref="O9:R9"/>
    <mergeCell ref="S9:U9"/>
    <mergeCell ref="B10:B11"/>
    <mergeCell ref="E10:I10"/>
    <mergeCell ref="J10:N10"/>
    <mergeCell ref="O10:R10"/>
    <mergeCell ref="S10:U10"/>
    <mergeCell ref="A1:C1"/>
    <mergeCell ref="D1:H1"/>
    <mergeCell ref="A2:C2"/>
    <mergeCell ref="D2:H2"/>
    <mergeCell ref="K2:X6"/>
    <mergeCell ref="D3:E3"/>
    <mergeCell ref="F3:H3"/>
    <mergeCell ref="D5:G5"/>
    <mergeCell ref="D6:H6"/>
  </mergeCells>
  <conditionalFormatting sqref="E13:W13">
    <cfRule type="expression" dxfId="211" priority="2">
      <formula>ROUND(E$13,0) &gt;= ROUND(E$12,0)</formula>
    </cfRule>
  </conditionalFormatting>
  <conditionalFormatting sqref="E18:W18">
    <cfRule type="expression" dxfId="210" priority="3">
      <formula>ROUND(E$18,0) &lt; ROUND(E$12,0)</formula>
    </cfRule>
  </conditionalFormatting>
  <conditionalFormatting sqref="E21:W21">
    <cfRule type="expression" dxfId="209" priority="1">
      <formula>ROUND(E$21,0) &gt;= ROUND(E$20,0)</formula>
    </cfRule>
  </conditionalFormatting>
  <conditionalFormatting sqref="E26:W26">
    <cfRule type="expression" dxfId="208" priority="4">
      <formula>ROUND(E$26,0) &lt; ROUND(E$20,0)</formula>
    </cfRule>
  </conditionalFormatting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E4ADB-C2AF-4346-8BDA-32FF2651E2C1}">
  <sheetPr>
    <tabColor rgb="FF7030A0"/>
  </sheetPr>
  <dimension ref="A1:Y28"/>
  <sheetViews>
    <sheetView zoomScale="85" zoomScaleNormal="85" workbookViewId="0">
      <selection sqref="A1:C1"/>
    </sheetView>
  </sheetViews>
  <sheetFormatPr defaultColWidth="2.625" defaultRowHeight="15.75"/>
  <cols>
    <col min="1" max="1" width="1.375" style="2" customWidth="1"/>
    <col min="2" max="2" width="10.875" style="2" customWidth="1"/>
    <col min="3" max="3" width="15.625" style="2" customWidth="1"/>
    <col min="4" max="4" width="22.625" style="4" customWidth="1"/>
    <col min="5" max="8" width="7.625" style="4" customWidth="1"/>
    <col min="9" max="9" width="6.625" style="4" hidden="1" customWidth="1"/>
    <col min="10" max="21" width="7.625" style="4" customWidth="1"/>
    <col min="22" max="22" width="0.625" style="2" customWidth="1"/>
    <col min="23" max="24" width="5.875" style="2" customWidth="1"/>
    <col min="25" max="25" width="12.5" style="2" customWidth="1"/>
    <col min="26" max="26" width="2.625" style="2" customWidth="1"/>
    <col min="27" max="64" width="7.625" style="2" customWidth="1"/>
    <col min="65" max="16323" width="2.625" style="2"/>
    <col min="16324" max="16324" width="1.375" style="2" customWidth="1"/>
    <col min="16325" max="16325" width="2.625" style="2" customWidth="1"/>
    <col min="16326" max="16326" width="3.5" style="2" customWidth="1"/>
    <col min="16327" max="16327" width="1" style="2" customWidth="1"/>
    <col min="16328" max="16328" width="0.875" style="2" customWidth="1"/>
    <col min="16329" max="16329" width="2.375" style="2" customWidth="1"/>
    <col min="16330" max="16384" width="20.375" style="2" customWidth="1"/>
  </cols>
  <sheetData>
    <row r="1" spans="1:25" customFormat="1" ht="25.5" customHeight="1">
      <c r="A1" s="151" t="s">
        <v>77</v>
      </c>
      <c r="B1" s="152"/>
      <c r="C1" s="153"/>
      <c r="D1" s="154" t="s">
        <v>78</v>
      </c>
      <c r="E1" s="155"/>
      <c r="F1" s="155"/>
      <c r="G1" s="155"/>
      <c r="H1" s="156"/>
      <c r="I1" s="98"/>
      <c r="J1" s="88"/>
      <c r="K1" s="100"/>
      <c r="L1" s="100"/>
      <c r="M1" s="100"/>
      <c r="N1" s="100" t="s">
        <v>79</v>
      </c>
      <c r="O1" s="100"/>
      <c r="P1" s="100"/>
      <c r="Q1" s="100"/>
      <c r="R1" s="100"/>
      <c r="S1" s="100"/>
      <c r="T1" s="100"/>
      <c r="U1" s="100"/>
      <c r="V1" s="100"/>
      <c r="W1" s="100"/>
      <c r="X1" s="106"/>
      <c r="Y1" s="108"/>
    </row>
    <row r="2" spans="1:25" customFormat="1" ht="31.5" customHeight="1">
      <c r="A2" s="157" t="s">
        <v>80</v>
      </c>
      <c r="B2" s="157"/>
      <c r="C2" s="158"/>
      <c r="D2" s="217" t="str">
        <f>_xlfn.CONCAT("Study Name: ","
OSEP – Orthopedic Impairment - Paper")</f>
        <v>Study Name: 
OSEP – Orthopedic Impairment - Paper</v>
      </c>
      <c r="E2" s="218"/>
      <c r="F2" s="218"/>
      <c r="G2" s="218"/>
      <c r="H2" s="219"/>
      <c r="I2" s="4"/>
      <c r="J2" s="4"/>
      <c r="K2" s="162" t="s">
        <v>81</v>
      </c>
      <c r="L2" s="163"/>
      <c r="M2" s="163"/>
      <c r="N2" s="163"/>
      <c r="O2" s="163"/>
      <c r="P2" s="163"/>
      <c r="Q2" s="163"/>
      <c r="R2" s="163"/>
      <c r="S2" s="163"/>
      <c r="T2" s="163"/>
      <c r="U2" s="163"/>
      <c r="V2" s="163"/>
      <c r="W2" s="163"/>
      <c r="X2" s="164"/>
      <c r="Y2" s="103"/>
    </row>
    <row r="3" spans="1:25" customFormat="1" ht="30.75" customHeight="1" thickBot="1">
      <c r="A3" s="2"/>
      <c r="B3" s="2"/>
      <c r="C3" s="2"/>
      <c r="D3" s="169" t="str">
        <f>_xlfn.CONCAT("Study Acronym: ","
OSEP_OI_P")</f>
        <v>Study Acronym: 
OSEP_OI_P</v>
      </c>
      <c r="E3" s="170"/>
      <c r="F3" s="171" t="s">
        <v>269</v>
      </c>
      <c r="G3" s="172"/>
      <c r="H3" s="173"/>
      <c r="I3" s="4"/>
      <c r="J3" s="4"/>
      <c r="K3" s="165"/>
      <c r="L3" s="163"/>
      <c r="M3" s="163"/>
      <c r="N3" s="163"/>
      <c r="O3" s="163"/>
      <c r="P3" s="163"/>
      <c r="Q3" s="163"/>
      <c r="R3" s="163"/>
      <c r="S3" s="163"/>
      <c r="T3" s="163"/>
      <c r="U3" s="163"/>
      <c r="V3" s="163"/>
      <c r="W3" s="163"/>
      <c r="X3" s="164"/>
      <c r="Y3" s="103"/>
    </row>
    <row r="4" spans="1:25" customFormat="1" ht="16.5" customHeight="1">
      <c r="A4" s="2"/>
      <c r="B4" s="24"/>
      <c r="C4" s="2"/>
      <c r="D4" s="2"/>
      <c r="E4" s="25"/>
      <c r="F4" s="25"/>
      <c r="G4" s="25"/>
      <c r="H4" s="25"/>
      <c r="I4" s="25"/>
      <c r="J4" s="25"/>
      <c r="K4" s="165"/>
      <c r="L4" s="163"/>
      <c r="M4" s="163"/>
      <c r="N4" s="163"/>
      <c r="O4" s="163"/>
      <c r="P4" s="163"/>
      <c r="Q4" s="163"/>
      <c r="R4" s="163"/>
      <c r="S4" s="163"/>
      <c r="T4" s="163"/>
      <c r="U4" s="163"/>
      <c r="V4" s="163"/>
      <c r="W4" s="163"/>
      <c r="X4" s="164"/>
      <c r="Y4" s="104"/>
    </row>
    <row r="5" spans="1:25" customFormat="1" ht="21.95" customHeight="1" thickBot="1">
      <c r="A5" s="2"/>
      <c r="B5" s="2"/>
      <c r="C5" s="102"/>
      <c r="D5" s="154" t="s">
        <v>82</v>
      </c>
      <c r="E5" s="155"/>
      <c r="F5" s="155"/>
      <c r="G5" s="155"/>
      <c r="H5" s="101"/>
      <c r="I5" s="98"/>
      <c r="J5" s="98"/>
      <c r="K5" s="165"/>
      <c r="L5" s="163"/>
      <c r="M5" s="163"/>
      <c r="N5" s="163"/>
      <c r="O5" s="163"/>
      <c r="P5" s="163"/>
      <c r="Q5" s="163"/>
      <c r="R5" s="163"/>
      <c r="S5" s="163"/>
      <c r="T5" s="163"/>
      <c r="U5" s="163"/>
      <c r="V5" s="163"/>
      <c r="W5" s="163"/>
      <c r="X5" s="164"/>
      <c r="Y5" s="105"/>
    </row>
    <row r="6" spans="1:25" customFormat="1" ht="60.95" customHeight="1" thickBot="1">
      <c r="A6" s="2"/>
      <c r="B6" s="2"/>
      <c r="C6" s="99"/>
      <c r="D6" s="214" t="s">
        <v>101</v>
      </c>
      <c r="E6" s="215"/>
      <c r="F6" s="215"/>
      <c r="G6" s="215"/>
      <c r="H6" s="216"/>
      <c r="I6" s="124"/>
      <c r="J6" s="125"/>
      <c r="K6" s="166"/>
      <c r="L6" s="167"/>
      <c r="M6" s="167"/>
      <c r="N6" s="167"/>
      <c r="O6" s="167"/>
      <c r="P6" s="167"/>
      <c r="Q6" s="167"/>
      <c r="R6" s="167"/>
      <c r="S6" s="167"/>
      <c r="T6" s="167"/>
      <c r="U6" s="167"/>
      <c r="V6" s="167"/>
      <c r="W6" s="167"/>
      <c r="X6" s="168"/>
      <c r="Y6" s="107"/>
    </row>
    <row r="7" spans="1:25" customFormat="1" ht="16.5" customHeight="1" thickBot="1">
      <c r="A7" s="2"/>
      <c r="B7" s="3"/>
      <c r="C7" s="26"/>
      <c r="D7" s="27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8"/>
      <c r="W7" s="3"/>
      <c r="X7" s="3"/>
      <c r="Y7" s="2"/>
    </row>
    <row r="8" spans="1:25" customFormat="1">
      <c r="A8" s="2"/>
      <c r="B8" s="177" t="str">
        <f>_xlfn.CONCAT("Last Refreshed at: ",aurora_data!V932)</f>
        <v>Last Refreshed at: 09/17/2026 @ 7:20 AM</v>
      </c>
      <c r="C8" s="178"/>
      <c r="D8" s="178"/>
      <c r="E8" s="179" t="s">
        <v>83</v>
      </c>
      <c r="F8" s="180"/>
      <c r="G8" s="180"/>
      <c r="H8" s="180"/>
      <c r="I8" s="180"/>
      <c r="J8" s="180"/>
      <c r="K8" s="180"/>
      <c r="L8" s="180"/>
      <c r="M8" s="180"/>
      <c r="N8" s="180"/>
      <c r="O8" s="180"/>
      <c r="P8" s="180"/>
      <c r="Q8" s="180"/>
      <c r="R8" s="180"/>
      <c r="S8" s="180"/>
      <c r="T8" s="180"/>
      <c r="U8" s="181"/>
      <c r="V8" s="44"/>
      <c r="W8" s="182" t="s">
        <v>84</v>
      </c>
      <c r="X8" s="183"/>
      <c r="Y8" s="2"/>
    </row>
    <row r="9" spans="1:25" customFormat="1" ht="16.5" customHeight="1" thickBot="1">
      <c r="A9" s="2"/>
      <c r="B9" s="188"/>
      <c r="C9" s="189"/>
      <c r="D9" s="29" t="s">
        <v>85</v>
      </c>
      <c r="E9" s="190" t="s">
        <v>86</v>
      </c>
      <c r="F9" s="191"/>
      <c r="G9" s="191"/>
      <c r="H9" s="191"/>
      <c r="I9" s="191"/>
      <c r="J9" s="192" t="s">
        <v>86</v>
      </c>
      <c r="K9" s="193"/>
      <c r="L9" s="193"/>
      <c r="M9" s="193"/>
      <c r="N9" s="193"/>
      <c r="O9" s="194" t="s">
        <v>86</v>
      </c>
      <c r="P9" s="195"/>
      <c r="Q9" s="195"/>
      <c r="R9" s="195"/>
      <c r="S9" s="196" t="s">
        <v>86</v>
      </c>
      <c r="T9" s="197"/>
      <c r="U9" s="197"/>
      <c r="V9" s="28"/>
      <c r="W9" s="184"/>
      <c r="X9" s="185"/>
      <c r="Y9" s="2"/>
    </row>
    <row r="10" spans="1:25" customFormat="1" ht="17.25" thickTop="1" thickBot="1">
      <c r="A10" s="2"/>
      <c r="B10" s="198" t="s">
        <v>87</v>
      </c>
      <c r="C10" s="30"/>
      <c r="D10" s="31"/>
      <c r="E10" s="199" t="s">
        <v>88</v>
      </c>
      <c r="F10" s="200"/>
      <c r="G10" s="200"/>
      <c r="H10" s="200"/>
      <c r="I10" s="201"/>
      <c r="J10" s="200" t="s">
        <v>89</v>
      </c>
      <c r="K10" s="200"/>
      <c r="L10" s="200"/>
      <c r="M10" s="200"/>
      <c r="N10" s="201"/>
      <c r="O10" s="202" t="s">
        <v>90</v>
      </c>
      <c r="P10" s="202"/>
      <c r="Q10" s="202"/>
      <c r="R10" s="202"/>
      <c r="S10" s="203" t="s">
        <v>91</v>
      </c>
      <c r="T10" s="204"/>
      <c r="U10" s="205"/>
      <c r="V10" s="32"/>
      <c r="W10" s="184"/>
      <c r="X10" s="185"/>
      <c r="Y10" s="2"/>
    </row>
    <row r="11" spans="1:25" customFormat="1" ht="17.25" thickTop="1" thickBot="1">
      <c r="A11" s="2"/>
      <c r="B11" s="198"/>
      <c r="C11" s="30" t="s">
        <v>35</v>
      </c>
      <c r="D11" s="33" t="s">
        <v>37</v>
      </c>
      <c r="E11" s="96">
        <v>1</v>
      </c>
      <c r="F11" s="94">
        <v>2</v>
      </c>
      <c r="G11" s="95" t="s">
        <v>40</v>
      </c>
      <c r="H11" s="95">
        <v>4</v>
      </c>
      <c r="I11" s="95">
        <v>5</v>
      </c>
      <c r="J11" s="89" t="s">
        <v>43</v>
      </c>
      <c r="K11" s="89" t="s">
        <v>44</v>
      </c>
      <c r="L11" s="89" t="s">
        <v>45</v>
      </c>
      <c r="M11" s="93" t="s">
        <v>92</v>
      </c>
      <c r="N11" s="93" t="s">
        <v>47</v>
      </c>
      <c r="O11" s="89" t="s">
        <v>48</v>
      </c>
      <c r="P11" s="89" t="s">
        <v>49</v>
      </c>
      <c r="Q11" s="89" t="s">
        <v>50</v>
      </c>
      <c r="R11" s="89" t="s">
        <v>51</v>
      </c>
      <c r="S11" s="90" t="s">
        <v>52</v>
      </c>
      <c r="T11" s="91" t="s">
        <v>53</v>
      </c>
      <c r="U11" s="92" t="s">
        <v>93</v>
      </c>
      <c r="V11" s="28"/>
      <c r="W11" s="186"/>
      <c r="X11" s="187"/>
      <c r="Y11" s="2"/>
    </row>
    <row r="12" spans="1:25" customFormat="1">
      <c r="A12" s="2"/>
      <c r="B12" s="210" t="s">
        <v>94</v>
      </c>
      <c r="C12" s="212" t="str">
        <f>aurora_data!A932</f>
        <v>06.00.00-16.11.30</v>
      </c>
      <c r="D12" s="34" t="s">
        <v>71</v>
      </c>
      <c r="E12" s="39">
        <f>IFERROR(aurora_data!D932,0)</f>
        <v>0</v>
      </c>
      <c r="F12" s="40">
        <f>IFERROR(aurora_data!E932,0)</f>
        <v>0</v>
      </c>
      <c r="G12" s="40">
        <f>IFERROR(aurora_data!F932,0)</f>
        <v>0</v>
      </c>
      <c r="H12" s="40">
        <f>IFERROR(aurora_data!G932,0)</f>
        <v>0</v>
      </c>
      <c r="I12" s="41">
        <f>IFERROR(aurora_data!H932,0)</f>
        <v>0</v>
      </c>
      <c r="J12" s="39">
        <f>IFERROR(aurora_data!I932,0)</f>
        <v>0</v>
      </c>
      <c r="K12" s="40">
        <f>IFERROR(aurora_data!J932,0)</f>
        <v>0</v>
      </c>
      <c r="L12" s="40">
        <f>IFERROR(aurora_data!K932,0)</f>
        <v>0</v>
      </c>
      <c r="M12" s="40">
        <f>IFERROR(aurora_data!L932,0)</f>
        <v>0</v>
      </c>
      <c r="N12" s="41">
        <f>IFERROR(aurora_data!M932,0)</f>
        <v>0</v>
      </c>
      <c r="O12" s="39">
        <f>IFERROR(aurora_data!N932,0)</f>
        <v>0</v>
      </c>
      <c r="P12" s="40">
        <f>IFERROR(aurora_data!O932,0)</f>
        <v>0</v>
      </c>
      <c r="Q12" s="40">
        <f>IFERROR(aurora_data!P932,0)</f>
        <v>0</v>
      </c>
      <c r="R12" s="41">
        <f>IFERROR(aurora_data!Q932,0)</f>
        <v>0</v>
      </c>
      <c r="S12" s="40">
        <f>IFERROR(aurora_data!R932,0)</f>
        <v>0</v>
      </c>
      <c r="T12" s="40">
        <f>IFERROR(aurora_data!S932,0)</f>
        <v>0</v>
      </c>
      <c r="U12" s="76">
        <f>IFERROR(aurora_data!T932,0)</f>
        <v>0</v>
      </c>
      <c r="V12" s="61" t="s">
        <v>95</v>
      </c>
      <c r="W12" s="39">
        <f>IFERROR(aurora_data!U932,0)</f>
        <v>2</v>
      </c>
      <c r="X12" s="70">
        <f>IFERROR(W12/$W$12,0)</f>
        <v>1</v>
      </c>
      <c r="Y12" s="2"/>
    </row>
    <row r="13" spans="1:25" customFormat="1">
      <c r="A13" s="2"/>
      <c r="B13" s="211"/>
      <c r="C13" s="213"/>
      <c r="D13" s="35" t="s">
        <v>96</v>
      </c>
      <c r="E13" s="110">
        <f>IFERROR(aurora_data!D933,0)</f>
        <v>1</v>
      </c>
      <c r="F13" s="62">
        <f>IFERROR(aurora_data!E933,0)</f>
        <v>1</v>
      </c>
      <c r="G13" s="62">
        <f>IFERROR(aurora_data!F933,0)</f>
        <v>0</v>
      </c>
      <c r="H13" s="62">
        <f>IFERROR(aurora_data!G933,0)</f>
        <v>0</v>
      </c>
      <c r="I13" s="63">
        <f>IFERROR(aurora_data!H933,0)</f>
        <v>0</v>
      </c>
      <c r="J13" s="36">
        <f>IFERROR(aurora_data!I933,0)</f>
        <v>0</v>
      </c>
      <c r="K13" s="62">
        <f>IFERROR(aurora_data!J933,0)</f>
        <v>0</v>
      </c>
      <c r="L13" s="62">
        <f>IFERROR(aurora_data!K933,0)</f>
        <v>0</v>
      </c>
      <c r="M13" s="62">
        <f>IFERROR(aurora_data!L933,0)</f>
        <v>2</v>
      </c>
      <c r="N13" s="63">
        <f>IFERROR(aurora_data!M933,0)</f>
        <v>0</v>
      </c>
      <c r="O13" s="36">
        <f>IFERROR(aurora_data!N933,0)</f>
        <v>1</v>
      </c>
      <c r="P13" s="62">
        <f>IFERROR(aurora_data!O933,0)</f>
        <v>0</v>
      </c>
      <c r="Q13" s="62">
        <f>IFERROR(aurora_data!P933,0)</f>
        <v>1</v>
      </c>
      <c r="R13" s="63">
        <f>IFERROR(aurora_data!Q933,0)</f>
        <v>0</v>
      </c>
      <c r="S13" s="62">
        <f>IFERROR(aurora_data!R933,0)</f>
        <v>2</v>
      </c>
      <c r="T13" s="62">
        <f>IFERROR(aurora_data!S933,0)</f>
        <v>0</v>
      </c>
      <c r="U13" s="63">
        <f>IFERROR(aurora_data!T933,0)</f>
        <v>0</v>
      </c>
      <c r="V13" s="64" t="s">
        <v>95</v>
      </c>
      <c r="W13" s="36">
        <f>IFERROR(aurora_data!U933,0)</f>
        <v>2</v>
      </c>
      <c r="X13" s="71">
        <f t="shared" ref="X13:X19" si="0">IFERROR(W13/$W$12,0)</f>
        <v>1</v>
      </c>
      <c r="Y13" s="2"/>
    </row>
    <row r="14" spans="1:25" customFormat="1">
      <c r="A14" s="2"/>
      <c r="B14" s="211"/>
      <c r="C14" s="213"/>
      <c r="D14" s="35" t="s">
        <v>60</v>
      </c>
      <c r="E14" s="110">
        <f>IFERROR(aurora_data!D934,0)</f>
        <v>0</v>
      </c>
      <c r="F14" s="62">
        <f>IFERROR(aurora_data!E934,0)</f>
        <v>0</v>
      </c>
      <c r="G14" s="62">
        <f>IFERROR(aurora_data!F934,0)</f>
        <v>0</v>
      </c>
      <c r="H14" s="62">
        <f>IFERROR(aurora_data!G934,0)</f>
        <v>0</v>
      </c>
      <c r="I14" s="63">
        <f>IFERROR(aurora_data!H934,0)</f>
        <v>0</v>
      </c>
      <c r="J14" s="36">
        <f>IFERROR(aurora_data!I934,0)</f>
        <v>0</v>
      </c>
      <c r="K14" s="62">
        <f>IFERROR(aurora_data!J934,0)</f>
        <v>0</v>
      </c>
      <c r="L14" s="62">
        <f>IFERROR(aurora_data!K934,0)</f>
        <v>0</v>
      </c>
      <c r="M14" s="62">
        <f>IFERROR(aurora_data!L934,0)</f>
        <v>0</v>
      </c>
      <c r="N14" s="63">
        <f>IFERROR(aurora_data!M934,0)</f>
        <v>0</v>
      </c>
      <c r="O14" s="36">
        <f>IFERROR(aurora_data!N934,0)</f>
        <v>0</v>
      </c>
      <c r="P14" s="62">
        <f>IFERROR(aurora_data!O934,0)</f>
        <v>0</v>
      </c>
      <c r="Q14" s="62">
        <f>IFERROR(aurora_data!P934,0)</f>
        <v>0</v>
      </c>
      <c r="R14" s="63">
        <f>IFERROR(aurora_data!Q934,0)</f>
        <v>0</v>
      </c>
      <c r="S14" s="62">
        <f>IFERROR(aurora_data!R934,0)</f>
        <v>0</v>
      </c>
      <c r="T14" s="62">
        <f>IFERROR(aurora_data!S934,0)</f>
        <v>0</v>
      </c>
      <c r="U14" s="63">
        <f>IFERROR(aurora_data!T934,0)</f>
        <v>0</v>
      </c>
      <c r="V14" s="64" t="s">
        <v>95</v>
      </c>
      <c r="W14" s="36">
        <f>IFERROR(aurora_data!U934,0)</f>
        <v>0</v>
      </c>
      <c r="X14" s="71">
        <f t="shared" si="0"/>
        <v>0</v>
      </c>
      <c r="Y14" s="2"/>
    </row>
    <row r="15" spans="1:25" customFormat="1">
      <c r="A15" s="2"/>
      <c r="B15" s="211"/>
      <c r="C15" s="213"/>
      <c r="D15" s="35" t="s">
        <v>97</v>
      </c>
      <c r="E15" s="36">
        <f>IFERROR(aurora_data!D935,0)</f>
        <v>0</v>
      </c>
      <c r="F15" s="62">
        <f>IFERROR(aurora_data!E935,0)</f>
        <v>0</v>
      </c>
      <c r="G15" s="62">
        <f>IFERROR(aurora_data!F935,0)</f>
        <v>0</v>
      </c>
      <c r="H15" s="62">
        <f>IFERROR(aurora_data!G935,0)</f>
        <v>0</v>
      </c>
      <c r="I15" s="63">
        <f>IFERROR(aurora_data!H935,0)</f>
        <v>0</v>
      </c>
      <c r="J15" s="36">
        <f>IFERROR(aurora_data!I935,0)</f>
        <v>0</v>
      </c>
      <c r="K15" s="62">
        <f>IFERROR(aurora_data!J935,0)</f>
        <v>0</v>
      </c>
      <c r="L15" s="62">
        <f>IFERROR(aurora_data!K935,0)</f>
        <v>0</v>
      </c>
      <c r="M15" s="62">
        <f>IFERROR(aurora_data!L935,0)</f>
        <v>0</v>
      </c>
      <c r="N15" s="63">
        <f>IFERROR(aurora_data!M935,0)</f>
        <v>0</v>
      </c>
      <c r="O15" s="36">
        <f>IFERROR(aurora_data!N935,0)</f>
        <v>0</v>
      </c>
      <c r="P15" s="62">
        <f>IFERROR(aurora_data!O935,0)</f>
        <v>0</v>
      </c>
      <c r="Q15" s="62">
        <f>IFERROR(aurora_data!P935,0)</f>
        <v>0</v>
      </c>
      <c r="R15" s="63">
        <f>IFERROR(aurora_data!Q935,0)</f>
        <v>0</v>
      </c>
      <c r="S15" s="62">
        <f>IFERROR(aurora_data!R935,0)</f>
        <v>0</v>
      </c>
      <c r="T15" s="62">
        <f>IFERROR(aurora_data!S935,0)</f>
        <v>0</v>
      </c>
      <c r="U15" s="63">
        <f>IFERROR(aurora_data!T935,0)</f>
        <v>0</v>
      </c>
      <c r="V15" s="64" t="s">
        <v>95</v>
      </c>
      <c r="W15" s="36">
        <f>IFERROR(aurora_data!U935,0)</f>
        <v>0</v>
      </c>
      <c r="X15" s="71">
        <f t="shared" si="0"/>
        <v>0</v>
      </c>
      <c r="Y15" s="2"/>
    </row>
    <row r="16" spans="1:25" customFormat="1">
      <c r="A16" s="2"/>
      <c r="B16" s="211"/>
      <c r="C16" s="213"/>
      <c r="D16" s="35" t="s">
        <v>98</v>
      </c>
      <c r="E16" s="36">
        <f>IFERROR(aurora_data!D936,0)</f>
        <v>0</v>
      </c>
      <c r="F16" s="62">
        <f>IFERROR(aurora_data!E936,0)</f>
        <v>0</v>
      </c>
      <c r="G16" s="62">
        <f>IFERROR(aurora_data!F936,0)</f>
        <v>0</v>
      </c>
      <c r="H16" s="62">
        <f>IFERROR(aurora_data!G936,0)</f>
        <v>0</v>
      </c>
      <c r="I16" s="63">
        <f>IFERROR(aurora_data!H936,0)</f>
        <v>0</v>
      </c>
      <c r="J16" s="36">
        <f>IFERROR(aurora_data!I936,0)</f>
        <v>0</v>
      </c>
      <c r="K16" s="62">
        <f>IFERROR(aurora_data!J936,0)</f>
        <v>0</v>
      </c>
      <c r="L16" s="62">
        <f>IFERROR(aurora_data!K936,0)</f>
        <v>0</v>
      </c>
      <c r="M16" s="62">
        <f>IFERROR(aurora_data!L936,0)</f>
        <v>0</v>
      </c>
      <c r="N16" s="63">
        <f>IFERROR(aurora_data!M936,0)</f>
        <v>0</v>
      </c>
      <c r="O16" s="36">
        <f>IFERROR(aurora_data!N936,0)</f>
        <v>0</v>
      </c>
      <c r="P16" s="62">
        <f>IFERROR(aurora_data!O936,0)</f>
        <v>0</v>
      </c>
      <c r="Q16" s="62">
        <f>IFERROR(aurora_data!P936,0)</f>
        <v>0</v>
      </c>
      <c r="R16" s="63">
        <f>IFERROR(aurora_data!Q936,0)</f>
        <v>0</v>
      </c>
      <c r="S16" s="62">
        <f>IFERROR(aurora_data!R936,0)</f>
        <v>0</v>
      </c>
      <c r="T16" s="62">
        <f>IFERROR(aurora_data!S936,0)</f>
        <v>0</v>
      </c>
      <c r="U16" s="63">
        <f>IFERROR(aurora_data!T936,0)</f>
        <v>0</v>
      </c>
      <c r="V16" s="64" t="s">
        <v>95</v>
      </c>
      <c r="W16" s="36">
        <f>IFERROR(aurora_data!U936,0)</f>
        <v>0</v>
      </c>
      <c r="X16" s="71">
        <f t="shared" si="0"/>
        <v>0</v>
      </c>
      <c r="Y16" s="2"/>
    </row>
    <row r="17" spans="1:25" customFormat="1" ht="16.5" thickBot="1">
      <c r="A17" s="2"/>
      <c r="B17" s="211"/>
      <c r="C17" s="213"/>
      <c r="D17" s="35" t="s">
        <v>99</v>
      </c>
      <c r="E17" s="36">
        <f>IFERROR(aurora_data!D937,0)</f>
        <v>0</v>
      </c>
      <c r="F17" s="62">
        <f>IFERROR(aurora_data!E937,0)</f>
        <v>0</v>
      </c>
      <c r="G17" s="62">
        <f>IFERROR(aurora_data!F937,0)</f>
        <v>0</v>
      </c>
      <c r="H17" s="62">
        <f>IFERROR(aurora_data!G937,0)</f>
        <v>0</v>
      </c>
      <c r="I17" s="63">
        <f>IFERROR(aurora_data!H937,0)</f>
        <v>0</v>
      </c>
      <c r="J17" s="36">
        <f>IFERROR(aurora_data!I937,0)</f>
        <v>0</v>
      </c>
      <c r="K17" s="62">
        <f>IFERROR(aurora_data!J937,0)</f>
        <v>0</v>
      </c>
      <c r="L17" s="62">
        <f>IFERROR(aurora_data!K937,0)</f>
        <v>0</v>
      </c>
      <c r="M17" s="62">
        <f>IFERROR(aurora_data!L937,0)</f>
        <v>0</v>
      </c>
      <c r="N17" s="63">
        <f>IFERROR(aurora_data!M937,0)</f>
        <v>0</v>
      </c>
      <c r="O17" s="36">
        <f>IFERROR(aurora_data!N937,0)</f>
        <v>0</v>
      </c>
      <c r="P17" s="62">
        <f>IFERROR(aurora_data!O937,0)</f>
        <v>0</v>
      </c>
      <c r="Q17" s="62">
        <f>IFERROR(aurora_data!P937,0)</f>
        <v>0</v>
      </c>
      <c r="R17" s="63">
        <f>IFERROR(aurora_data!Q937,0)</f>
        <v>0</v>
      </c>
      <c r="S17" s="62">
        <f>IFERROR(aurora_data!R937,0)</f>
        <v>0</v>
      </c>
      <c r="T17" s="62">
        <f>IFERROR(aurora_data!S937,0)</f>
        <v>0</v>
      </c>
      <c r="U17" s="63">
        <f>IFERROR(aurora_data!T937,0)</f>
        <v>0</v>
      </c>
      <c r="V17" s="64" t="s">
        <v>95</v>
      </c>
      <c r="W17" s="36">
        <f>IFERROR(aurora_data!U937,0)</f>
        <v>0</v>
      </c>
      <c r="X17" s="71">
        <f t="shared" si="0"/>
        <v>0</v>
      </c>
      <c r="Y17" s="2"/>
    </row>
    <row r="18" spans="1:25" customFormat="1" ht="16.5" thickBot="1">
      <c r="A18" s="2"/>
      <c r="B18" s="211"/>
      <c r="C18" s="213"/>
      <c r="D18" s="37" t="s">
        <v>64</v>
      </c>
      <c r="E18" s="59">
        <f>IFERROR(aurora_data!D938,0)</f>
        <v>1</v>
      </c>
      <c r="F18" s="65">
        <f>IFERROR(aurora_data!E938,0)</f>
        <v>1</v>
      </c>
      <c r="G18" s="65">
        <f>IFERROR(aurora_data!F938,0)</f>
        <v>0</v>
      </c>
      <c r="H18" s="65">
        <f>IFERROR(aurora_data!G938,0)</f>
        <v>0</v>
      </c>
      <c r="I18" s="66">
        <f>IFERROR(aurora_data!H938,0)</f>
        <v>0</v>
      </c>
      <c r="J18" s="59">
        <f>IFERROR(aurora_data!I938,0)</f>
        <v>0</v>
      </c>
      <c r="K18" s="65">
        <f>IFERROR(aurora_data!J938,0)</f>
        <v>0</v>
      </c>
      <c r="L18" s="65">
        <f>IFERROR(aurora_data!K938,0)</f>
        <v>0</v>
      </c>
      <c r="M18" s="65">
        <f>IFERROR(aurora_data!L938,0)</f>
        <v>2</v>
      </c>
      <c r="N18" s="66">
        <f>IFERROR(aurora_data!M938,0)</f>
        <v>0</v>
      </c>
      <c r="O18" s="59">
        <f>IFERROR(aurora_data!N938,0)</f>
        <v>1</v>
      </c>
      <c r="P18" s="65">
        <f>IFERROR(aurora_data!O938,0)</f>
        <v>0</v>
      </c>
      <c r="Q18" s="65">
        <f>IFERROR(aurora_data!P938,0)</f>
        <v>1</v>
      </c>
      <c r="R18" s="66">
        <f>IFERROR(aurora_data!Q938,0)</f>
        <v>0</v>
      </c>
      <c r="S18" s="65">
        <f>IFERROR(aurora_data!R938,0)</f>
        <v>2</v>
      </c>
      <c r="T18" s="65">
        <f>IFERROR(aurora_data!S938,0)</f>
        <v>0</v>
      </c>
      <c r="U18" s="66">
        <f>IFERROR(aurora_data!T938,0)</f>
        <v>0</v>
      </c>
      <c r="V18" s="67" t="s">
        <v>95</v>
      </c>
      <c r="W18" s="59">
        <f>IFERROR(aurora_data!U938,0)</f>
        <v>2</v>
      </c>
      <c r="X18" s="72">
        <f t="shared" si="0"/>
        <v>1</v>
      </c>
      <c r="Y18" s="2"/>
    </row>
    <row r="19" spans="1:25" customFormat="1" ht="16.5" thickBot="1">
      <c r="A19" s="2"/>
      <c r="B19" s="211"/>
      <c r="C19" s="213"/>
      <c r="D19" s="38" t="s">
        <v>100</v>
      </c>
      <c r="E19" s="60">
        <f>IFERROR(aurora_data!D939,0)</f>
        <v>0</v>
      </c>
      <c r="F19" s="68">
        <f>IFERROR(aurora_data!E939,0)</f>
        <v>0</v>
      </c>
      <c r="G19" s="68">
        <f>IFERROR(aurora_data!F939,0)</f>
        <v>0</v>
      </c>
      <c r="H19" s="68">
        <f>IFERROR(aurora_data!G939,0)</f>
        <v>0</v>
      </c>
      <c r="I19" s="69">
        <f>IFERROR(aurora_data!H939,0)</f>
        <v>0</v>
      </c>
      <c r="J19" s="60">
        <f>IFERROR(aurora_data!I939,0)</f>
        <v>0</v>
      </c>
      <c r="K19" s="68">
        <f>IFERROR(aurora_data!J939,0)</f>
        <v>0</v>
      </c>
      <c r="L19" s="68">
        <f>IFERROR(aurora_data!K939,0)</f>
        <v>0</v>
      </c>
      <c r="M19" s="68">
        <f>IFERROR(aurora_data!L939,0)</f>
        <v>0</v>
      </c>
      <c r="N19" s="69">
        <f>IFERROR(aurora_data!M939,0)</f>
        <v>0</v>
      </c>
      <c r="O19" s="60">
        <f>IFERROR(aurora_data!N939,0)</f>
        <v>0</v>
      </c>
      <c r="P19" s="68">
        <f>IFERROR(aurora_data!O939,0)</f>
        <v>0</v>
      </c>
      <c r="Q19" s="68">
        <f>IFERROR(aurora_data!P939,0)</f>
        <v>0</v>
      </c>
      <c r="R19" s="69">
        <f>IFERROR(aurora_data!Q939,0)</f>
        <v>0</v>
      </c>
      <c r="S19" s="68">
        <f>IFERROR(aurora_data!R939,0)</f>
        <v>0</v>
      </c>
      <c r="T19" s="68">
        <f>IFERROR(aurora_data!S939,0)</f>
        <v>0</v>
      </c>
      <c r="U19" s="74">
        <f>IFERROR(aurora_data!T939,0)</f>
        <v>0</v>
      </c>
      <c r="V19" s="75" t="s">
        <v>95</v>
      </c>
      <c r="W19" s="60">
        <f>IFERROR(aurora_data!U939,0)</f>
        <v>0</v>
      </c>
      <c r="X19" s="73">
        <f t="shared" si="0"/>
        <v>0</v>
      </c>
      <c r="Y19" s="2"/>
    </row>
    <row r="20" spans="1:25" customFormat="1" ht="15.75" customHeight="1">
      <c r="A20" s="2"/>
      <c r="B20" s="206" t="s">
        <v>94</v>
      </c>
      <c r="C20" s="208" t="s">
        <v>55</v>
      </c>
      <c r="D20" s="34" t="s">
        <v>71</v>
      </c>
      <c r="E20" s="39">
        <f>IFERROR(aurora_data!D940,0)</f>
        <v>0</v>
      </c>
      <c r="F20" s="40">
        <f>IFERROR(aurora_data!E940,0)</f>
        <v>0</v>
      </c>
      <c r="G20" s="40">
        <f>IFERROR(aurora_data!F940,0)</f>
        <v>0</v>
      </c>
      <c r="H20" s="40">
        <f>IFERROR(aurora_data!G940,0)</f>
        <v>0</v>
      </c>
      <c r="I20" s="41">
        <f>IFERROR(aurora_data!H940,0)</f>
        <v>0</v>
      </c>
      <c r="J20" s="39">
        <f>IFERROR(aurora_data!I940,0)</f>
        <v>0</v>
      </c>
      <c r="K20" s="40">
        <f>IFERROR(aurora_data!J940,0)</f>
        <v>0</v>
      </c>
      <c r="L20" s="40">
        <f>IFERROR(aurora_data!K940,0)</f>
        <v>0</v>
      </c>
      <c r="M20" s="40">
        <f>IFERROR(aurora_data!L940,0)</f>
        <v>0</v>
      </c>
      <c r="N20" s="41">
        <f>IFERROR(aurora_data!M940,0)</f>
        <v>0</v>
      </c>
      <c r="O20" s="39">
        <f>IFERROR(aurora_data!N940,0)</f>
        <v>0</v>
      </c>
      <c r="P20" s="40">
        <f>IFERROR(aurora_data!O940,0)</f>
        <v>0</v>
      </c>
      <c r="Q20" s="40">
        <f>IFERROR(aurora_data!P940,0)</f>
        <v>0</v>
      </c>
      <c r="R20" s="41">
        <f>IFERROR(aurora_data!Q940,0)</f>
        <v>0</v>
      </c>
      <c r="S20" s="40">
        <f>IFERROR(aurora_data!R940,0)</f>
        <v>0</v>
      </c>
      <c r="T20" s="40">
        <f>IFERROR(aurora_data!S940,0)</f>
        <v>0</v>
      </c>
      <c r="U20" s="41">
        <f>IFERROR(aurora_data!T940,0)</f>
        <v>0</v>
      </c>
      <c r="V20" s="61" t="s">
        <v>95</v>
      </c>
      <c r="W20" s="39">
        <f>IFERROR(aurora_data!U940,0)</f>
        <v>2</v>
      </c>
      <c r="X20" s="70">
        <f>IFERROR(W20/$W$20,0)</f>
        <v>1</v>
      </c>
      <c r="Y20" s="2"/>
    </row>
    <row r="21" spans="1:25" customFormat="1" ht="15.75" customHeight="1">
      <c r="A21" s="2"/>
      <c r="B21" s="207"/>
      <c r="C21" s="209"/>
      <c r="D21" s="35" t="s">
        <v>96</v>
      </c>
      <c r="E21" s="36">
        <f>IFERROR(aurora_data!D941,0)</f>
        <v>1</v>
      </c>
      <c r="F21" s="62">
        <f>IFERROR(aurora_data!E941,0)</f>
        <v>1</v>
      </c>
      <c r="G21" s="62">
        <f>IFERROR(aurora_data!F941,0)</f>
        <v>0</v>
      </c>
      <c r="H21" s="62">
        <f>IFERROR(aurora_data!G941,0)</f>
        <v>0</v>
      </c>
      <c r="I21" s="63">
        <f>IFERROR(aurora_data!H941,0)</f>
        <v>0</v>
      </c>
      <c r="J21" s="36">
        <f>IFERROR(aurora_data!I941,0)</f>
        <v>0</v>
      </c>
      <c r="K21" s="62">
        <f>IFERROR(aurora_data!J941,0)</f>
        <v>0</v>
      </c>
      <c r="L21" s="62">
        <f>IFERROR(aurora_data!K941,0)</f>
        <v>0</v>
      </c>
      <c r="M21" s="62">
        <f>IFERROR(aurora_data!L941,0)</f>
        <v>2</v>
      </c>
      <c r="N21" s="63">
        <f>IFERROR(aurora_data!M941,0)</f>
        <v>0</v>
      </c>
      <c r="O21" s="36">
        <f>IFERROR(aurora_data!N941,0)</f>
        <v>1</v>
      </c>
      <c r="P21" s="62">
        <f>IFERROR(aurora_data!O941,0)</f>
        <v>0</v>
      </c>
      <c r="Q21" s="62">
        <f>IFERROR(aurora_data!P941,0)</f>
        <v>1</v>
      </c>
      <c r="R21" s="63">
        <f>IFERROR(aurora_data!Q941,0)</f>
        <v>0</v>
      </c>
      <c r="S21" s="62">
        <f>IFERROR(aurora_data!R941,0)</f>
        <v>2</v>
      </c>
      <c r="T21" s="62">
        <f>IFERROR(aurora_data!S941,0)</f>
        <v>0</v>
      </c>
      <c r="U21" s="63">
        <f>IFERROR(aurora_data!T941,0)</f>
        <v>0</v>
      </c>
      <c r="V21" s="64" t="s">
        <v>95</v>
      </c>
      <c r="W21" s="36">
        <f>IFERROR(aurora_data!U941,0)</f>
        <v>2</v>
      </c>
      <c r="X21" s="71">
        <f t="shared" ref="X21:X27" si="1">IFERROR(W21/$W$20,0)</f>
        <v>1</v>
      </c>
      <c r="Y21" s="2"/>
    </row>
    <row r="22" spans="1:25" customFormat="1" ht="15.75" customHeight="1">
      <c r="A22" s="2"/>
      <c r="B22" s="207"/>
      <c r="C22" s="209"/>
      <c r="D22" s="35" t="s">
        <v>60</v>
      </c>
      <c r="E22" s="36">
        <f>IFERROR(aurora_data!D942,0)</f>
        <v>0</v>
      </c>
      <c r="F22" s="62">
        <f>IFERROR(aurora_data!E942,0)</f>
        <v>0</v>
      </c>
      <c r="G22" s="62">
        <f>IFERROR(aurora_data!F942,0)</f>
        <v>0</v>
      </c>
      <c r="H22" s="62">
        <f>IFERROR(aurora_data!G942,0)</f>
        <v>0</v>
      </c>
      <c r="I22" s="63">
        <f>IFERROR(aurora_data!H942,0)</f>
        <v>0</v>
      </c>
      <c r="J22" s="36">
        <f>IFERROR(aurora_data!I942,0)</f>
        <v>0</v>
      </c>
      <c r="K22" s="62">
        <f>IFERROR(aurora_data!J942,0)</f>
        <v>0</v>
      </c>
      <c r="L22" s="62">
        <f>IFERROR(aurora_data!K942,0)</f>
        <v>0</v>
      </c>
      <c r="M22" s="62">
        <f>IFERROR(aurora_data!L942,0)</f>
        <v>0</v>
      </c>
      <c r="N22" s="63">
        <f>IFERROR(aurora_data!M942,0)</f>
        <v>0</v>
      </c>
      <c r="O22" s="36">
        <f>IFERROR(aurora_data!N942,0)</f>
        <v>0</v>
      </c>
      <c r="P22" s="62">
        <f>IFERROR(aurora_data!O942,0)</f>
        <v>0</v>
      </c>
      <c r="Q22" s="62">
        <f>IFERROR(aurora_data!P942,0)</f>
        <v>0</v>
      </c>
      <c r="R22" s="63">
        <f>IFERROR(aurora_data!Q942,0)</f>
        <v>0</v>
      </c>
      <c r="S22" s="62">
        <f>IFERROR(aurora_data!R942,0)</f>
        <v>0</v>
      </c>
      <c r="T22" s="62">
        <f>IFERROR(aurora_data!S942,0)</f>
        <v>0</v>
      </c>
      <c r="U22" s="63">
        <f>IFERROR(aurora_data!T942,0)</f>
        <v>0</v>
      </c>
      <c r="V22" s="64" t="s">
        <v>95</v>
      </c>
      <c r="W22" s="36">
        <f>IFERROR(aurora_data!U942,0)</f>
        <v>0</v>
      </c>
      <c r="X22" s="71">
        <f t="shared" si="1"/>
        <v>0</v>
      </c>
      <c r="Y22" s="2"/>
    </row>
    <row r="23" spans="1:25" customFormat="1" ht="15.75" customHeight="1">
      <c r="A23" s="2"/>
      <c r="B23" s="207"/>
      <c r="C23" s="209"/>
      <c r="D23" s="35" t="s">
        <v>97</v>
      </c>
      <c r="E23" s="36">
        <f>IFERROR(aurora_data!D943,0)</f>
        <v>0</v>
      </c>
      <c r="F23" s="62">
        <f>IFERROR(aurora_data!E943,0)</f>
        <v>0</v>
      </c>
      <c r="G23" s="62">
        <f>IFERROR(aurora_data!F943,0)</f>
        <v>0</v>
      </c>
      <c r="H23" s="62">
        <f>IFERROR(aurora_data!G943,0)</f>
        <v>0</v>
      </c>
      <c r="I23" s="63">
        <f>IFERROR(aurora_data!H943,0)</f>
        <v>0</v>
      </c>
      <c r="J23" s="36">
        <f>IFERROR(aurora_data!I943,0)</f>
        <v>0</v>
      </c>
      <c r="K23" s="62">
        <f>IFERROR(aurora_data!J943,0)</f>
        <v>0</v>
      </c>
      <c r="L23" s="62">
        <f>IFERROR(aurora_data!K943,0)</f>
        <v>0</v>
      </c>
      <c r="M23" s="62">
        <f>IFERROR(aurora_data!L943,0)</f>
        <v>0</v>
      </c>
      <c r="N23" s="63">
        <f>IFERROR(aurora_data!M943,0)</f>
        <v>0</v>
      </c>
      <c r="O23" s="36">
        <f>IFERROR(aurora_data!N943,0)</f>
        <v>0</v>
      </c>
      <c r="P23" s="62">
        <f>IFERROR(aurora_data!O943,0)</f>
        <v>0</v>
      </c>
      <c r="Q23" s="62">
        <f>IFERROR(aurora_data!P943,0)</f>
        <v>0</v>
      </c>
      <c r="R23" s="63">
        <f>IFERROR(aurora_data!Q943,0)</f>
        <v>0</v>
      </c>
      <c r="S23" s="62">
        <f>IFERROR(aurora_data!R943,0)</f>
        <v>0</v>
      </c>
      <c r="T23" s="62">
        <f>IFERROR(aurora_data!S943,0)</f>
        <v>0</v>
      </c>
      <c r="U23" s="63">
        <f>IFERROR(aurora_data!T943,0)</f>
        <v>0</v>
      </c>
      <c r="V23" s="64" t="s">
        <v>95</v>
      </c>
      <c r="W23" s="36">
        <f>IFERROR(aurora_data!U943,0)</f>
        <v>0</v>
      </c>
      <c r="X23" s="71">
        <f t="shared" si="1"/>
        <v>0</v>
      </c>
      <c r="Y23" s="2"/>
    </row>
    <row r="24" spans="1:25" customFormat="1" ht="16.5" customHeight="1">
      <c r="A24" s="2"/>
      <c r="B24" s="207"/>
      <c r="C24" s="209"/>
      <c r="D24" s="35" t="s">
        <v>98</v>
      </c>
      <c r="E24" s="36">
        <f>IFERROR(aurora_data!D944,0)</f>
        <v>0</v>
      </c>
      <c r="F24" s="62">
        <f>IFERROR(aurora_data!E944,0)</f>
        <v>0</v>
      </c>
      <c r="G24" s="62">
        <f>IFERROR(aurora_data!F944,0)</f>
        <v>0</v>
      </c>
      <c r="H24" s="62">
        <f>IFERROR(aurora_data!G944,0)</f>
        <v>0</v>
      </c>
      <c r="I24" s="63">
        <f>IFERROR(aurora_data!H944,0)</f>
        <v>0</v>
      </c>
      <c r="J24" s="36">
        <f>IFERROR(aurora_data!I944,0)</f>
        <v>0</v>
      </c>
      <c r="K24" s="62">
        <f>IFERROR(aurora_data!J944,0)</f>
        <v>0</v>
      </c>
      <c r="L24" s="62">
        <f>IFERROR(aurora_data!K944,0)</f>
        <v>0</v>
      </c>
      <c r="M24" s="62">
        <f>IFERROR(aurora_data!L944,0)</f>
        <v>0</v>
      </c>
      <c r="N24" s="63">
        <f>IFERROR(aurora_data!M944,0)</f>
        <v>0</v>
      </c>
      <c r="O24" s="36">
        <f>IFERROR(aurora_data!N944,0)</f>
        <v>0</v>
      </c>
      <c r="P24" s="62">
        <f>IFERROR(aurora_data!O944,0)</f>
        <v>0</v>
      </c>
      <c r="Q24" s="62">
        <f>IFERROR(aurora_data!P944,0)</f>
        <v>0</v>
      </c>
      <c r="R24" s="63">
        <f>IFERROR(aurora_data!Q944,0)</f>
        <v>0</v>
      </c>
      <c r="S24" s="62">
        <f>IFERROR(aurora_data!R944,0)</f>
        <v>0</v>
      </c>
      <c r="T24" s="62">
        <f>IFERROR(aurora_data!S944,0)</f>
        <v>0</v>
      </c>
      <c r="U24" s="63">
        <f>IFERROR(aurora_data!T944,0)</f>
        <v>0</v>
      </c>
      <c r="V24" s="64" t="s">
        <v>95</v>
      </c>
      <c r="W24" s="36">
        <f>IFERROR(aurora_data!U944,0)</f>
        <v>0</v>
      </c>
      <c r="X24" s="71">
        <f t="shared" si="1"/>
        <v>0</v>
      </c>
      <c r="Y24" s="2"/>
    </row>
    <row r="25" spans="1:25" customFormat="1" ht="16.5" customHeight="1" thickBot="1">
      <c r="A25" s="2"/>
      <c r="B25" s="207"/>
      <c r="C25" s="209"/>
      <c r="D25" s="35" t="s">
        <v>99</v>
      </c>
      <c r="E25" s="36">
        <f>IFERROR(aurora_data!D945,0)</f>
        <v>0</v>
      </c>
      <c r="F25" s="62">
        <f>IFERROR(aurora_data!E945,0)</f>
        <v>0</v>
      </c>
      <c r="G25" s="62">
        <f>IFERROR(aurora_data!F945,0)</f>
        <v>0</v>
      </c>
      <c r="H25" s="62">
        <f>IFERROR(aurora_data!G945,0)</f>
        <v>0</v>
      </c>
      <c r="I25" s="63">
        <f>IFERROR(aurora_data!H945,0)</f>
        <v>0</v>
      </c>
      <c r="J25" s="36">
        <f>IFERROR(aurora_data!I945,0)</f>
        <v>0</v>
      </c>
      <c r="K25" s="62">
        <f>IFERROR(aurora_data!J945,0)</f>
        <v>0</v>
      </c>
      <c r="L25" s="62">
        <f>IFERROR(aurora_data!K945,0)</f>
        <v>0</v>
      </c>
      <c r="M25" s="62">
        <f>IFERROR(aurora_data!L945,0)</f>
        <v>0</v>
      </c>
      <c r="N25" s="63">
        <f>IFERROR(aurora_data!M945,0)</f>
        <v>0</v>
      </c>
      <c r="O25" s="36">
        <f>IFERROR(aurora_data!N945,0)</f>
        <v>0</v>
      </c>
      <c r="P25" s="62">
        <f>IFERROR(aurora_data!O945,0)</f>
        <v>0</v>
      </c>
      <c r="Q25" s="62">
        <f>IFERROR(aurora_data!P945,0)</f>
        <v>0</v>
      </c>
      <c r="R25" s="63">
        <f>IFERROR(aurora_data!Q945,0)</f>
        <v>0</v>
      </c>
      <c r="S25" s="62">
        <f>IFERROR(aurora_data!R945,0)</f>
        <v>0</v>
      </c>
      <c r="T25" s="62">
        <f>IFERROR(aurora_data!S945,0)</f>
        <v>0</v>
      </c>
      <c r="U25" s="63">
        <f>IFERROR(aurora_data!T945,0)</f>
        <v>0</v>
      </c>
      <c r="V25" s="64" t="s">
        <v>95</v>
      </c>
      <c r="W25" s="36">
        <f>IFERROR(aurora_data!U945,0)</f>
        <v>0</v>
      </c>
      <c r="X25" s="71">
        <f t="shared" si="1"/>
        <v>0</v>
      </c>
      <c r="Y25" s="2"/>
    </row>
    <row r="26" spans="1:25" customFormat="1" ht="16.5" customHeight="1" thickBot="1">
      <c r="A26" s="2"/>
      <c r="B26" s="207"/>
      <c r="C26" s="209"/>
      <c r="D26" s="37" t="s">
        <v>64</v>
      </c>
      <c r="E26" s="59">
        <f>IFERROR(aurora_data!D946,0)</f>
        <v>1</v>
      </c>
      <c r="F26" s="65">
        <f>IFERROR(aurora_data!E946,0)</f>
        <v>1</v>
      </c>
      <c r="G26" s="65">
        <f>IFERROR(aurora_data!F946,0)</f>
        <v>0</v>
      </c>
      <c r="H26" s="65">
        <f>IFERROR(aurora_data!G946,0)</f>
        <v>0</v>
      </c>
      <c r="I26" s="66">
        <f>IFERROR(aurora_data!H946,0)</f>
        <v>0</v>
      </c>
      <c r="J26" s="59">
        <f>IFERROR(aurora_data!I946,0)</f>
        <v>0</v>
      </c>
      <c r="K26" s="65">
        <f>IFERROR(aurora_data!J946,0)</f>
        <v>0</v>
      </c>
      <c r="L26" s="65">
        <f>IFERROR(aurora_data!K946,0)</f>
        <v>0</v>
      </c>
      <c r="M26" s="65">
        <f>IFERROR(aurora_data!L946,0)</f>
        <v>2</v>
      </c>
      <c r="N26" s="66">
        <f>IFERROR(aurora_data!M946,0)</f>
        <v>0</v>
      </c>
      <c r="O26" s="59">
        <f>IFERROR(aurora_data!N946,0)</f>
        <v>1</v>
      </c>
      <c r="P26" s="65">
        <f>IFERROR(aurora_data!O946,0)</f>
        <v>0</v>
      </c>
      <c r="Q26" s="65">
        <f>IFERROR(aurora_data!P946,0)</f>
        <v>1</v>
      </c>
      <c r="R26" s="66">
        <f>IFERROR(aurora_data!Q946,0)</f>
        <v>0</v>
      </c>
      <c r="S26" s="65">
        <f>IFERROR(aurora_data!R946,0)</f>
        <v>2</v>
      </c>
      <c r="T26" s="65">
        <f>IFERROR(aurora_data!S946,0)</f>
        <v>0</v>
      </c>
      <c r="U26" s="66">
        <f>IFERROR(aurora_data!T946,0)</f>
        <v>0</v>
      </c>
      <c r="V26" s="67" t="s">
        <v>95</v>
      </c>
      <c r="W26" s="59">
        <f>IFERROR(aurora_data!U946,0)</f>
        <v>2</v>
      </c>
      <c r="X26" s="72">
        <f t="shared" si="1"/>
        <v>1</v>
      </c>
      <c r="Y26" s="2"/>
    </row>
    <row r="27" spans="1:25" customFormat="1" ht="16.5" customHeight="1" thickBot="1">
      <c r="A27" s="2"/>
      <c r="B27" s="207"/>
      <c r="C27" s="209"/>
      <c r="D27" s="38" t="s">
        <v>100</v>
      </c>
      <c r="E27" s="60">
        <f>IFERROR(aurora_data!D947,0)</f>
        <v>0</v>
      </c>
      <c r="F27" s="68">
        <f>IFERROR(aurora_data!E947,0)</f>
        <v>0</v>
      </c>
      <c r="G27" s="68">
        <f>IFERROR(aurora_data!F947,0)</f>
        <v>0</v>
      </c>
      <c r="H27" s="68">
        <f>IFERROR(aurora_data!G947,0)</f>
        <v>0</v>
      </c>
      <c r="I27" s="69">
        <f>IFERROR(aurora_data!H947,0)</f>
        <v>0</v>
      </c>
      <c r="J27" s="60">
        <f>IFERROR(aurora_data!I947,0)</f>
        <v>0</v>
      </c>
      <c r="K27" s="68">
        <f>IFERROR(aurora_data!J947,0)</f>
        <v>0</v>
      </c>
      <c r="L27" s="68">
        <f>IFERROR(aurora_data!K947,0)</f>
        <v>0</v>
      </c>
      <c r="M27" s="68">
        <f>IFERROR(aurora_data!L947,0)</f>
        <v>0</v>
      </c>
      <c r="N27" s="69">
        <f>IFERROR(aurora_data!M947,0)</f>
        <v>0</v>
      </c>
      <c r="O27" s="60">
        <f>IFERROR(aurora_data!N947,0)</f>
        <v>0</v>
      </c>
      <c r="P27" s="68">
        <f>IFERROR(aurora_data!O947,0)</f>
        <v>0</v>
      </c>
      <c r="Q27" s="68">
        <f>IFERROR(aurora_data!P947,0)</f>
        <v>0</v>
      </c>
      <c r="R27" s="69">
        <f>IFERROR(aurora_data!Q947,0)</f>
        <v>0</v>
      </c>
      <c r="S27" s="68">
        <f>IFERROR(aurora_data!R947,0)</f>
        <v>0</v>
      </c>
      <c r="T27" s="68">
        <f>IFERROR(aurora_data!S947,0)</f>
        <v>0</v>
      </c>
      <c r="U27" s="74">
        <f>IFERROR(aurora_data!T947,0)</f>
        <v>0</v>
      </c>
      <c r="V27" s="75" t="s">
        <v>95</v>
      </c>
      <c r="W27" s="60">
        <f>IFERROR(aurora_data!U947,0)</f>
        <v>0</v>
      </c>
      <c r="X27" s="73">
        <f t="shared" si="1"/>
        <v>0</v>
      </c>
      <c r="Y27" s="2"/>
    </row>
    <row r="28" spans="1:25" ht="16.5" customHeight="1">
      <c r="B28" s="97"/>
      <c r="C28" s="97"/>
    </row>
  </sheetData>
  <mergeCells count="26">
    <mergeCell ref="C12:C19"/>
    <mergeCell ref="B20:B27"/>
    <mergeCell ref="C20:C27"/>
    <mergeCell ref="B8:D8"/>
    <mergeCell ref="E8:U8"/>
    <mergeCell ref="B12:B19"/>
    <mergeCell ref="W8:X11"/>
    <mergeCell ref="B9:C9"/>
    <mergeCell ref="E9:I9"/>
    <mergeCell ref="J9:N9"/>
    <mergeCell ref="O9:R9"/>
    <mergeCell ref="S9:U9"/>
    <mergeCell ref="B10:B11"/>
    <mergeCell ref="E10:I10"/>
    <mergeCell ref="J10:N10"/>
    <mergeCell ref="O10:R10"/>
    <mergeCell ref="S10:U10"/>
    <mergeCell ref="A1:C1"/>
    <mergeCell ref="D1:H1"/>
    <mergeCell ref="A2:C2"/>
    <mergeCell ref="D2:H2"/>
    <mergeCell ref="K2:X6"/>
    <mergeCell ref="D3:E3"/>
    <mergeCell ref="F3:H3"/>
    <mergeCell ref="D5:G5"/>
    <mergeCell ref="D6:H6"/>
  </mergeCells>
  <conditionalFormatting sqref="E13:W13">
    <cfRule type="expression" dxfId="207" priority="2">
      <formula>ROUND(E$13,0) &gt;= ROUND(E$12,0)</formula>
    </cfRule>
  </conditionalFormatting>
  <conditionalFormatting sqref="E18:W18">
    <cfRule type="expression" dxfId="206" priority="3">
      <formula>ROUND(E$18,0) &lt; ROUND(E$12,0)</formula>
    </cfRule>
  </conditionalFormatting>
  <conditionalFormatting sqref="E21:W21">
    <cfRule type="expression" dxfId="205" priority="1">
      <formula>ROUND(E$21,0) &gt;= ROUND(E$20,0)</formula>
    </cfRule>
  </conditionalFormatting>
  <conditionalFormatting sqref="E26:W26">
    <cfRule type="expression" dxfId="204" priority="4">
      <formula>ROUND(E$26,0) &lt; ROUND(E$20,0)</formula>
    </cfRule>
  </conditionalFormatting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E7592C-3D1D-4392-B67F-253170A3E813}">
  <sheetPr>
    <tabColor rgb="FF7030A0"/>
  </sheetPr>
  <dimension ref="A1:Y28"/>
  <sheetViews>
    <sheetView zoomScale="85" zoomScaleNormal="85" workbookViewId="0">
      <selection sqref="A1:C1"/>
    </sheetView>
  </sheetViews>
  <sheetFormatPr defaultColWidth="2.625" defaultRowHeight="15.75"/>
  <cols>
    <col min="1" max="1" width="1.375" style="2" customWidth="1"/>
    <col min="2" max="2" width="10.875" style="2" customWidth="1"/>
    <col min="3" max="3" width="15.625" style="2" customWidth="1"/>
    <col min="4" max="4" width="22.625" style="4" customWidth="1"/>
    <col min="5" max="8" width="7.625" style="4" customWidth="1"/>
    <col min="9" max="9" width="6.625" style="4" hidden="1" customWidth="1"/>
    <col min="10" max="21" width="7.625" style="4" customWidth="1"/>
    <col min="22" max="22" width="0.625" style="2" customWidth="1"/>
    <col min="23" max="24" width="5.875" style="2" customWidth="1"/>
    <col min="25" max="25" width="12.5" style="2" customWidth="1"/>
    <col min="26" max="26" width="2.625" style="2" customWidth="1"/>
    <col min="27" max="64" width="7.625" style="2" customWidth="1"/>
    <col min="65" max="16323" width="2.625" style="2"/>
    <col min="16324" max="16324" width="1.375" style="2" customWidth="1"/>
    <col min="16325" max="16325" width="2.625" style="2" customWidth="1"/>
    <col min="16326" max="16326" width="3.5" style="2" customWidth="1"/>
    <col min="16327" max="16327" width="1" style="2" customWidth="1"/>
    <col min="16328" max="16328" width="0.875" style="2" customWidth="1"/>
    <col min="16329" max="16329" width="2.375" style="2" customWidth="1"/>
    <col min="16330" max="16384" width="20.375" style="2" customWidth="1"/>
  </cols>
  <sheetData>
    <row r="1" spans="1:25" customFormat="1" ht="25.5" customHeight="1">
      <c r="A1" s="151" t="s">
        <v>77</v>
      </c>
      <c r="B1" s="152"/>
      <c r="C1" s="153"/>
      <c r="D1" s="154" t="s">
        <v>78</v>
      </c>
      <c r="E1" s="155"/>
      <c r="F1" s="155"/>
      <c r="G1" s="155"/>
      <c r="H1" s="156"/>
      <c r="I1" s="98"/>
      <c r="J1" s="88"/>
      <c r="K1" s="100"/>
      <c r="L1" s="100"/>
      <c r="M1" s="100"/>
      <c r="N1" s="100" t="s">
        <v>79</v>
      </c>
      <c r="O1" s="100"/>
      <c r="P1" s="100"/>
      <c r="Q1" s="100"/>
      <c r="R1" s="100"/>
      <c r="S1" s="100"/>
      <c r="T1" s="100"/>
      <c r="U1" s="100"/>
      <c r="V1" s="100"/>
      <c r="W1" s="100"/>
      <c r="X1" s="106"/>
      <c r="Y1" s="108"/>
    </row>
    <row r="2" spans="1:25" customFormat="1" ht="31.5" customHeight="1">
      <c r="A2" s="157" t="s">
        <v>80</v>
      </c>
      <c r="B2" s="157"/>
      <c r="C2" s="158"/>
      <c r="D2" s="217" t="str">
        <f>_xlfn.CONCAT("Study Name: ","
OSEP – Orthopedic Impairment - Digital")</f>
        <v>Study Name: 
OSEP – Orthopedic Impairment - Digital</v>
      </c>
      <c r="E2" s="218"/>
      <c r="F2" s="218"/>
      <c r="G2" s="218"/>
      <c r="H2" s="219"/>
      <c r="I2" s="4"/>
      <c r="J2" s="4"/>
      <c r="K2" s="162" t="s">
        <v>81</v>
      </c>
      <c r="L2" s="163"/>
      <c r="M2" s="163"/>
      <c r="N2" s="163"/>
      <c r="O2" s="163"/>
      <c r="P2" s="163"/>
      <c r="Q2" s="163"/>
      <c r="R2" s="163"/>
      <c r="S2" s="163"/>
      <c r="T2" s="163"/>
      <c r="U2" s="163"/>
      <c r="V2" s="163"/>
      <c r="W2" s="163"/>
      <c r="X2" s="164"/>
      <c r="Y2" s="103"/>
    </row>
    <row r="3" spans="1:25" customFormat="1" ht="30.75" customHeight="1" thickBot="1">
      <c r="A3" s="2"/>
      <c r="B3" s="2"/>
      <c r="C3" s="2"/>
      <c r="D3" s="169" t="str">
        <f>_xlfn.CONCAT("Study Acronym: ","
OSEP_OI_D")</f>
        <v>Study Acronym: 
OSEP_OI_D</v>
      </c>
      <c r="E3" s="170"/>
      <c r="F3" s="171" t="s">
        <v>270</v>
      </c>
      <c r="G3" s="172"/>
      <c r="H3" s="173"/>
      <c r="I3" s="4"/>
      <c r="J3" s="4"/>
      <c r="K3" s="165"/>
      <c r="L3" s="163"/>
      <c r="M3" s="163"/>
      <c r="N3" s="163"/>
      <c r="O3" s="163"/>
      <c r="P3" s="163"/>
      <c r="Q3" s="163"/>
      <c r="R3" s="163"/>
      <c r="S3" s="163"/>
      <c r="T3" s="163"/>
      <c r="U3" s="163"/>
      <c r="V3" s="163"/>
      <c r="W3" s="163"/>
      <c r="X3" s="164"/>
      <c r="Y3" s="103"/>
    </row>
    <row r="4" spans="1:25" customFormat="1" ht="16.5" customHeight="1">
      <c r="A4" s="2"/>
      <c r="B4" s="24"/>
      <c r="C4" s="2"/>
      <c r="D4" s="2"/>
      <c r="E4" s="25"/>
      <c r="F4" s="25"/>
      <c r="G4" s="25"/>
      <c r="H4" s="25"/>
      <c r="I4" s="25"/>
      <c r="J4" s="25"/>
      <c r="K4" s="165"/>
      <c r="L4" s="163"/>
      <c r="M4" s="163"/>
      <c r="N4" s="163"/>
      <c r="O4" s="163"/>
      <c r="P4" s="163"/>
      <c r="Q4" s="163"/>
      <c r="R4" s="163"/>
      <c r="S4" s="163"/>
      <c r="T4" s="163"/>
      <c r="U4" s="163"/>
      <c r="V4" s="163"/>
      <c r="W4" s="163"/>
      <c r="X4" s="164"/>
      <c r="Y4" s="104"/>
    </row>
    <row r="5" spans="1:25" customFormat="1" ht="21.95" customHeight="1" thickBot="1">
      <c r="A5" s="2"/>
      <c r="B5" s="2"/>
      <c r="C5" s="102"/>
      <c r="D5" s="154" t="s">
        <v>82</v>
      </c>
      <c r="E5" s="155"/>
      <c r="F5" s="155"/>
      <c r="G5" s="155"/>
      <c r="H5" s="101"/>
      <c r="I5" s="98"/>
      <c r="J5" s="98"/>
      <c r="K5" s="165"/>
      <c r="L5" s="163"/>
      <c r="M5" s="163"/>
      <c r="N5" s="163"/>
      <c r="O5" s="163"/>
      <c r="P5" s="163"/>
      <c r="Q5" s="163"/>
      <c r="R5" s="163"/>
      <c r="S5" s="163"/>
      <c r="T5" s="163"/>
      <c r="U5" s="163"/>
      <c r="V5" s="163"/>
      <c r="W5" s="163"/>
      <c r="X5" s="164"/>
      <c r="Y5" s="105"/>
    </row>
    <row r="6" spans="1:25" customFormat="1" ht="60.95" customHeight="1" thickBot="1">
      <c r="A6" s="2"/>
      <c r="B6" s="2"/>
      <c r="C6" s="99"/>
      <c r="D6" s="214" t="s">
        <v>101</v>
      </c>
      <c r="E6" s="215"/>
      <c r="F6" s="215"/>
      <c r="G6" s="215"/>
      <c r="H6" s="216"/>
      <c r="I6" s="124"/>
      <c r="J6" s="125"/>
      <c r="K6" s="166"/>
      <c r="L6" s="167"/>
      <c r="M6" s="167"/>
      <c r="N6" s="167"/>
      <c r="O6" s="167"/>
      <c r="P6" s="167"/>
      <c r="Q6" s="167"/>
      <c r="R6" s="167"/>
      <c r="S6" s="167"/>
      <c r="T6" s="167"/>
      <c r="U6" s="167"/>
      <c r="V6" s="167"/>
      <c r="W6" s="167"/>
      <c r="X6" s="168"/>
      <c r="Y6" s="107"/>
    </row>
    <row r="7" spans="1:25" customFormat="1" ht="16.5" customHeight="1" thickBot="1">
      <c r="A7" s="2"/>
      <c r="B7" s="3"/>
      <c r="C7" s="26"/>
      <c r="D7" s="27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8"/>
      <c r="W7" s="3"/>
      <c r="X7" s="3"/>
      <c r="Y7" s="2"/>
    </row>
    <row r="8" spans="1:25" customFormat="1">
      <c r="A8" s="2"/>
      <c r="B8" s="177" t="str">
        <f>_xlfn.CONCAT("Last Refreshed at: ",aurora_data!V1032)</f>
        <v>Last Refreshed at: 09/17/2026 @ 7:20 AM</v>
      </c>
      <c r="C8" s="178"/>
      <c r="D8" s="178"/>
      <c r="E8" s="179" t="s">
        <v>83</v>
      </c>
      <c r="F8" s="180"/>
      <c r="G8" s="180"/>
      <c r="H8" s="180"/>
      <c r="I8" s="180"/>
      <c r="J8" s="180"/>
      <c r="K8" s="180"/>
      <c r="L8" s="180"/>
      <c r="M8" s="180"/>
      <c r="N8" s="180"/>
      <c r="O8" s="180"/>
      <c r="P8" s="180"/>
      <c r="Q8" s="180"/>
      <c r="R8" s="180"/>
      <c r="S8" s="180"/>
      <c r="T8" s="180"/>
      <c r="U8" s="181"/>
      <c r="V8" s="44"/>
      <c r="W8" s="182" t="s">
        <v>84</v>
      </c>
      <c r="X8" s="183"/>
      <c r="Y8" s="2"/>
    </row>
    <row r="9" spans="1:25" customFormat="1" ht="16.5" customHeight="1" thickBot="1">
      <c r="A9" s="2"/>
      <c r="B9" s="188"/>
      <c r="C9" s="189"/>
      <c r="D9" s="29" t="s">
        <v>85</v>
      </c>
      <c r="E9" s="190" t="s">
        <v>86</v>
      </c>
      <c r="F9" s="191"/>
      <c r="G9" s="191"/>
      <c r="H9" s="191"/>
      <c r="I9" s="191"/>
      <c r="J9" s="192" t="s">
        <v>86</v>
      </c>
      <c r="K9" s="193"/>
      <c r="L9" s="193"/>
      <c r="M9" s="193"/>
      <c r="N9" s="193"/>
      <c r="O9" s="194" t="s">
        <v>86</v>
      </c>
      <c r="P9" s="195"/>
      <c r="Q9" s="195"/>
      <c r="R9" s="195"/>
      <c r="S9" s="196" t="s">
        <v>86</v>
      </c>
      <c r="T9" s="197"/>
      <c r="U9" s="197"/>
      <c r="V9" s="28"/>
      <c r="W9" s="184"/>
      <c r="X9" s="185"/>
      <c r="Y9" s="2"/>
    </row>
    <row r="10" spans="1:25" customFormat="1" ht="17.25" thickTop="1" thickBot="1">
      <c r="A10" s="2"/>
      <c r="B10" s="198" t="s">
        <v>87</v>
      </c>
      <c r="C10" s="30"/>
      <c r="D10" s="31"/>
      <c r="E10" s="199" t="s">
        <v>88</v>
      </c>
      <c r="F10" s="200"/>
      <c r="G10" s="200"/>
      <c r="H10" s="200"/>
      <c r="I10" s="201"/>
      <c r="J10" s="200" t="s">
        <v>89</v>
      </c>
      <c r="K10" s="200"/>
      <c r="L10" s="200"/>
      <c r="M10" s="200"/>
      <c r="N10" s="201"/>
      <c r="O10" s="202" t="s">
        <v>90</v>
      </c>
      <c r="P10" s="202"/>
      <c r="Q10" s="202"/>
      <c r="R10" s="202"/>
      <c r="S10" s="203" t="s">
        <v>91</v>
      </c>
      <c r="T10" s="204"/>
      <c r="U10" s="205"/>
      <c r="V10" s="32"/>
      <c r="W10" s="184"/>
      <c r="X10" s="185"/>
      <c r="Y10" s="2"/>
    </row>
    <row r="11" spans="1:25" customFormat="1" ht="17.25" thickTop="1" thickBot="1">
      <c r="A11" s="2"/>
      <c r="B11" s="198"/>
      <c r="C11" s="30" t="s">
        <v>35</v>
      </c>
      <c r="D11" s="33" t="s">
        <v>37</v>
      </c>
      <c r="E11" s="96">
        <v>1</v>
      </c>
      <c r="F11" s="94">
        <v>2</v>
      </c>
      <c r="G11" s="95" t="s">
        <v>40</v>
      </c>
      <c r="H11" s="95">
        <v>4</v>
      </c>
      <c r="I11" s="95">
        <v>5</v>
      </c>
      <c r="J11" s="89" t="s">
        <v>43</v>
      </c>
      <c r="K11" s="89" t="s">
        <v>44</v>
      </c>
      <c r="L11" s="89" t="s">
        <v>45</v>
      </c>
      <c r="M11" s="93" t="s">
        <v>92</v>
      </c>
      <c r="N11" s="93" t="s">
        <v>47</v>
      </c>
      <c r="O11" s="89" t="s">
        <v>48</v>
      </c>
      <c r="P11" s="89" t="s">
        <v>49</v>
      </c>
      <c r="Q11" s="89" t="s">
        <v>50</v>
      </c>
      <c r="R11" s="89" t="s">
        <v>51</v>
      </c>
      <c r="S11" s="90" t="s">
        <v>52</v>
      </c>
      <c r="T11" s="91" t="s">
        <v>53</v>
      </c>
      <c r="U11" s="92" t="s">
        <v>93</v>
      </c>
      <c r="V11" s="28"/>
      <c r="W11" s="186"/>
      <c r="X11" s="187"/>
      <c r="Y11" s="2"/>
    </row>
    <row r="12" spans="1:25" customFormat="1">
      <c r="A12" s="2"/>
      <c r="B12" s="210" t="s">
        <v>94</v>
      </c>
      <c r="C12" s="212" t="str">
        <f>aurora_data!A1032</f>
        <v>06.00.00-16.11.30</v>
      </c>
      <c r="D12" s="34" t="s">
        <v>71</v>
      </c>
      <c r="E12" s="39">
        <f>IFERROR(aurora_data!D1032,0)</f>
        <v>0</v>
      </c>
      <c r="F12" s="40">
        <f>IFERROR(aurora_data!E1032,0)</f>
        <v>0</v>
      </c>
      <c r="G12" s="40">
        <f>IFERROR(aurora_data!F1032,0)</f>
        <v>0</v>
      </c>
      <c r="H12" s="40">
        <f>IFERROR(aurora_data!G1032,0)</f>
        <v>0</v>
      </c>
      <c r="I12" s="41">
        <f>IFERROR(aurora_data!H1032,0)</f>
        <v>0</v>
      </c>
      <c r="J12" s="39">
        <f>IFERROR(aurora_data!I1032,0)</f>
        <v>0</v>
      </c>
      <c r="K12" s="40">
        <f>IFERROR(aurora_data!J1032,0)</f>
        <v>0</v>
      </c>
      <c r="L12" s="40">
        <f>IFERROR(aurora_data!K1032,0)</f>
        <v>0</v>
      </c>
      <c r="M12" s="40">
        <f>IFERROR(aurora_data!L1032,0)</f>
        <v>0</v>
      </c>
      <c r="N12" s="41">
        <f>IFERROR(aurora_data!M1032,0)</f>
        <v>0</v>
      </c>
      <c r="O12" s="39">
        <f>IFERROR(aurora_data!N1032,0)</f>
        <v>0</v>
      </c>
      <c r="P12" s="40">
        <f>IFERROR(aurora_data!O1032,0)</f>
        <v>0</v>
      </c>
      <c r="Q12" s="40">
        <f>IFERROR(aurora_data!P1032,0)</f>
        <v>0</v>
      </c>
      <c r="R12" s="41">
        <f>IFERROR(aurora_data!Q1032,0)</f>
        <v>0</v>
      </c>
      <c r="S12" s="40">
        <f>IFERROR(aurora_data!R1032,0)</f>
        <v>0</v>
      </c>
      <c r="T12" s="40">
        <f>IFERROR(aurora_data!S1032,0)</f>
        <v>0</v>
      </c>
      <c r="U12" s="76">
        <f>IFERROR(aurora_data!T1032,0)</f>
        <v>0</v>
      </c>
      <c r="V12" s="61" t="s">
        <v>95</v>
      </c>
      <c r="W12" s="39">
        <f>IFERROR(aurora_data!U1032,0)</f>
        <v>1</v>
      </c>
      <c r="X12" s="70">
        <f>IFERROR(W12/$W$12,0)</f>
        <v>1</v>
      </c>
      <c r="Y12" s="2"/>
    </row>
    <row r="13" spans="1:25" customFormat="1">
      <c r="A13" s="2"/>
      <c r="B13" s="211"/>
      <c r="C13" s="213"/>
      <c r="D13" s="35" t="s">
        <v>96</v>
      </c>
      <c r="E13" s="110">
        <f>IFERROR(aurora_data!D1033,0)</f>
        <v>0</v>
      </c>
      <c r="F13" s="62">
        <f>IFERROR(aurora_data!E1033,0)</f>
        <v>0</v>
      </c>
      <c r="G13" s="62">
        <f>IFERROR(aurora_data!F1033,0)</f>
        <v>0</v>
      </c>
      <c r="H13" s="62">
        <f>IFERROR(aurora_data!G1033,0)</f>
        <v>0</v>
      </c>
      <c r="I13" s="63">
        <f>IFERROR(aurora_data!H1033,0)</f>
        <v>0</v>
      </c>
      <c r="J13" s="36">
        <f>IFERROR(aurora_data!I1033,0)</f>
        <v>0</v>
      </c>
      <c r="K13" s="62">
        <f>IFERROR(aurora_data!J1033,0)</f>
        <v>0</v>
      </c>
      <c r="L13" s="62">
        <f>IFERROR(aurora_data!K1033,0)</f>
        <v>0</v>
      </c>
      <c r="M13" s="62">
        <f>IFERROR(aurora_data!L1033,0)</f>
        <v>0</v>
      </c>
      <c r="N13" s="63">
        <f>IFERROR(aurora_data!M1033,0)</f>
        <v>0</v>
      </c>
      <c r="O13" s="36">
        <f>IFERROR(aurora_data!N1033,0)</f>
        <v>0</v>
      </c>
      <c r="P13" s="62">
        <f>IFERROR(aurora_data!O1033,0)</f>
        <v>0</v>
      </c>
      <c r="Q13" s="62">
        <f>IFERROR(aurora_data!P1033,0)</f>
        <v>0</v>
      </c>
      <c r="R13" s="63">
        <f>IFERROR(aurora_data!Q1033,0)</f>
        <v>0</v>
      </c>
      <c r="S13" s="62">
        <f>IFERROR(aurora_data!R1033,0)</f>
        <v>0</v>
      </c>
      <c r="T13" s="62">
        <f>IFERROR(aurora_data!S1033,0)</f>
        <v>0</v>
      </c>
      <c r="U13" s="63">
        <f>IFERROR(aurora_data!T1033,0)</f>
        <v>0</v>
      </c>
      <c r="V13" s="64" t="s">
        <v>95</v>
      </c>
      <c r="W13" s="36">
        <f>IFERROR(aurora_data!U1033,0)</f>
        <v>0</v>
      </c>
      <c r="X13" s="71">
        <f t="shared" ref="X13:X19" si="0">IFERROR(W13/$W$12,0)</f>
        <v>0</v>
      </c>
      <c r="Y13" s="2"/>
    </row>
    <row r="14" spans="1:25" customFormat="1">
      <c r="A14" s="2"/>
      <c r="B14" s="211"/>
      <c r="C14" s="213"/>
      <c r="D14" s="35" t="s">
        <v>60</v>
      </c>
      <c r="E14" s="110">
        <f>IFERROR(aurora_data!D1034,0)</f>
        <v>0</v>
      </c>
      <c r="F14" s="62">
        <f>IFERROR(aurora_data!E1034,0)</f>
        <v>0</v>
      </c>
      <c r="G14" s="62">
        <f>IFERROR(aurora_data!F1034,0)</f>
        <v>0</v>
      </c>
      <c r="H14" s="62">
        <f>IFERROR(aurora_data!G1034,0)</f>
        <v>0</v>
      </c>
      <c r="I14" s="63">
        <f>IFERROR(aurora_data!H1034,0)</f>
        <v>0</v>
      </c>
      <c r="J14" s="36">
        <f>IFERROR(aurora_data!I1034,0)</f>
        <v>0</v>
      </c>
      <c r="K14" s="62">
        <f>IFERROR(aurora_data!J1034,0)</f>
        <v>0</v>
      </c>
      <c r="L14" s="62">
        <f>IFERROR(aurora_data!K1034,0)</f>
        <v>0</v>
      </c>
      <c r="M14" s="62">
        <f>IFERROR(aurora_data!L1034,0)</f>
        <v>0</v>
      </c>
      <c r="N14" s="63">
        <f>IFERROR(aurora_data!M1034,0)</f>
        <v>0</v>
      </c>
      <c r="O14" s="36">
        <f>IFERROR(aurora_data!N1034,0)</f>
        <v>0</v>
      </c>
      <c r="P14" s="62">
        <f>IFERROR(aurora_data!O1034,0)</f>
        <v>0</v>
      </c>
      <c r="Q14" s="62">
        <f>IFERROR(aurora_data!P1034,0)</f>
        <v>0</v>
      </c>
      <c r="R14" s="63">
        <f>IFERROR(aurora_data!Q1034,0)</f>
        <v>0</v>
      </c>
      <c r="S14" s="62">
        <f>IFERROR(aurora_data!R1034,0)</f>
        <v>0</v>
      </c>
      <c r="T14" s="62">
        <f>IFERROR(aurora_data!S1034,0)</f>
        <v>0</v>
      </c>
      <c r="U14" s="63">
        <f>IFERROR(aurora_data!T1034,0)</f>
        <v>0</v>
      </c>
      <c r="V14" s="64" t="s">
        <v>95</v>
      </c>
      <c r="W14" s="36">
        <f>IFERROR(aurora_data!U1034,0)</f>
        <v>0</v>
      </c>
      <c r="X14" s="71">
        <f t="shared" si="0"/>
        <v>0</v>
      </c>
      <c r="Y14" s="2"/>
    </row>
    <row r="15" spans="1:25" customFormat="1">
      <c r="A15" s="2"/>
      <c r="B15" s="211"/>
      <c r="C15" s="213"/>
      <c r="D15" s="35" t="s">
        <v>97</v>
      </c>
      <c r="E15" s="36">
        <f>IFERROR(aurora_data!D1035,0)</f>
        <v>0</v>
      </c>
      <c r="F15" s="62">
        <f>IFERROR(aurora_data!E1035,0)</f>
        <v>0</v>
      </c>
      <c r="G15" s="62">
        <f>IFERROR(aurora_data!F1035,0)</f>
        <v>0</v>
      </c>
      <c r="H15" s="62">
        <f>IFERROR(aurora_data!G1035,0)</f>
        <v>0</v>
      </c>
      <c r="I15" s="63">
        <f>IFERROR(aurora_data!H1035,0)</f>
        <v>0</v>
      </c>
      <c r="J15" s="36">
        <f>IFERROR(aurora_data!I1035,0)</f>
        <v>0</v>
      </c>
      <c r="K15" s="62">
        <f>IFERROR(aurora_data!J1035,0)</f>
        <v>0</v>
      </c>
      <c r="L15" s="62">
        <f>IFERROR(aurora_data!K1035,0)</f>
        <v>0</v>
      </c>
      <c r="M15" s="62">
        <f>IFERROR(aurora_data!L1035,0)</f>
        <v>0</v>
      </c>
      <c r="N15" s="63">
        <f>IFERROR(aurora_data!M1035,0)</f>
        <v>0</v>
      </c>
      <c r="O15" s="36">
        <f>IFERROR(aurora_data!N1035,0)</f>
        <v>0</v>
      </c>
      <c r="P15" s="62">
        <f>IFERROR(aurora_data!O1035,0)</f>
        <v>0</v>
      </c>
      <c r="Q15" s="62">
        <f>IFERROR(aurora_data!P1035,0)</f>
        <v>0</v>
      </c>
      <c r="R15" s="63">
        <f>IFERROR(aurora_data!Q1035,0)</f>
        <v>0</v>
      </c>
      <c r="S15" s="62">
        <f>IFERROR(aurora_data!R1035,0)</f>
        <v>0</v>
      </c>
      <c r="T15" s="62">
        <f>IFERROR(aurora_data!S1035,0)</f>
        <v>0</v>
      </c>
      <c r="U15" s="63">
        <f>IFERROR(aurora_data!T1035,0)</f>
        <v>0</v>
      </c>
      <c r="V15" s="64" t="s">
        <v>95</v>
      </c>
      <c r="W15" s="36">
        <f>IFERROR(aurora_data!U1035,0)</f>
        <v>0</v>
      </c>
      <c r="X15" s="71">
        <f t="shared" si="0"/>
        <v>0</v>
      </c>
      <c r="Y15" s="2"/>
    </row>
    <row r="16" spans="1:25" customFormat="1">
      <c r="A16" s="2"/>
      <c r="B16" s="211"/>
      <c r="C16" s="213"/>
      <c r="D16" s="35" t="s">
        <v>98</v>
      </c>
      <c r="E16" s="36">
        <f>IFERROR(aurora_data!D1036,0)</f>
        <v>0</v>
      </c>
      <c r="F16" s="62">
        <f>IFERROR(aurora_data!E1036,0)</f>
        <v>0</v>
      </c>
      <c r="G16" s="62">
        <f>IFERROR(aurora_data!F1036,0)</f>
        <v>0</v>
      </c>
      <c r="H16" s="62">
        <f>IFERROR(aurora_data!G1036,0)</f>
        <v>0</v>
      </c>
      <c r="I16" s="63">
        <f>IFERROR(aurora_data!H1036,0)</f>
        <v>0</v>
      </c>
      <c r="J16" s="36">
        <f>IFERROR(aurora_data!I1036,0)</f>
        <v>0</v>
      </c>
      <c r="K16" s="62">
        <f>IFERROR(aurora_data!J1036,0)</f>
        <v>0</v>
      </c>
      <c r="L16" s="62">
        <f>IFERROR(aurora_data!K1036,0)</f>
        <v>0</v>
      </c>
      <c r="M16" s="62">
        <f>IFERROR(aurora_data!L1036,0)</f>
        <v>0</v>
      </c>
      <c r="N16" s="63">
        <f>IFERROR(aurora_data!M1036,0)</f>
        <v>0</v>
      </c>
      <c r="O16" s="36">
        <f>IFERROR(aurora_data!N1036,0)</f>
        <v>0</v>
      </c>
      <c r="P16" s="62">
        <f>IFERROR(aurora_data!O1036,0)</f>
        <v>0</v>
      </c>
      <c r="Q16" s="62">
        <f>IFERROR(aurora_data!P1036,0)</f>
        <v>0</v>
      </c>
      <c r="R16" s="63">
        <f>IFERROR(aurora_data!Q1036,0)</f>
        <v>0</v>
      </c>
      <c r="S16" s="62">
        <f>IFERROR(aurora_data!R1036,0)</f>
        <v>0</v>
      </c>
      <c r="T16" s="62">
        <f>IFERROR(aurora_data!S1036,0)</f>
        <v>0</v>
      </c>
      <c r="U16" s="63">
        <f>IFERROR(aurora_data!T1036,0)</f>
        <v>0</v>
      </c>
      <c r="V16" s="64" t="s">
        <v>95</v>
      </c>
      <c r="W16" s="36">
        <f>IFERROR(aurora_data!U1036,0)</f>
        <v>0</v>
      </c>
      <c r="X16" s="71">
        <f t="shared" si="0"/>
        <v>0</v>
      </c>
      <c r="Y16" s="2"/>
    </row>
    <row r="17" spans="1:25" customFormat="1" ht="16.5" thickBot="1">
      <c r="A17" s="2"/>
      <c r="B17" s="211"/>
      <c r="C17" s="213"/>
      <c r="D17" s="35" t="s">
        <v>99</v>
      </c>
      <c r="E17" s="36">
        <f>IFERROR(aurora_data!D1037,0)</f>
        <v>0</v>
      </c>
      <c r="F17" s="62">
        <f>IFERROR(aurora_data!E1037,0)</f>
        <v>0</v>
      </c>
      <c r="G17" s="62">
        <f>IFERROR(aurora_data!F1037,0)</f>
        <v>0</v>
      </c>
      <c r="H17" s="62">
        <f>IFERROR(aurora_data!G1037,0)</f>
        <v>0</v>
      </c>
      <c r="I17" s="63">
        <f>IFERROR(aurora_data!H1037,0)</f>
        <v>0</v>
      </c>
      <c r="J17" s="36">
        <f>IFERROR(aurora_data!I1037,0)</f>
        <v>0</v>
      </c>
      <c r="K17" s="62">
        <f>IFERROR(aurora_data!J1037,0)</f>
        <v>0</v>
      </c>
      <c r="L17" s="62">
        <f>IFERROR(aurora_data!K1037,0)</f>
        <v>0</v>
      </c>
      <c r="M17" s="62">
        <f>IFERROR(aurora_data!L1037,0)</f>
        <v>0</v>
      </c>
      <c r="N17" s="63">
        <f>IFERROR(aurora_data!M1037,0)</f>
        <v>0</v>
      </c>
      <c r="O17" s="36">
        <f>IFERROR(aurora_data!N1037,0)</f>
        <v>0</v>
      </c>
      <c r="P17" s="62">
        <f>IFERROR(aurora_data!O1037,0)</f>
        <v>0</v>
      </c>
      <c r="Q17" s="62">
        <f>IFERROR(aurora_data!P1037,0)</f>
        <v>0</v>
      </c>
      <c r="R17" s="63">
        <f>IFERROR(aurora_data!Q1037,0)</f>
        <v>0</v>
      </c>
      <c r="S17" s="62">
        <f>IFERROR(aurora_data!R1037,0)</f>
        <v>0</v>
      </c>
      <c r="T17" s="62">
        <f>IFERROR(aurora_data!S1037,0)</f>
        <v>0</v>
      </c>
      <c r="U17" s="63">
        <f>IFERROR(aurora_data!T1037,0)</f>
        <v>0</v>
      </c>
      <c r="V17" s="64" t="s">
        <v>95</v>
      </c>
      <c r="W17" s="36">
        <f>IFERROR(aurora_data!U1037,0)</f>
        <v>0</v>
      </c>
      <c r="X17" s="71">
        <f t="shared" si="0"/>
        <v>0</v>
      </c>
      <c r="Y17" s="2"/>
    </row>
    <row r="18" spans="1:25" customFormat="1" ht="16.5" thickBot="1">
      <c r="A18" s="2"/>
      <c r="B18" s="211"/>
      <c r="C18" s="213"/>
      <c r="D18" s="37" t="s">
        <v>64</v>
      </c>
      <c r="E18" s="59">
        <f>IFERROR(aurora_data!D1038,0)</f>
        <v>0</v>
      </c>
      <c r="F18" s="65">
        <f>IFERROR(aurora_data!E1038,0)</f>
        <v>0</v>
      </c>
      <c r="G18" s="65">
        <f>IFERROR(aurora_data!F1038,0)</f>
        <v>0</v>
      </c>
      <c r="H18" s="65">
        <f>IFERROR(aurora_data!G1038,0)</f>
        <v>0</v>
      </c>
      <c r="I18" s="66">
        <f>IFERROR(aurora_data!H1038,0)</f>
        <v>0</v>
      </c>
      <c r="J18" s="59">
        <f>IFERROR(aurora_data!I1038,0)</f>
        <v>0</v>
      </c>
      <c r="K18" s="65">
        <f>IFERROR(aurora_data!J1038,0)</f>
        <v>0</v>
      </c>
      <c r="L18" s="65">
        <f>IFERROR(aurora_data!K1038,0)</f>
        <v>0</v>
      </c>
      <c r="M18" s="65">
        <f>IFERROR(aurora_data!L1038,0)</f>
        <v>0</v>
      </c>
      <c r="N18" s="66">
        <f>IFERROR(aurora_data!M1038,0)</f>
        <v>0</v>
      </c>
      <c r="O18" s="59">
        <f>IFERROR(aurora_data!N1038,0)</f>
        <v>0</v>
      </c>
      <c r="P18" s="65">
        <f>IFERROR(aurora_data!O1038,0)</f>
        <v>0</v>
      </c>
      <c r="Q18" s="65">
        <f>IFERROR(aurora_data!P1038,0)</f>
        <v>0</v>
      </c>
      <c r="R18" s="66">
        <f>IFERROR(aurora_data!Q1038,0)</f>
        <v>0</v>
      </c>
      <c r="S18" s="65">
        <f>IFERROR(aurora_data!R1038,0)</f>
        <v>0</v>
      </c>
      <c r="T18" s="65">
        <f>IFERROR(aurora_data!S1038,0)</f>
        <v>0</v>
      </c>
      <c r="U18" s="66">
        <f>IFERROR(aurora_data!T1038,0)</f>
        <v>0</v>
      </c>
      <c r="V18" s="67" t="s">
        <v>95</v>
      </c>
      <c r="W18" s="59">
        <f>IFERROR(aurora_data!U1038,0)</f>
        <v>0</v>
      </c>
      <c r="X18" s="72">
        <f t="shared" si="0"/>
        <v>0</v>
      </c>
      <c r="Y18" s="2"/>
    </row>
    <row r="19" spans="1:25" customFormat="1" ht="16.5" thickBot="1">
      <c r="A19" s="2"/>
      <c r="B19" s="211"/>
      <c r="C19" s="213"/>
      <c r="D19" s="38" t="s">
        <v>100</v>
      </c>
      <c r="E19" s="60">
        <f>IFERROR(aurora_data!D1039,0)</f>
        <v>0</v>
      </c>
      <c r="F19" s="68">
        <f>IFERROR(aurora_data!E1039,0)</f>
        <v>0</v>
      </c>
      <c r="G19" s="68">
        <f>IFERROR(aurora_data!F1039,0)</f>
        <v>0</v>
      </c>
      <c r="H19" s="68">
        <f>IFERROR(aurora_data!G1039,0)</f>
        <v>0</v>
      </c>
      <c r="I19" s="69">
        <f>IFERROR(aurora_data!H1039,0)</f>
        <v>0</v>
      </c>
      <c r="J19" s="60">
        <f>IFERROR(aurora_data!I1039,0)</f>
        <v>0</v>
      </c>
      <c r="K19" s="68">
        <f>IFERROR(aurora_data!J1039,0)</f>
        <v>0</v>
      </c>
      <c r="L19" s="68">
        <f>IFERROR(aurora_data!K1039,0)</f>
        <v>0</v>
      </c>
      <c r="M19" s="68">
        <f>IFERROR(aurora_data!L1039,0)</f>
        <v>0</v>
      </c>
      <c r="N19" s="69">
        <f>IFERROR(aurora_data!M1039,0)</f>
        <v>0</v>
      </c>
      <c r="O19" s="60">
        <f>IFERROR(aurora_data!N1039,0)</f>
        <v>0</v>
      </c>
      <c r="P19" s="68">
        <f>IFERROR(aurora_data!O1039,0)</f>
        <v>0</v>
      </c>
      <c r="Q19" s="68">
        <f>IFERROR(aurora_data!P1039,0)</f>
        <v>0</v>
      </c>
      <c r="R19" s="69">
        <f>IFERROR(aurora_data!Q1039,0)</f>
        <v>0</v>
      </c>
      <c r="S19" s="68">
        <f>IFERROR(aurora_data!R1039,0)</f>
        <v>0</v>
      </c>
      <c r="T19" s="68">
        <f>IFERROR(aurora_data!S1039,0)</f>
        <v>0</v>
      </c>
      <c r="U19" s="74">
        <f>IFERROR(aurora_data!T1039,0)</f>
        <v>0</v>
      </c>
      <c r="V19" s="75" t="s">
        <v>95</v>
      </c>
      <c r="W19" s="60">
        <f>IFERROR(aurora_data!U1039,0)</f>
        <v>0</v>
      </c>
      <c r="X19" s="73">
        <f t="shared" si="0"/>
        <v>0</v>
      </c>
      <c r="Y19" s="2"/>
    </row>
    <row r="20" spans="1:25" customFormat="1" ht="15.75" customHeight="1">
      <c r="A20" s="2"/>
      <c r="B20" s="206" t="s">
        <v>94</v>
      </c>
      <c r="C20" s="208" t="s">
        <v>55</v>
      </c>
      <c r="D20" s="34" t="s">
        <v>71</v>
      </c>
      <c r="E20" s="39">
        <f>IFERROR(aurora_data!D1040,0)</f>
        <v>0</v>
      </c>
      <c r="F20" s="40">
        <f>IFERROR(aurora_data!E1040,0)</f>
        <v>0</v>
      </c>
      <c r="G20" s="40">
        <f>IFERROR(aurora_data!F1040,0)</f>
        <v>0</v>
      </c>
      <c r="H20" s="40">
        <f>IFERROR(aurora_data!G1040,0)</f>
        <v>0</v>
      </c>
      <c r="I20" s="41">
        <f>IFERROR(aurora_data!H1040,0)</f>
        <v>0</v>
      </c>
      <c r="J20" s="39">
        <f>IFERROR(aurora_data!I1040,0)</f>
        <v>0</v>
      </c>
      <c r="K20" s="40">
        <f>IFERROR(aurora_data!J1040,0)</f>
        <v>0</v>
      </c>
      <c r="L20" s="40">
        <f>IFERROR(aurora_data!K1040,0)</f>
        <v>0</v>
      </c>
      <c r="M20" s="40">
        <f>IFERROR(aurora_data!L1040,0)</f>
        <v>0</v>
      </c>
      <c r="N20" s="41">
        <f>IFERROR(aurora_data!M1040,0)</f>
        <v>0</v>
      </c>
      <c r="O20" s="39">
        <f>IFERROR(aurora_data!N1040,0)</f>
        <v>0</v>
      </c>
      <c r="P20" s="40">
        <f>IFERROR(aurora_data!O1040,0)</f>
        <v>0</v>
      </c>
      <c r="Q20" s="40">
        <f>IFERROR(aurora_data!P1040,0)</f>
        <v>0</v>
      </c>
      <c r="R20" s="41">
        <f>IFERROR(aurora_data!Q1040,0)</f>
        <v>0</v>
      </c>
      <c r="S20" s="40">
        <f>IFERROR(aurora_data!R1040,0)</f>
        <v>0</v>
      </c>
      <c r="T20" s="40">
        <f>IFERROR(aurora_data!S1040,0)</f>
        <v>0</v>
      </c>
      <c r="U20" s="41">
        <f>IFERROR(aurora_data!T1040,0)</f>
        <v>0</v>
      </c>
      <c r="V20" s="61" t="s">
        <v>95</v>
      </c>
      <c r="W20" s="39">
        <f>IFERROR(aurora_data!U1040,0)</f>
        <v>1</v>
      </c>
      <c r="X20" s="70">
        <f>IFERROR(W20/$W$20,0)</f>
        <v>1</v>
      </c>
      <c r="Y20" s="2"/>
    </row>
    <row r="21" spans="1:25" customFormat="1" ht="15.75" customHeight="1">
      <c r="A21" s="2"/>
      <c r="B21" s="207"/>
      <c r="C21" s="209"/>
      <c r="D21" s="35" t="s">
        <v>96</v>
      </c>
      <c r="E21" s="36">
        <f>IFERROR(aurora_data!D1041,0)</f>
        <v>0</v>
      </c>
      <c r="F21" s="62">
        <f>IFERROR(aurora_data!E1041,0)</f>
        <v>0</v>
      </c>
      <c r="G21" s="62">
        <f>IFERROR(aurora_data!F1041,0)</f>
        <v>0</v>
      </c>
      <c r="H21" s="62">
        <f>IFERROR(aurora_data!G1041,0)</f>
        <v>0</v>
      </c>
      <c r="I21" s="63">
        <f>IFERROR(aurora_data!H1041,0)</f>
        <v>0</v>
      </c>
      <c r="J21" s="36">
        <f>IFERROR(aurora_data!I1041,0)</f>
        <v>0</v>
      </c>
      <c r="K21" s="62">
        <f>IFERROR(aurora_data!J1041,0)</f>
        <v>0</v>
      </c>
      <c r="L21" s="62">
        <f>IFERROR(aurora_data!K1041,0)</f>
        <v>0</v>
      </c>
      <c r="M21" s="62">
        <f>IFERROR(aurora_data!L1041,0)</f>
        <v>0</v>
      </c>
      <c r="N21" s="63">
        <f>IFERROR(aurora_data!M1041,0)</f>
        <v>0</v>
      </c>
      <c r="O21" s="36">
        <f>IFERROR(aurora_data!N1041,0)</f>
        <v>0</v>
      </c>
      <c r="P21" s="62">
        <f>IFERROR(aurora_data!O1041,0)</f>
        <v>0</v>
      </c>
      <c r="Q21" s="62">
        <f>IFERROR(aurora_data!P1041,0)</f>
        <v>0</v>
      </c>
      <c r="R21" s="63">
        <f>IFERROR(aurora_data!Q1041,0)</f>
        <v>0</v>
      </c>
      <c r="S21" s="62">
        <f>IFERROR(aurora_data!R1041,0)</f>
        <v>0</v>
      </c>
      <c r="T21" s="62">
        <f>IFERROR(aurora_data!S1041,0)</f>
        <v>0</v>
      </c>
      <c r="U21" s="63">
        <f>IFERROR(aurora_data!T1041,0)</f>
        <v>0</v>
      </c>
      <c r="V21" s="64" t="s">
        <v>95</v>
      </c>
      <c r="W21" s="36">
        <f>IFERROR(aurora_data!U1041,0)</f>
        <v>0</v>
      </c>
      <c r="X21" s="71">
        <f t="shared" ref="X21:X27" si="1">IFERROR(W21/$W$20,0)</f>
        <v>0</v>
      </c>
      <c r="Y21" s="2"/>
    </row>
    <row r="22" spans="1:25" customFormat="1" ht="15.75" customHeight="1">
      <c r="A22" s="2"/>
      <c r="B22" s="207"/>
      <c r="C22" s="209"/>
      <c r="D22" s="35" t="s">
        <v>60</v>
      </c>
      <c r="E22" s="36">
        <f>IFERROR(aurora_data!D1042,0)</f>
        <v>0</v>
      </c>
      <c r="F22" s="62">
        <f>IFERROR(aurora_data!E1042,0)</f>
        <v>0</v>
      </c>
      <c r="G22" s="62">
        <f>IFERROR(aurora_data!F1042,0)</f>
        <v>0</v>
      </c>
      <c r="H22" s="62">
        <f>IFERROR(aurora_data!G1042,0)</f>
        <v>0</v>
      </c>
      <c r="I22" s="63">
        <f>IFERROR(aurora_data!H1042,0)</f>
        <v>0</v>
      </c>
      <c r="J22" s="36">
        <f>IFERROR(aurora_data!I1042,0)</f>
        <v>0</v>
      </c>
      <c r="K22" s="62">
        <f>IFERROR(aurora_data!J1042,0)</f>
        <v>0</v>
      </c>
      <c r="L22" s="62">
        <f>IFERROR(aurora_data!K1042,0)</f>
        <v>0</v>
      </c>
      <c r="M22" s="62">
        <f>IFERROR(aurora_data!L1042,0)</f>
        <v>0</v>
      </c>
      <c r="N22" s="63">
        <f>IFERROR(aurora_data!M1042,0)</f>
        <v>0</v>
      </c>
      <c r="O22" s="36">
        <f>IFERROR(aurora_data!N1042,0)</f>
        <v>0</v>
      </c>
      <c r="P22" s="62">
        <f>IFERROR(aurora_data!O1042,0)</f>
        <v>0</v>
      </c>
      <c r="Q22" s="62">
        <f>IFERROR(aurora_data!P1042,0)</f>
        <v>0</v>
      </c>
      <c r="R22" s="63">
        <f>IFERROR(aurora_data!Q1042,0)</f>
        <v>0</v>
      </c>
      <c r="S22" s="62">
        <f>IFERROR(aurora_data!R1042,0)</f>
        <v>0</v>
      </c>
      <c r="T22" s="62">
        <f>IFERROR(aurora_data!S1042,0)</f>
        <v>0</v>
      </c>
      <c r="U22" s="63">
        <f>IFERROR(aurora_data!T1042,0)</f>
        <v>0</v>
      </c>
      <c r="V22" s="64" t="s">
        <v>95</v>
      </c>
      <c r="W22" s="36">
        <f>IFERROR(aurora_data!U1042,0)</f>
        <v>0</v>
      </c>
      <c r="X22" s="71">
        <f t="shared" si="1"/>
        <v>0</v>
      </c>
      <c r="Y22" s="2"/>
    </row>
    <row r="23" spans="1:25" customFormat="1" ht="15.75" customHeight="1">
      <c r="A23" s="2"/>
      <c r="B23" s="207"/>
      <c r="C23" s="209"/>
      <c r="D23" s="35" t="s">
        <v>97</v>
      </c>
      <c r="E23" s="36">
        <f>IFERROR(aurora_data!D1043,0)</f>
        <v>0</v>
      </c>
      <c r="F23" s="62">
        <f>IFERROR(aurora_data!E1043,0)</f>
        <v>0</v>
      </c>
      <c r="G23" s="62">
        <f>IFERROR(aurora_data!F1043,0)</f>
        <v>0</v>
      </c>
      <c r="H23" s="62">
        <f>IFERROR(aurora_data!G1043,0)</f>
        <v>0</v>
      </c>
      <c r="I23" s="63">
        <f>IFERROR(aurora_data!H1043,0)</f>
        <v>0</v>
      </c>
      <c r="J23" s="36">
        <f>IFERROR(aurora_data!I1043,0)</f>
        <v>0</v>
      </c>
      <c r="K23" s="62">
        <f>IFERROR(aurora_data!J1043,0)</f>
        <v>0</v>
      </c>
      <c r="L23" s="62">
        <f>IFERROR(aurora_data!K1043,0)</f>
        <v>0</v>
      </c>
      <c r="M23" s="62">
        <f>IFERROR(aurora_data!L1043,0)</f>
        <v>0</v>
      </c>
      <c r="N23" s="63">
        <f>IFERROR(aurora_data!M1043,0)</f>
        <v>0</v>
      </c>
      <c r="O23" s="36">
        <f>IFERROR(aurora_data!N1043,0)</f>
        <v>0</v>
      </c>
      <c r="P23" s="62">
        <f>IFERROR(aurora_data!O1043,0)</f>
        <v>0</v>
      </c>
      <c r="Q23" s="62">
        <f>IFERROR(aurora_data!P1043,0)</f>
        <v>0</v>
      </c>
      <c r="R23" s="63">
        <f>IFERROR(aurora_data!Q1043,0)</f>
        <v>0</v>
      </c>
      <c r="S23" s="62">
        <f>IFERROR(aurora_data!R1043,0)</f>
        <v>0</v>
      </c>
      <c r="T23" s="62">
        <f>IFERROR(aurora_data!S1043,0)</f>
        <v>0</v>
      </c>
      <c r="U23" s="63">
        <f>IFERROR(aurora_data!T1043,0)</f>
        <v>0</v>
      </c>
      <c r="V23" s="64" t="s">
        <v>95</v>
      </c>
      <c r="W23" s="36">
        <f>IFERROR(aurora_data!U1043,0)</f>
        <v>0</v>
      </c>
      <c r="X23" s="71">
        <f t="shared" si="1"/>
        <v>0</v>
      </c>
      <c r="Y23" s="2"/>
    </row>
    <row r="24" spans="1:25" customFormat="1" ht="16.5" customHeight="1">
      <c r="A24" s="2"/>
      <c r="B24" s="207"/>
      <c r="C24" s="209"/>
      <c r="D24" s="35" t="s">
        <v>98</v>
      </c>
      <c r="E24" s="36">
        <f>IFERROR(aurora_data!D1044,0)</f>
        <v>0</v>
      </c>
      <c r="F24" s="62">
        <f>IFERROR(aurora_data!E1044,0)</f>
        <v>0</v>
      </c>
      <c r="G24" s="62">
        <f>IFERROR(aurora_data!F1044,0)</f>
        <v>0</v>
      </c>
      <c r="H24" s="62">
        <f>IFERROR(aurora_data!G1044,0)</f>
        <v>0</v>
      </c>
      <c r="I24" s="63">
        <f>IFERROR(aurora_data!H1044,0)</f>
        <v>0</v>
      </c>
      <c r="J24" s="36">
        <f>IFERROR(aurora_data!I1044,0)</f>
        <v>0</v>
      </c>
      <c r="K24" s="62">
        <f>IFERROR(aurora_data!J1044,0)</f>
        <v>0</v>
      </c>
      <c r="L24" s="62">
        <f>IFERROR(aurora_data!K1044,0)</f>
        <v>0</v>
      </c>
      <c r="M24" s="62">
        <f>IFERROR(aurora_data!L1044,0)</f>
        <v>0</v>
      </c>
      <c r="N24" s="63">
        <f>IFERROR(aurora_data!M1044,0)</f>
        <v>0</v>
      </c>
      <c r="O24" s="36">
        <f>IFERROR(aurora_data!N1044,0)</f>
        <v>0</v>
      </c>
      <c r="P24" s="62">
        <f>IFERROR(aurora_data!O1044,0)</f>
        <v>0</v>
      </c>
      <c r="Q24" s="62">
        <f>IFERROR(aurora_data!P1044,0)</f>
        <v>0</v>
      </c>
      <c r="R24" s="63">
        <f>IFERROR(aurora_data!Q1044,0)</f>
        <v>0</v>
      </c>
      <c r="S24" s="62">
        <f>IFERROR(aurora_data!R1044,0)</f>
        <v>0</v>
      </c>
      <c r="T24" s="62">
        <f>IFERROR(aurora_data!S1044,0)</f>
        <v>0</v>
      </c>
      <c r="U24" s="63">
        <f>IFERROR(aurora_data!T1044,0)</f>
        <v>0</v>
      </c>
      <c r="V24" s="64" t="s">
        <v>95</v>
      </c>
      <c r="W24" s="36">
        <f>IFERROR(aurora_data!U1044,0)</f>
        <v>0</v>
      </c>
      <c r="X24" s="71">
        <f t="shared" si="1"/>
        <v>0</v>
      </c>
      <c r="Y24" s="2"/>
    </row>
    <row r="25" spans="1:25" customFormat="1" ht="16.5" customHeight="1" thickBot="1">
      <c r="A25" s="2"/>
      <c r="B25" s="207"/>
      <c r="C25" s="209"/>
      <c r="D25" s="35" t="s">
        <v>99</v>
      </c>
      <c r="E25" s="36">
        <f>IFERROR(aurora_data!D1045,0)</f>
        <v>0</v>
      </c>
      <c r="F25" s="62">
        <f>IFERROR(aurora_data!E1045,0)</f>
        <v>0</v>
      </c>
      <c r="G25" s="62">
        <f>IFERROR(aurora_data!F1045,0)</f>
        <v>0</v>
      </c>
      <c r="H25" s="62">
        <f>IFERROR(aurora_data!G1045,0)</f>
        <v>0</v>
      </c>
      <c r="I25" s="63">
        <f>IFERROR(aurora_data!H1045,0)</f>
        <v>0</v>
      </c>
      <c r="J25" s="36">
        <f>IFERROR(aurora_data!I1045,0)</f>
        <v>0</v>
      </c>
      <c r="K25" s="62">
        <f>IFERROR(aurora_data!J1045,0)</f>
        <v>0</v>
      </c>
      <c r="L25" s="62">
        <f>IFERROR(aurora_data!K1045,0)</f>
        <v>0</v>
      </c>
      <c r="M25" s="62">
        <f>IFERROR(aurora_data!L1045,0)</f>
        <v>0</v>
      </c>
      <c r="N25" s="63">
        <f>IFERROR(aurora_data!M1045,0)</f>
        <v>0</v>
      </c>
      <c r="O25" s="36">
        <f>IFERROR(aurora_data!N1045,0)</f>
        <v>0</v>
      </c>
      <c r="P25" s="62">
        <f>IFERROR(aurora_data!O1045,0)</f>
        <v>0</v>
      </c>
      <c r="Q25" s="62">
        <f>IFERROR(aurora_data!P1045,0)</f>
        <v>0</v>
      </c>
      <c r="R25" s="63">
        <f>IFERROR(aurora_data!Q1045,0)</f>
        <v>0</v>
      </c>
      <c r="S25" s="62">
        <f>IFERROR(aurora_data!R1045,0)</f>
        <v>0</v>
      </c>
      <c r="T25" s="62">
        <f>IFERROR(aurora_data!S1045,0)</f>
        <v>0</v>
      </c>
      <c r="U25" s="63">
        <f>IFERROR(aurora_data!T1045,0)</f>
        <v>0</v>
      </c>
      <c r="V25" s="64" t="s">
        <v>95</v>
      </c>
      <c r="W25" s="36">
        <f>IFERROR(aurora_data!U1045,0)</f>
        <v>0</v>
      </c>
      <c r="X25" s="71">
        <f t="shared" si="1"/>
        <v>0</v>
      </c>
      <c r="Y25" s="2"/>
    </row>
    <row r="26" spans="1:25" customFormat="1" ht="16.5" customHeight="1" thickBot="1">
      <c r="A26" s="2"/>
      <c r="B26" s="207"/>
      <c r="C26" s="209"/>
      <c r="D26" s="37" t="s">
        <v>64</v>
      </c>
      <c r="E26" s="59">
        <f>IFERROR(aurora_data!D1046,0)</f>
        <v>0</v>
      </c>
      <c r="F26" s="65">
        <f>IFERROR(aurora_data!E1046,0)</f>
        <v>0</v>
      </c>
      <c r="G26" s="65">
        <f>IFERROR(aurora_data!F1046,0)</f>
        <v>0</v>
      </c>
      <c r="H26" s="65">
        <f>IFERROR(aurora_data!G1046,0)</f>
        <v>0</v>
      </c>
      <c r="I26" s="66">
        <f>IFERROR(aurora_data!H1046,0)</f>
        <v>0</v>
      </c>
      <c r="J26" s="59">
        <f>IFERROR(aurora_data!I1046,0)</f>
        <v>0</v>
      </c>
      <c r="K26" s="65">
        <f>IFERROR(aurora_data!J1046,0)</f>
        <v>0</v>
      </c>
      <c r="L26" s="65">
        <f>IFERROR(aurora_data!K1046,0)</f>
        <v>0</v>
      </c>
      <c r="M26" s="65">
        <f>IFERROR(aurora_data!L1046,0)</f>
        <v>0</v>
      </c>
      <c r="N26" s="66">
        <f>IFERROR(aurora_data!M1046,0)</f>
        <v>0</v>
      </c>
      <c r="O26" s="59">
        <f>IFERROR(aurora_data!N1046,0)</f>
        <v>0</v>
      </c>
      <c r="P26" s="65">
        <f>IFERROR(aurora_data!O1046,0)</f>
        <v>0</v>
      </c>
      <c r="Q26" s="65">
        <f>IFERROR(aurora_data!P1046,0)</f>
        <v>0</v>
      </c>
      <c r="R26" s="66">
        <f>IFERROR(aurora_data!Q1046,0)</f>
        <v>0</v>
      </c>
      <c r="S26" s="65">
        <f>IFERROR(aurora_data!R1046,0)</f>
        <v>0</v>
      </c>
      <c r="T26" s="65">
        <f>IFERROR(aurora_data!S1046,0)</f>
        <v>0</v>
      </c>
      <c r="U26" s="66">
        <f>IFERROR(aurora_data!T1046,0)</f>
        <v>0</v>
      </c>
      <c r="V26" s="67" t="s">
        <v>95</v>
      </c>
      <c r="W26" s="59">
        <f>IFERROR(aurora_data!U1046,0)</f>
        <v>0</v>
      </c>
      <c r="X26" s="72">
        <f t="shared" si="1"/>
        <v>0</v>
      </c>
      <c r="Y26" s="2"/>
    </row>
    <row r="27" spans="1:25" customFormat="1" ht="16.5" customHeight="1" thickBot="1">
      <c r="A27" s="2"/>
      <c r="B27" s="207"/>
      <c r="C27" s="209"/>
      <c r="D27" s="38" t="s">
        <v>100</v>
      </c>
      <c r="E27" s="60">
        <f>IFERROR(aurora_data!D1047,0)</f>
        <v>0</v>
      </c>
      <c r="F27" s="68">
        <f>IFERROR(aurora_data!E1047,0)</f>
        <v>0</v>
      </c>
      <c r="G27" s="68">
        <f>IFERROR(aurora_data!F1047,0)</f>
        <v>0</v>
      </c>
      <c r="H27" s="68">
        <f>IFERROR(aurora_data!G1047,0)</f>
        <v>0</v>
      </c>
      <c r="I27" s="69">
        <f>IFERROR(aurora_data!H1047,0)</f>
        <v>0</v>
      </c>
      <c r="J27" s="60">
        <f>IFERROR(aurora_data!I1047,0)</f>
        <v>0</v>
      </c>
      <c r="K27" s="68">
        <f>IFERROR(aurora_data!J1047,0)</f>
        <v>0</v>
      </c>
      <c r="L27" s="68">
        <f>IFERROR(aurora_data!K1047,0)</f>
        <v>0</v>
      </c>
      <c r="M27" s="68">
        <f>IFERROR(aurora_data!L1047,0)</f>
        <v>0</v>
      </c>
      <c r="N27" s="69">
        <f>IFERROR(aurora_data!M1047,0)</f>
        <v>0</v>
      </c>
      <c r="O27" s="60">
        <f>IFERROR(aurora_data!N1047,0)</f>
        <v>0</v>
      </c>
      <c r="P27" s="68">
        <f>IFERROR(aurora_data!O1047,0)</f>
        <v>0</v>
      </c>
      <c r="Q27" s="68">
        <f>IFERROR(aurora_data!P1047,0)</f>
        <v>0</v>
      </c>
      <c r="R27" s="69">
        <f>IFERROR(aurora_data!Q1047,0)</f>
        <v>0</v>
      </c>
      <c r="S27" s="68">
        <f>IFERROR(aurora_data!R1047,0)</f>
        <v>0</v>
      </c>
      <c r="T27" s="68">
        <f>IFERROR(aurora_data!S1047,0)</f>
        <v>0</v>
      </c>
      <c r="U27" s="74">
        <f>IFERROR(aurora_data!T1047,0)</f>
        <v>0</v>
      </c>
      <c r="V27" s="75" t="s">
        <v>95</v>
      </c>
      <c r="W27" s="60">
        <f>IFERROR(aurora_data!U1047,0)</f>
        <v>0</v>
      </c>
      <c r="X27" s="73">
        <f t="shared" si="1"/>
        <v>0</v>
      </c>
      <c r="Y27" s="2"/>
    </row>
    <row r="28" spans="1:25" ht="16.5" customHeight="1">
      <c r="B28" s="97"/>
      <c r="C28" s="97"/>
    </row>
  </sheetData>
  <mergeCells count="26">
    <mergeCell ref="C12:C19"/>
    <mergeCell ref="B20:B27"/>
    <mergeCell ref="C20:C27"/>
    <mergeCell ref="B8:D8"/>
    <mergeCell ref="E8:U8"/>
    <mergeCell ref="B12:B19"/>
    <mergeCell ref="W8:X11"/>
    <mergeCell ref="B9:C9"/>
    <mergeCell ref="E9:I9"/>
    <mergeCell ref="J9:N9"/>
    <mergeCell ref="O9:R9"/>
    <mergeCell ref="S9:U9"/>
    <mergeCell ref="B10:B11"/>
    <mergeCell ref="E10:I10"/>
    <mergeCell ref="J10:N10"/>
    <mergeCell ref="O10:R10"/>
    <mergeCell ref="S10:U10"/>
    <mergeCell ref="A1:C1"/>
    <mergeCell ref="D1:H1"/>
    <mergeCell ref="A2:C2"/>
    <mergeCell ref="D2:H2"/>
    <mergeCell ref="K2:X6"/>
    <mergeCell ref="D3:E3"/>
    <mergeCell ref="F3:H3"/>
    <mergeCell ref="D5:G5"/>
    <mergeCell ref="D6:H6"/>
  </mergeCells>
  <conditionalFormatting sqref="E13:W13">
    <cfRule type="expression" dxfId="203" priority="2">
      <formula>ROUND(E$13,0) &gt;= ROUND(E$12,0)</formula>
    </cfRule>
  </conditionalFormatting>
  <conditionalFormatting sqref="E18:W18">
    <cfRule type="expression" dxfId="202" priority="3">
      <formula>ROUND(E$18,0) &lt; ROUND(E$12,0)</formula>
    </cfRule>
  </conditionalFormatting>
  <conditionalFormatting sqref="E21:W21">
    <cfRule type="expression" dxfId="201" priority="1">
      <formula>ROUND(E$21,0) &gt;= ROUND(E$20,0)</formula>
    </cfRule>
  </conditionalFormatting>
  <conditionalFormatting sqref="E26:W26">
    <cfRule type="expression" dxfId="200" priority="4">
      <formula>ROUND(E$26,0) &lt; ROUND(E$20,0)</formula>
    </cfRule>
  </conditionalFormatting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D838A-CDDC-43C6-84D1-F348ACFD6B8E}">
  <sheetPr>
    <tabColor theme="5" tint="0.39997558519241921"/>
  </sheetPr>
  <dimension ref="A1:Y108"/>
  <sheetViews>
    <sheetView zoomScale="85" zoomScaleNormal="85" workbookViewId="0">
      <selection sqref="A1:C1"/>
    </sheetView>
  </sheetViews>
  <sheetFormatPr defaultColWidth="2.625" defaultRowHeight="15.75"/>
  <cols>
    <col min="1" max="1" width="1.375" style="2" customWidth="1"/>
    <col min="2" max="2" width="10.875" style="2" customWidth="1"/>
    <col min="3" max="3" width="15.625" style="2" customWidth="1"/>
    <col min="4" max="4" width="22.625" style="4" customWidth="1"/>
    <col min="5" max="8" width="7.625" style="4" customWidth="1"/>
    <col min="9" max="9" width="6.625" style="4" hidden="1" customWidth="1"/>
    <col min="10" max="21" width="7.625" style="4" customWidth="1"/>
    <col min="22" max="22" width="0.625" style="2" customWidth="1"/>
    <col min="23" max="24" width="5.875" style="2" customWidth="1"/>
    <col min="25" max="25" width="12.5" style="2" customWidth="1"/>
    <col min="26" max="26" width="2.625" style="2" customWidth="1"/>
    <col min="27" max="64" width="7.625" style="2" customWidth="1"/>
    <col min="65" max="16323" width="2.625" style="2"/>
    <col min="16324" max="16324" width="1.375" style="2" customWidth="1"/>
    <col min="16325" max="16325" width="2.625" style="2" customWidth="1"/>
    <col min="16326" max="16326" width="3.5" style="2" customWidth="1"/>
    <col min="16327" max="16327" width="1" style="2" customWidth="1"/>
    <col min="16328" max="16328" width="0.875" style="2" customWidth="1"/>
    <col min="16329" max="16329" width="2.375" style="2" customWidth="1"/>
    <col min="16330" max="16384" width="20.375" style="2" customWidth="1"/>
  </cols>
  <sheetData>
    <row r="1" spans="1:25" customFormat="1" ht="25.5" customHeight="1">
      <c r="A1" s="151" t="s">
        <v>77</v>
      </c>
      <c r="B1" s="152"/>
      <c r="C1" s="153"/>
      <c r="D1" s="154" t="s">
        <v>78</v>
      </c>
      <c r="E1" s="155"/>
      <c r="F1" s="155"/>
      <c r="G1" s="155"/>
      <c r="H1" s="156"/>
      <c r="I1" s="98"/>
      <c r="J1" s="88"/>
      <c r="K1" s="100"/>
      <c r="L1" s="100"/>
      <c r="M1" s="100"/>
      <c r="N1" s="100" t="s">
        <v>79</v>
      </c>
      <c r="O1" s="100"/>
      <c r="P1" s="100"/>
      <c r="Q1" s="100"/>
      <c r="R1" s="100"/>
      <c r="S1" s="100"/>
      <c r="T1" s="100"/>
      <c r="U1" s="100"/>
      <c r="V1" s="100"/>
      <c r="W1" s="100"/>
      <c r="X1" s="106"/>
      <c r="Y1" s="108"/>
    </row>
    <row r="2" spans="1:25" customFormat="1" ht="31.5" customHeight="1">
      <c r="A2" s="157" t="s">
        <v>80</v>
      </c>
      <c r="B2" s="157"/>
      <c r="C2" s="158"/>
      <c r="D2" s="217" t="str">
        <f>_xlfn.CONCAT("Study Name: ","
OSEP – Other Health Impairment - Paper")</f>
        <v>Study Name: 
OSEP – Other Health Impairment - Paper</v>
      </c>
      <c r="E2" s="218"/>
      <c r="F2" s="218"/>
      <c r="G2" s="218"/>
      <c r="H2" s="219"/>
      <c r="I2" s="4"/>
      <c r="J2" s="4"/>
      <c r="K2" s="162" t="s">
        <v>81</v>
      </c>
      <c r="L2" s="163"/>
      <c r="M2" s="163"/>
      <c r="N2" s="163"/>
      <c r="O2" s="163"/>
      <c r="P2" s="163"/>
      <c r="Q2" s="163"/>
      <c r="R2" s="163"/>
      <c r="S2" s="163"/>
      <c r="T2" s="163"/>
      <c r="U2" s="163"/>
      <c r="V2" s="163"/>
      <c r="W2" s="163"/>
      <c r="X2" s="164"/>
      <c r="Y2" s="103"/>
    </row>
    <row r="3" spans="1:25" customFormat="1" ht="30.75" customHeight="1" thickBot="1">
      <c r="A3" s="2"/>
      <c r="B3" s="2"/>
      <c r="C3" s="2"/>
      <c r="D3" s="169" t="str">
        <f>_xlfn.CONCAT("Study Acronym: ","
OSEP_OHI_P")</f>
        <v>Study Acronym: 
OSEP_OHI_P</v>
      </c>
      <c r="E3" s="170"/>
      <c r="F3" s="171" t="s">
        <v>271</v>
      </c>
      <c r="G3" s="172"/>
      <c r="H3" s="173"/>
      <c r="I3" s="4"/>
      <c r="J3" s="4"/>
      <c r="K3" s="165"/>
      <c r="L3" s="163"/>
      <c r="M3" s="163"/>
      <c r="N3" s="163"/>
      <c r="O3" s="163"/>
      <c r="P3" s="163"/>
      <c r="Q3" s="163"/>
      <c r="R3" s="163"/>
      <c r="S3" s="163"/>
      <c r="T3" s="163"/>
      <c r="U3" s="163"/>
      <c r="V3" s="163"/>
      <c r="W3" s="163"/>
      <c r="X3" s="164"/>
      <c r="Y3" s="103"/>
    </row>
    <row r="4" spans="1:25" customFormat="1" ht="16.5" customHeight="1">
      <c r="A4" s="2"/>
      <c r="B4" s="24"/>
      <c r="C4" s="2"/>
      <c r="D4" s="2"/>
      <c r="E4" s="25"/>
      <c r="F4" s="25"/>
      <c r="G4" s="25"/>
      <c r="H4" s="25"/>
      <c r="I4" s="25"/>
      <c r="J4" s="25"/>
      <c r="K4" s="165"/>
      <c r="L4" s="163"/>
      <c r="M4" s="163"/>
      <c r="N4" s="163"/>
      <c r="O4" s="163"/>
      <c r="P4" s="163"/>
      <c r="Q4" s="163"/>
      <c r="R4" s="163"/>
      <c r="S4" s="163"/>
      <c r="T4" s="163"/>
      <c r="U4" s="163"/>
      <c r="V4" s="163"/>
      <c r="W4" s="163"/>
      <c r="X4" s="164"/>
      <c r="Y4" s="104"/>
    </row>
    <row r="5" spans="1:25" customFormat="1" ht="21.95" customHeight="1" thickBot="1">
      <c r="A5" s="2"/>
      <c r="B5" s="2"/>
      <c r="C5" s="102"/>
      <c r="D5" s="154" t="s">
        <v>82</v>
      </c>
      <c r="E5" s="155"/>
      <c r="F5" s="155"/>
      <c r="G5" s="155"/>
      <c r="H5" s="101"/>
      <c r="I5" s="98"/>
      <c r="J5" s="98"/>
      <c r="K5" s="165"/>
      <c r="L5" s="163"/>
      <c r="M5" s="163"/>
      <c r="N5" s="163"/>
      <c r="O5" s="163"/>
      <c r="P5" s="163"/>
      <c r="Q5" s="163"/>
      <c r="R5" s="163"/>
      <c r="S5" s="163"/>
      <c r="T5" s="163"/>
      <c r="U5" s="163"/>
      <c r="V5" s="163"/>
      <c r="W5" s="163"/>
      <c r="X5" s="164"/>
      <c r="Y5" s="105"/>
    </row>
    <row r="6" spans="1:25" customFormat="1" ht="60.95" customHeight="1" thickBot="1">
      <c r="A6" s="2"/>
      <c r="B6" s="2"/>
      <c r="C6" s="99"/>
      <c r="D6" s="214" t="s">
        <v>101</v>
      </c>
      <c r="E6" s="215"/>
      <c r="F6" s="215"/>
      <c r="G6" s="215"/>
      <c r="H6" s="216"/>
      <c r="I6" s="124"/>
      <c r="J6" s="125"/>
      <c r="K6" s="166"/>
      <c r="L6" s="167"/>
      <c r="M6" s="167"/>
      <c r="N6" s="167"/>
      <c r="O6" s="167"/>
      <c r="P6" s="167"/>
      <c r="Q6" s="167"/>
      <c r="R6" s="167"/>
      <c r="S6" s="167"/>
      <c r="T6" s="167"/>
      <c r="U6" s="167"/>
      <c r="V6" s="167"/>
      <c r="W6" s="167"/>
      <c r="X6" s="168"/>
      <c r="Y6" s="107"/>
    </row>
    <row r="7" spans="1:25" customFormat="1" ht="16.5" customHeight="1" thickBot="1">
      <c r="A7" s="2"/>
      <c r="B7" s="3"/>
      <c r="C7" s="26"/>
      <c r="D7" s="27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8"/>
      <c r="W7" s="3"/>
      <c r="X7" s="3"/>
      <c r="Y7" s="2"/>
    </row>
    <row r="8" spans="1:25" customFormat="1">
      <c r="A8" s="2"/>
      <c r="B8" s="177" t="str">
        <f>_xlfn.CONCAT("Last Refreshed at: ",aurora_data!V1132)</f>
        <v>Last Refreshed at: 09/17/2026 @ 7:20 AM</v>
      </c>
      <c r="C8" s="178"/>
      <c r="D8" s="178"/>
      <c r="E8" s="179" t="s">
        <v>83</v>
      </c>
      <c r="F8" s="180"/>
      <c r="G8" s="180"/>
      <c r="H8" s="180"/>
      <c r="I8" s="180"/>
      <c r="J8" s="180"/>
      <c r="K8" s="180"/>
      <c r="L8" s="180"/>
      <c r="M8" s="180"/>
      <c r="N8" s="180"/>
      <c r="O8" s="180"/>
      <c r="P8" s="180"/>
      <c r="Q8" s="180"/>
      <c r="R8" s="180"/>
      <c r="S8" s="180"/>
      <c r="T8" s="180"/>
      <c r="U8" s="181"/>
      <c r="V8" s="44"/>
      <c r="W8" s="182" t="s">
        <v>84</v>
      </c>
      <c r="X8" s="183"/>
      <c r="Y8" s="2"/>
    </row>
    <row r="9" spans="1:25" customFormat="1" ht="16.5" customHeight="1" thickBot="1">
      <c r="A9" s="2"/>
      <c r="B9" s="188"/>
      <c r="C9" s="189"/>
      <c r="D9" s="29" t="s">
        <v>85</v>
      </c>
      <c r="E9" s="190" t="s">
        <v>86</v>
      </c>
      <c r="F9" s="191"/>
      <c r="G9" s="191"/>
      <c r="H9" s="191"/>
      <c r="I9" s="191"/>
      <c r="J9" s="192" t="s">
        <v>86</v>
      </c>
      <c r="K9" s="193"/>
      <c r="L9" s="193"/>
      <c r="M9" s="193"/>
      <c r="N9" s="193"/>
      <c r="O9" s="194" t="s">
        <v>86</v>
      </c>
      <c r="P9" s="195"/>
      <c r="Q9" s="195"/>
      <c r="R9" s="195"/>
      <c r="S9" s="196" t="s">
        <v>86</v>
      </c>
      <c r="T9" s="197"/>
      <c r="U9" s="197"/>
      <c r="V9" s="28"/>
      <c r="W9" s="184"/>
      <c r="X9" s="185"/>
      <c r="Y9" s="2"/>
    </row>
    <row r="10" spans="1:25" customFormat="1" ht="17.25" thickTop="1" thickBot="1">
      <c r="A10" s="2"/>
      <c r="B10" s="198" t="s">
        <v>87</v>
      </c>
      <c r="C10" s="30"/>
      <c r="D10" s="31"/>
      <c r="E10" s="199" t="s">
        <v>88</v>
      </c>
      <c r="F10" s="200"/>
      <c r="G10" s="200"/>
      <c r="H10" s="200"/>
      <c r="I10" s="201"/>
      <c r="J10" s="200" t="s">
        <v>89</v>
      </c>
      <c r="K10" s="200"/>
      <c r="L10" s="200"/>
      <c r="M10" s="200"/>
      <c r="N10" s="201"/>
      <c r="O10" s="202" t="s">
        <v>90</v>
      </c>
      <c r="P10" s="202"/>
      <c r="Q10" s="202"/>
      <c r="R10" s="202"/>
      <c r="S10" s="203" t="s">
        <v>91</v>
      </c>
      <c r="T10" s="204"/>
      <c r="U10" s="205"/>
      <c r="V10" s="32"/>
      <c r="W10" s="184"/>
      <c r="X10" s="185"/>
      <c r="Y10" s="2"/>
    </row>
    <row r="11" spans="1:25" customFormat="1" ht="17.25" thickTop="1" thickBot="1">
      <c r="A11" s="2"/>
      <c r="B11" s="198"/>
      <c r="C11" s="30" t="s">
        <v>35</v>
      </c>
      <c r="D11" s="33" t="s">
        <v>37</v>
      </c>
      <c r="E11" s="96">
        <v>1</v>
      </c>
      <c r="F11" s="94">
        <v>2</v>
      </c>
      <c r="G11" s="95" t="s">
        <v>40</v>
      </c>
      <c r="H11" s="95">
        <v>4</v>
      </c>
      <c r="I11" s="95">
        <v>5</v>
      </c>
      <c r="J11" s="89" t="s">
        <v>43</v>
      </c>
      <c r="K11" s="89" t="s">
        <v>44</v>
      </c>
      <c r="L11" s="89" t="s">
        <v>45</v>
      </c>
      <c r="M11" s="93" t="s">
        <v>92</v>
      </c>
      <c r="N11" s="93" t="s">
        <v>47</v>
      </c>
      <c r="O11" s="89" t="s">
        <v>48</v>
      </c>
      <c r="P11" s="89" t="s">
        <v>49</v>
      </c>
      <c r="Q11" s="89" t="s">
        <v>50</v>
      </c>
      <c r="R11" s="89" t="s">
        <v>51</v>
      </c>
      <c r="S11" s="90" t="s">
        <v>52</v>
      </c>
      <c r="T11" s="91" t="s">
        <v>53</v>
      </c>
      <c r="U11" s="92" t="s">
        <v>93</v>
      </c>
      <c r="V11" s="28"/>
      <c r="W11" s="186"/>
      <c r="X11" s="187"/>
      <c r="Y11" s="2"/>
    </row>
    <row r="12" spans="1:25" customFormat="1">
      <c r="A12" s="2"/>
      <c r="B12" s="210" t="s">
        <v>94</v>
      </c>
      <c r="C12" s="212" t="str">
        <f>aurora_data!A1132</f>
        <v>06.00.00-06.11.30</v>
      </c>
      <c r="D12" s="34" t="s">
        <v>71</v>
      </c>
      <c r="E12" s="39">
        <f>IFERROR(aurora_data!D1132,0)</f>
        <v>0</v>
      </c>
      <c r="F12" s="40">
        <f>IFERROR(aurora_data!E1132,0)</f>
        <v>0</v>
      </c>
      <c r="G12" s="40">
        <f>IFERROR(aurora_data!F1132,0)</f>
        <v>0</v>
      </c>
      <c r="H12" s="40">
        <f>IFERROR(aurora_data!G1132,0)</f>
        <v>0</v>
      </c>
      <c r="I12" s="41">
        <f>IFERROR(aurora_data!H1132,0)</f>
        <v>0</v>
      </c>
      <c r="J12" s="39">
        <f>IFERROR(aurora_data!I1132,0)</f>
        <v>0</v>
      </c>
      <c r="K12" s="40">
        <f>IFERROR(aurora_data!J1132,0)</f>
        <v>0</v>
      </c>
      <c r="L12" s="40">
        <f>IFERROR(aurora_data!K1132,0)</f>
        <v>0</v>
      </c>
      <c r="M12" s="40">
        <f>IFERROR(aurora_data!L1132,0)</f>
        <v>0</v>
      </c>
      <c r="N12" s="41">
        <f>IFERROR(aurora_data!M1132,0)</f>
        <v>0</v>
      </c>
      <c r="O12" s="39">
        <f>IFERROR(aurora_data!N1132,0)</f>
        <v>0</v>
      </c>
      <c r="P12" s="40">
        <f>IFERROR(aurora_data!O1132,0)</f>
        <v>0</v>
      </c>
      <c r="Q12" s="40">
        <f>IFERROR(aurora_data!P1132,0)</f>
        <v>0</v>
      </c>
      <c r="R12" s="41">
        <f>IFERROR(aurora_data!Q1132,0)</f>
        <v>0</v>
      </c>
      <c r="S12" s="40">
        <f>IFERROR(aurora_data!R1132,0)</f>
        <v>0</v>
      </c>
      <c r="T12" s="40">
        <f>IFERROR(aurora_data!S1132,0)</f>
        <v>0</v>
      </c>
      <c r="U12" s="76">
        <f>IFERROR(aurora_data!T1132,0)</f>
        <v>0</v>
      </c>
      <c r="V12" s="61" t="s">
        <v>95</v>
      </c>
      <c r="W12" s="39">
        <f>IFERROR(aurora_data!U1132,0)</f>
        <v>5</v>
      </c>
      <c r="X12" s="70">
        <f>IFERROR(W12/$W$12,0)</f>
        <v>1</v>
      </c>
      <c r="Y12" s="2"/>
    </row>
    <row r="13" spans="1:25" customFormat="1">
      <c r="A13" s="2"/>
      <c r="B13" s="211"/>
      <c r="C13" s="213"/>
      <c r="D13" s="35" t="s">
        <v>96</v>
      </c>
      <c r="E13" s="110">
        <f>IFERROR(aurora_data!D1133,0)</f>
        <v>0</v>
      </c>
      <c r="F13" s="62">
        <f>IFERROR(aurora_data!E1133,0)</f>
        <v>0</v>
      </c>
      <c r="G13" s="62">
        <f>IFERROR(aurora_data!F1133,0)</f>
        <v>0</v>
      </c>
      <c r="H13" s="62">
        <f>IFERROR(aurora_data!G1133,0)</f>
        <v>0</v>
      </c>
      <c r="I13" s="63">
        <f>IFERROR(aurora_data!H1133,0)</f>
        <v>0</v>
      </c>
      <c r="J13" s="36">
        <f>IFERROR(aurora_data!I1133,0)</f>
        <v>0</v>
      </c>
      <c r="K13" s="62">
        <f>IFERROR(aurora_data!J1133,0)</f>
        <v>0</v>
      </c>
      <c r="L13" s="62">
        <f>IFERROR(aurora_data!K1133,0)</f>
        <v>0</v>
      </c>
      <c r="M13" s="62">
        <f>IFERROR(aurora_data!L1133,0)</f>
        <v>0</v>
      </c>
      <c r="N13" s="63">
        <f>IFERROR(aurora_data!M1133,0)</f>
        <v>0</v>
      </c>
      <c r="O13" s="36">
        <f>IFERROR(aurora_data!N1133,0)</f>
        <v>0</v>
      </c>
      <c r="P13" s="62">
        <f>IFERROR(aurora_data!O1133,0)</f>
        <v>0</v>
      </c>
      <c r="Q13" s="62">
        <f>IFERROR(aurora_data!P1133,0)</f>
        <v>0</v>
      </c>
      <c r="R13" s="63">
        <f>IFERROR(aurora_data!Q1133,0)</f>
        <v>0</v>
      </c>
      <c r="S13" s="62">
        <f>IFERROR(aurora_data!R1133,0)</f>
        <v>0</v>
      </c>
      <c r="T13" s="62">
        <f>IFERROR(aurora_data!S1133,0)</f>
        <v>0</v>
      </c>
      <c r="U13" s="63">
        <f>IFERROR(aurora_data!T1133,0)</f>
        <v>0</v>
      </c>
      <c r="V13" s="64" t="s">
        <v>95</v>
      </c>
      <c r="W13" s="36">
        <f>IFERROR(aurora_data!U1133,0)</f>
        <v>0</v>
      </c>
      <c r="X13" s="71">
        <f t="shared" ref="X13:X19" si="0">IFERROR(W13/$W$12,0)</f>
        <v>0</v>
      </c>
      <c r="Y13" s="2"/>
    </row>
    <row r="14" spans="1:25" customFormat="1">
      <c r="A14" s="2"/>
      <c r="B14" s="211"/>
      <c r="C14" s="213"/>
      <c r="D14" s="35" t="s">
        <v>60</v>
      </c>
      <c r="E14" s="110">
        <f>IFERROR(aurora_data!D1134,0)</f>
        <v>0</v>
      </c>
      <c r="F14" s="62">
        <f>IFERROR(aurora_data!E1134,0)</f>
        <v>0</v>
      </c>
      <c r="G14" s="62">
        <f>IFERROR(aurora_data!F1134,0)</f>
        <v>0</v>
      </c>
      <c r="H14" s="62">
        <f>IFERROR(aurora_data!G1134,0)</f>
        <v>0</v>
      </c>
      <c r="I14" s="63">
        <f>IFERROR(aurora_data!H1134,0)</f>
        <v>0</v>
      </c>
      <c r="J14" s="36">
        <f>IFERROR(aurora_data!I1134,0)</f>
        <v>0</v>
      </c>
      <c r="K14" s="62">
        <f>IFERROR(aurora_data!J1134,0)</f>
        <v>0</v>
      </c>
      <c r="L14" s="62">
        <f>IFERROR(aurora_data!K1134,0)</f>
        <v>0</v>
      </c>
      <c r="M14" s="62">
        <f>IFERROR(aurora_data!L1134,0)</f>
        <v>0</v>
      </c>
      <c r="N14" s="63">
        <f>IFERROR(aurora_data!M1134,0)</f>
        <v>0</v>
      </c>
      <c r="O14" s="36">
        <f>IFERROR(aurora_data!N1134,0)</f>
        <v>0</v>
      </c>
      <c r="P14" s="62">
        <f>IFERROR(aurora_data!O1134,0)</f>
        <v>0</v>
      </c>
      <c r="Q14" s="62">
        <f>IFERROR(aurora_data!P1134,0)</f>
        <v>0</v>
      </c>
      <c r="R14" s="63">
        <f>IFERROR(aurora_data!Q1134,0)</f>
        <v>0</v>
      </c>
      <c r="S14" s="62">
        <f>IFERROR(aurora_data!R1134,0)</f>
        <v>0</v>
      </c>
      <c r="T14" s="62">
        <f>IFERROR(aurora_data!S1134,0)</f>
        <v>0</v>
      </c>
      <c r="U14" s="63">
        <f>IFERROR(aurora_data!T1134,0)</f>
        <v>0</v>
      </c>
      <c r="V14" s="64" t="s">
        <v>95</v>
      </c>
      <c r="W14" s="36">
        <f>IFERROR(aurora_data!U1134,0)</f>
        <v>0</v>
      </c>
      <c r="X14" s="71">
        <f t="shared" si="0"/>
        <v>0</v>
      </c>
      <c r="Y14" s="2"/>
    </row>
    <row r="15" spans="1:25" customFormat="1">
      <c r="A15" s="2"/>
      <c r="B15" s="211"/>
      <c r="C15" s="213"/>
      <c r="D15" s="35" t="s">
        <v>97</v>
      </c>
      <c r="E15" s="36">
        <f>IFERROR(aurora_data!D1135,0)</f>
        <v>0</v>
      </c>
      <c r="F15" s="62">
        <f>IFERROR(aurora_data!E1135,0)</f>
        <v>0</v>
      </c>
      <c r="G15" s="62">
        <f>IFERROR(aurora_data!F1135,0)</f>
        <v>0</v>
      </c>
      <c r="H15" s="62">
        <f>IFERROR(aurora_data!G1135,0)</f>
        <v>0</v>
      </c>
      <c r="I15" s="63">
        <f>IFERROR(aurora_data!H1135,0)</f>
        <v>0</v>
      </c>
      <c r="J15" s="36">
        <f>IFERROR(aurora_data!I1135,0)</f>
        <v>0</v>
      </c>
      <c r="K15" s="62">
        <f>IFERROR(aurora_data!J1135,0)</f>
        <v>0</v>
      </c>
      <c r="L15" s="62">
        <f>IFERROR(aurora_data!K1135,0)</f>
        <v>0</v>
      </c>
      <c r="M15" s="62">
        <f>IFERROR(aurora_data!L1135,0)</f>
        <v>0</v>
      </c>
      <c r="N15" s="63">
        <f>IFERROR(aurora_data!M1135,0)</f>
        <v>0</v>
      </c>
      <c r="O15" s="36">
        <f>IFERROR(aurora_data!N1135,0)</f>
        <v>0</v>
      </c>
      <c r="P15" s="62">
        <f>IFERROR(aurora_data!O1135,0)</f>
        <v>0</v>
      </c>
      <c r="Q15" s="62">
        <f>IFERROR(aurora_data!P1135,0)</f>
        <v>0</v>
      </c>
      <c r="R15" s="63">
        <f>IFERROR(aurora_data!Q1135,0)</f>
        <v>0</v>
      </c>
      <c r="S15" s="62">
        <f>IFERROR(aurora_data!R1135,0)</f>
        <v>0</v>
      </c>
      <c r="T15" s="62">
        <f>IFERROR(aurora_data!S1135,0)</f>
        <v>0</v>
      </c>
      <c r="U15" s="63">
        <f>IFERROR(aurora_data!T1135,0)</f>
        <v>0</v>
      </c>
      <c r="V15" s="64" t="s">
        <v>95</v>
      </c>
      <c r="W15" s="36">
        <f>IFERROR(aurora_data!U1135,0)</f>
        <v>0</v>
      </c>
      <c r="X15" s="71">
        <f t="shared" si="0"/>
        <v>0</v>
      </c>
      <c r="Y15" s="2"/>
    </row>
    <row r="16" spans="1:25" customFormat="1">
      <c r="A16" s="2"/>
      <c r="B16" s="211"/>
      <c r="C16" s="213"/>
      <c r="D16" s="35" t="s">
        <v>98</v>
      </c>
      <c r="E16" s="36">
        <f>IFERROR(aurora_data!D1136,0)</f>
        <v>0</v>
      </c>
      <c r="F16" s="62">
        <f>IFERROR(aurora_data!E1136,0)</f>
        <v>0</v>
      </c>
      <c r="G16" s="62">
        <f>IFERROR(aurora_data!F1136,0)</f>
        <v>0</v>
      </c>
      <c r="H16" s="62">
        <f>IFERROR(aurora_data!G1136,0)</f>
        <v>0</v>
      </c>
      <c r="I16" s="63">
        <f>IFERROR(aurora_data!H1136,0)</f>
        <v>0</v>
      </c>
      <c r="J16" s="36">
        <f>IFERROR(aurora_data!I1136,0)</f>
        <v>0</v>
      </c>
      <c r="K16" s="62">
        <f>IFERROR(aurora_data!J1136,0)</f>
        <v>0</v>
      </c>
      <c r="L16" s="62">
        <f>IFERROR(aurora_data!K1136,0)</f>
        <v>0</v>
      </c>
      <c r="M16" s="62">
        <f>IFERROR(aurora_data!L1136,0)</f>
        <v>0</v>
      </c>
      <c r="N16" s="63">
        <f>IFERROR(aurora_data!M1136,0)</f>
        <v>0</v>
      </c>
      <c r="O16" s="36">
        <f>IFERROR(aurora_data!N1136,0)</f>
        <v>0</v>
      </c>
      <c r="P16" s="62">
        <f>IFERROR(aurora_data!O1136,0)</f>
        <v>0</v>
      </c>
      <c r="Q16" s="62">
        <f>IFERROR(aurora_data!P1136,0)</f>
        <v>0</v>
      </c>
      <c r="R16" s="63">
        <f>IFERROR(aurora_data!Q1136,0)</f>
        <v>0</v>
      </c>
      <c r="S16" s="62">
        <f>IFERROR(aurora_data!R1136,0)</f>
        <v>0</v>
      </c>
      <c r="T16" s="62">
        <f>IFERROR(aurora_data!S1136,0)</f>
        <v>0</v>
      </c>
      <c r="U16" s="63">
        <f>IFERROR(aurora_data!T1136,0)</f>
        <v>0</v>
      </c>
      <c r="V16" s="64" t="s">
        <v>95</v>
      </c>
      <c r="W16" s="36">
        <f>IFERROR(aurora_data!U1136,0)</f>
        <v>0</v>
      </c>
      <c r="X16" s="71">
        <f t="shared" si="0"/>
        <v>0</v>
      </c>
      <c r="Y16" s="2"/>
    </row>
    <row r="17" spans="1:25" customFormat="1" ht="16.5" thickBot="1">
      <c r="A17" s="2"/>
      <c r="B17" s="211"/>
      <c r="C17" s="213"/>
      <c r="D17" s="35" t="s">
        <v>99</v>
      </c>
      <c r="E17" s="36">
        <f>IFERROR(aurora_data!D1137,0)</f>
        <v>0</v>
      </c>
      <c r="F17" s="62">
        <f>IFERROR(aurora_data!E1137,0)</f>
        <v>0</v>
      </c>
      <c r="G17" s="62">
        <f>IFERROR(aurora_data!F1137,0)</f>
        <v>0</v>
      </c>
      <c r="H17" s="62">
        <f>IFERROR(aurora_data!G1137,0)</f>
        <v>0</v>
      </c>
      <c r="I17" s="63">
        <f>IFERROR(aurora_data!H1137,0)</f>
        <v>0</v>
      </c>
      <c r="J17" s="36">
        <f>IFERROR(aurora_data!I1137,0)</f>
        <v>0</v>
      </c>
      <c r="K17" s="62">
        <f>IFERROR(aurora_data!J1137,0)</f>
        <v>0</v>
      </c>
      <c r="L17" s="62">
        <f>IFERROR(aurora_data!K1137,0)</f>
        <v>0</v>
      </c>
      <c r="M17" s="62">
        <f>IFERROR(aurora_data!L1137,0)</f>
        <v>0</v>
      </c>
      <c r="N17" s="63">
        <f>IFERROR(aurora_data!M1137,0)</f>
        <v>0</v>
      </c>
      <c r="O17" s="36">
        <f>IFERROR(aurora_data!N1137,0)</f>
        <v>0</v>
      </c>
      <c r="P17" s="62">
        <f>IFERROR(aurora_data!O1137,0)</f>
        <v>0</v>
      </c>
      <c r="Q17" s="62">
        <f>IFERROR(aurora_data!P1137,0)</f>
        <v>0</v>
      </c>
      <c r="R17" s="63">
        <f>IFERROR(aurora_data!Q1137,0)</f>
        <v>0</v>
      </c>
      <c r="S17" s="62">
        <f>IFERROR(aurora_data!R1137,0)</f>
        <v>0</v>
      </c>
      <c r="T17" s="62">
        <f>IFERROR(aurora_data!S1137,0)</f>
        <v>0</v>
      </c>
      <c r="U17" s="63">
        <f>IFERROR(aurora_data!T1137,0)</f>
        <v>0</v>
      </c>
      <c r="V17" s="64" t="s">
        <v>95</v>
      </c>
      <c r="W17" s="36">
        <f>IFERROR(aurora_data!U1137,0)</f>
        <v>0</v>
      </c>
      <c r="X17" s="71">
        <f t="shared" si="0"/>
        <v>0</v>
      </c>
      <c r="Y17" s="2"/>
    </row>
    <row r="18" spans="1:25" customFormat="1" ht="16.5" thickBot="1">
      <c r="A18" s="2"/>
      <c r="B18" s="211"/>
      <c r="C18" s="213"/>
      <c r="D18" s="37" t="s">
        <v>64</v>
      </c>
      <c r="E18" s="59">
        <f>IFERROR(aurora_data!D1138,0)</f>
        <v>0</v>
      </c>
      <c r="F18" s="65">
        <f>IFERROR(aurora_data!E1138,0)</f>
        <v>0</v>
      </c>
      <c r="G18" s="65">
        <f>IFERROR(aurora_data!F1138,0)</f>
        <v>0</v>
      </c>
      <c r="H18" s="65">
        <f>IFERROR(aurora_data!G1138,0)</f>
        <v>0</v>
      </c>
      <c r="I18" s="66">
        <f>IFERROR(aurora_data!H1138,0)</f>
        <v>0</v>
      </c>
      <c r="J18" s="59">
        <f>IFERROR(aurora_data!I1138,0)</f>
        <v>0</v>
      </c>
      <c r="K18" s="65">
        <f>IFERROR(aurora_data!J1138,0)</f>
        <v>0</v>
      </c>
      <c r="L18" s="65">
        <f>IFERROR(aurora_data!K1138,0)</f>
        <v>0</v>
      </c>
      <c r="M18" s="65">
        <f>IFERROR(aurora_data!L1138,0)</f>
        <v>0</v>
      </c>
      <c r="N18" s="66">
        <f>IFERROR(aurora_data!M1138,0)</f>
        <v>0</v>
      </c>
      <c r="O18" s="59">
        <f>IFERROR(aurora_data!N1138,0)</f>
        <v>0</v>
      </c>
      <c r="P18" s="65">
        <f>IFERROR(aurora_data!O1138,0)</f>
        <v>0</v>
      </c>
      <c r="Q18" s="65">
        <f>IFERROR(aurora_data!P1138,0)</f>
        <v>0</v>
      </c>
      <c r="R18" s="66">
        <f>IFERROR(aurora_data!Q1138,0)</f>
        <v>0</v>
      </c>
      <c r="S18" s="65">
        <f>IFERROR(aurora_data!R1138,0)</f>
        <v>0</v>
      </c>
      <c r="T18" s="65">
        <f>IFERROR(aurora_data!S1138,0)</f>
        <v>0</v>
      </c>
      <c r="U18" s="66">
        <f>IFERROR(aurora_data!T1138,0)</f>
        <v>0</v>
      </c>
      <c r="V18" s="67" t="s">
        <v>95</v>
      </c>
      <c r="W18" s="59">
        <f>IFERROR(aurora_data!U1138,0)</f>
        <v>0</v>
      </c>
      <c r="X18" s="72">
        <f t="shared" si="0"/>
        <v>0</v>
      </c>
      <c r="Y18" s="2"/>
    </row>
    <row r="19" spans="1:25" customFormat="1" ht="16.5" thickBot="1">
      <c r="A19" s="2"/>
      <c r="B19" s="211"/>
      <c r="C19" s="213"/>
      <c r="D19" s="38" t="s">
        <v>100</v>
      </c>
      <c r="E19" s="60">
        <f>IFERROR(aurora_data!D1139,0)</f>
        <v>0</v>
      </c>
      <c r="F19" s="68">
        <f>IFERROR(aurora_data!E1139,0)</f>
        <v>0</v>
      </c>
      <c r="G19" s="68">
        <f>IFERROR(aurora_data!F1139,0)</f>
        <v>0</v>
      </c>
      <c r="H19" s="68">
        <f>IFERROR(aurora_data!G1139,0)</f>
        <v>0</v>
      </c>
      <c r="I19" s="69">
        <f>IFERROR(aurora_data!H1139,0)</f>
        <v>0</v>
      </c>
      <c r="J19" s="60">
        <f>IFERROR(aurora_data!I1139,0)</f>
        <v>0</v>
      </c>
      <c r="K19" s="68">
        <f>IFERROR(aurora_data!J1139,0)</f>
        <v>0</v>
      </c>
      <c r="L19" s="68">
        <f>IFERROR(aurora_data!K1139,0)</f>
        <v>0</v>
      </c>
      <c r="M19" s="68">
        <f>IFERROR(aurora_data!L1139,0)</f>
        <v>0</v>
      </c>
      <c r="N19" s="69">
        <f>IFERROR(aurora_data!M1139,0)</f>
        <v>0</v>
      </c>
      <c r="O19" s="60">
        <f>IFERROR(aurora_data!N1139,0)</f>
        <v>0</v>
      </c>
      <c r="P19" s="68">
        <f>IFERROR(aurora_data!O1139,0)</f>
        <v>0</v>
      </c>
      <c r="Q19" s="68">
        <f>IFERROR(aurora_data!P1139,0)</f>
        <v>0</v>
      </c>
      <c r="R19" s="69">
        <f>IFERROR(aurora_data!Q1139,0)</f>
        <v>0</v>
      </c>
      <c r="S19" s="68">
        <f>IFERROR(aurora_data!R1139,0)</f>
        <v>0</v>
      </c>
      <c r="T19" s="68">
        <f>IFERROR(aurora_data!S1139,0)</f>
        <v>0</v>
      </c>
      <c r="U19" s="74">
        <f>IFERROR(aurora_data!T1139,0)</f>
        <v>0</v>
      </c>
      <c r="V19" s="75" t="s">
        <v>95</v>
      </c>
      <c r="W19" s="60">
        <f>IFERROR(aurora_data!U1139,0)</f>
        <v>0</v>
      </c>
      <c r="X19" s="73">
        <f t="shared" si="0"/>
        <v>0</v>
      </c>
      <c r="Y19" s="2"/>
    </row>
    <row r="20" spans="1:25" customFormat="1">
      <c r="A20" s="2"/>
      <c r="B20" s="210" t="s">
        <v>94</v>
      </c>
      <c r="C20" s="212" t="str">
        <f>aurora_data!A1140</f>
        <v>07.00.00-07.11.30</v>
      </c>
      <c r="D20" s="34" t="s">
        <v>71</v>
      </c>
      <c r="E20" s="39">
        <f>IFERROR(aurora_data!D1140,0)</f>
        <v>0</v>
      </c>
      <c r="F20" s="40">
        <f>IFERROR(aurora_data!E1140,0)</f>
        <v>0</v>
      </c>
      <c r="G20" s="40">
        <f>IFERROR(aurora_data!F1140,0)</f>
        <v>0</v>
      </c>
      <c r="H20" s="40">
        <f>IFERROR(aurora_data!G1140,0)</f>
        <v>0</v>
      </c>
      <c r="I20" s="41">
        <f>IFERROR(aurora_data!H1140,0)</f>
        <v>0</v>
      </c>
      <c r="J20" s="39">
        <f>IFERROR(aurora_data!I1140,0)</f>
        <v>0</v>
      </c>
      <c r="K20" s="40">
        <f>IFERROR(aurora_data!J1140,0)</f>
        <v>0</v>
      </c>
      <c r="L20" s="40">
        <f>IFERROR(aurora_data!K1140,0)</f>
        <v>0</v>
      </c>
      <c r="M20" s="40">
        <f>IFERROR(aurora_data!L1140,0)</f>
        <v>0</v>
      </c>
      <c r="N20" s="41">
        <f>IFERROR(aurora_data!M1140,0)</f>
        <v>0</v>
      </c>
      <c r="O20" s="39">
        <f>IFERROR(aurora_data!N1140,0)</f>
        <v>0</v>
      </c>
      <c r="P20" s="40">
        <f>IFERROR(aurora_data!O1140,0)</f>
        <v>0</v>
      </c>
      <c r="Q20" s="40">
        <f>IFERROR(aurora_data!P1140,0)</f>
        <v>0</v>
      </c>
      <c r="R20" s="41">
        <f>IFERROR(aurora_data!Q1140,0)</f>
        <v>0</v>
      </c>
      <c r="S20" s="40">
        <f>IFERROR(aurora_data!R1140,0)</f>
        <v>0</v>
      </c>
      <c r="T20" s="40">
        <f>IFERROR(aurora_data!S1140,0)</f>
        <v>0</v>
      </c>
      <c r="U20" s="76">
        <f>IFERROR(aurora_data!T1140,0)</f>
        <v>0</v>
      </c>
      <c r="V20" s="61" t="s">
        <v>95</v>
      </c>
      <c r="W20" s="39">
        <f>IFERROR(aurora_data!U1140,0)</f>
        <v>5</v>
      </c>
      <c r="X20" s="70">
        <f>IFERROR(W20/$W$12,0)</f>
        <v>1</v>
      </c>
      <c r="Y20" s="2"/>
    </row>
    <row r="21" spans="1:25" customFormat="1">
      <c r="A21" s="2"/>
      <c r="B21" s="211"/>
      <c r="C21" s="213"/>
      <c r="D21" s="35" t="s">
        <v>96</v>
      </c>
      <c r="E21" s="110">
        <f>IFERROR(aurora_data!D1141,0)</f>
        <v>0</v>
      </c>
      <c r="F21" s="62">
        <f>IFERROR(aurora_data!E1141,0)</f>
        <v>0</v>
      </c>
      <c r="G21" s="62">
        <f>IFERROR(aurora_data!F1141,0)</f>
        <v>0</v>
      </c>
      <c r="H21" s="62">
        <f>IFERROR(aurora_data!G1141,0)</f>
        <v>0</v>
      </c>
      <c r="I21" s="63">
        <f>IFERROR(aurora_data!H1141,0)</f>
        <v>0</v>
      </c>
      <c r="J21" s="36">
        <f>IFERROR(aurora_data!I1141,0)</f>
        <v>0</v>
      </c>
      <c r="K21" s="62">
        <f>IFERROR(aurora_data!J1141,0)</f>
        <v>0</v>
      </c>
      <c r="L21" s="62">
        <f>IFERROR(aurora_data!K1141,0)</f>
        <v>0</v>
      </c>
      <c r="M21" s="62">
        <f>IFERROR(aurora_data!L1141,0)</f>
        <v>0</v>
      </c>
      <c r="N21" s="63">
        <f>IFERROR(aurora_data!M1141,0)</f>
        <v>0</v>
      </c>
      <c r="O21" s="36">
        <f>IFERROR(aurora_data!N1141,0)</f>
        <v>0</v>
      </c>
      <c r="P21" s="62">
        <f>IFERROR(aurora_data!O1141,0)</f>
        <v>0</v>
      </c>
      <c r="Q21" s="62">
        <f>IFERROR(aurora_data!P1141,0)</f>
        <v>0</v>
      </c>
      <c r="R21" s="63">
        <f>IFERROR(aurora_data!Q1141,0)</f>
        <v>0</v>
      </c>
      <c r="S21" s="62">
        <f>IFERROR(aurora_data!R1141,0)</f>
        <v>0</v>
      </c>
      <c r="T21" s="62">
        <f>IFERROR(aurora_data!S1141,0)</f>
        <v>0</v>
      </c>
      <c r="U21" s="63">
        <f>IFERROR(aurora_data!T1141,0)</f>
        <v>0</v>
      </c>
      <c r="V21" s="64" t="s">
        <v>95</v>
      </c>
      <c r="W21" s="36">
        <f>IFERROR(aurora_data!U1141,0)</f>
        <v>0</v>
      </c>
      <c r="X21" s="71">
        <f t="shared" ref="X21:X27" si="1">IFERROR(W21/$W$12,0)</f>
        <v>0</v>
      </c>
      <c r="Y21" s="2"/>
    </row>
    <row r="22" spans="1:25" customFormat="1">
      <c r="A22" s="2"/>
      <c r="B22" s="211"/>
      <c r="C22" s="213"/>
      <c r="D22" s="35" t="s">
        <v>60</v>
      </c>
      <c r="E22" s="110">
        <f>IFERROR(aurora_data!D1142,0)</f>
        <v>0</v>
      </c>
      <c r="F22" s="62">
        <f>IFERROR(aurora_data!E1142,0)</f>
        <v>0</v>
      </c>
      <c r="G22" s="62">
        <f>IFERROR(aurora_data!F1142,0)</f>
        <v>0</v>
      </c>
      <c r="H22" s="62">
        <f>IFERROR(aurora_data!G1142,0)</f>
        <v>0</v>
      </c>
      <c r="I22" s="63">
        <f>IFERROR(aurora_data!H1142,0)</f>
        <v>0</v>
      </c>
      <c r="J22" s="36">
        <f>IFERROR(aurora_data!I1142,0)</f>
        <v>0</v>
      </c>
      <c r="K22" s="62">
        <f>IFERROR(aurora_data!J1142,0)</f>
        <v>0</v>
      </c>
      <c r="L22" s="62">
        <f>IFERROR(aurora_data!K1142,0)</f>
        <v>0</v>
      </c>
      <c r="M22" s="62">
        <f>IFERROR(aurora_data!L1142,0)</f>
        <v>0</v>
      </c>
      <c r="N22" s="63">
        <f>IFERROR(aurora_data!M1142,0)</f>
        <v>0</v>
      </c>
      <c r="O22" s="36">
        <f>IFERROR(aurora_data!N1142,0)</f>
        <v>0</v>
      </c>
      <c r="P22" s="62">
        <f>IFERROR(aurora_data!O1142,0)</f>
        <v>0</v>
      </c>
      <c r="Q22" s="62">
        <f>IFERROR(aurora_data!P1142,0)</f>
        <v>0</v>
      </c>
      <c r="R22" s="63">
        <f>IFERROR(aurora_data!Q1142,0)</f>
        <v>0</v>
      </c>
      <c r="S22" s="62">
        <f>IFERROR(aurora_data!R1142,0)</f>
        <v>0</v>
      </c>
      <c r="T22" s="62">
        <f>IFERROR(aurora_data!S1142,0)</f>
        <v>0</v>
      </c>
      <c r="U22" s="63">
        <f>IFERROR(aurora_data!T1142,0)</f>
        <v>0</v>
      </c>
      <c r="V22" s="64" t="s">
        <v>95</v>
      </c>
      <c r="W22" s="36">
        <f>IFERROR(aurora_data!U1142,0)</f>
        <v>0</v>
      </c>
      <c r="X22" s="71">
        <f t="shared" si="1"/>
        <v>0</v>
      </c>
      <c r="Y22" s="2"/>
    </row>
    <row r="23" spans="1:25" customFormat="1">
      <c r="A23" s="2"/>
      <c r="B23" s="211"/>
      <c r="C23" s="213"/>
      <c r="D23" s="35" t="s">
        <v>97</v>
      </c>
      <c r="E23" s="36">
        <f>IFERROR(aurora_data!D1143,0)</f>
        <v>0</v>
      </c>
      <c r="F23" s="62">
        <f>IFERROR(aurora_data!E1143,0)</f>
        <v>0</v>
      </c>
      <c r="G23" s="62">
        <f>IFERROR(aurora_data!F1143,0)</f>
        <v>0</v>
      </c>
      <c r="H23" s="62">
        <f>IFERROR(aurora_data!G1143,0)</f>
        <v>0</v>
      </c>
      <c r="I23" s="63">
        <f>IFERROR(aurora_data!H1143,0)</f>
        <v>0</v>
      </c>
      <c r="J23" s="36">
        <f>IFERROR(aurora_data!I1143,0)</f>
        <v>0</v>
      </c>
      <c r="K23" s="62">
        <f>IFERROR(aurora_data!J1143,0)</f>
        <v>0</v>
      </c>
      <c r="L23" s="62">
        <f>IFERROR(aurora_data!K1143,0)</f>
        <v>0</v>
      </c>
      <c r="M23" s="62">
        <f>IFERROR(aurora_data!L1143,0)</f>
        <v>0</v>
      </c>
      <c r="N23" s="63">
        <f>IFERROR(aurora_data!M1143,0)</f>
        <v>0</v>
      </c>
      <c r="O23" s="36">
        <f>IFERROR(aurora_data!N1143,0)</f>
        <v>0</v>
      </c>
      <c r="P23" s="62">
        <f>IFERROR(aurora_data!O1143,0)</f>
        <v>0</v>
      </c>
      <c r="Q23" s="62">
        <f>IFERROR(aurora_data!P1143,0)</f>
        <v>0</v>
      </c>
      <c r="R23" s="63">
        <f>IFERROR(aurora_data!Q1143,0)</f>
        <v>0</v>
      </c>
      <c r="S23" s="62">
        <f>IFERROR(aurora_data!R1143,0)</f>
        <v>0</v>
      </c>
      <c r="T23" s="62">
        <f>IFERROR(aurora_data!S1143,0)</f>
        <v>0</v>
      </c>
      <c r="U23" s="63">
        <f>IFERROR(aurora_data!T1143,0)</f>
        <v>0</v>
      </c>
      <c r="V23" s="64" t="s">
        <v>95</v>
      </c>
      <c r="W23" s="36">
        <f>IFERROR(aurora_data!U1143,0)</f>
        <v>0</v>
      </c>
      <c r="X23" s="71">
        <f t="shared" si="1"/>
        <v>0</v>
      </c>
      <c r="Y23" s="2"/>
    </row>
    <row r="24" spans="1:25" customFormat="1">
      <c r="A24" s="2"/>
      <c r="B24" s="211"/>
      <c r="C24" s="213"/>
      <c r="D24" s="35" t="s">
        <v>98</v>
      </c>
      <c r="E24" s="36">
        <f>IFERROR(aurora_data!D1144,0)</f>
        <v>0</v>
      </c>
      <c r="F24" s="62">
        <f>IFERROR(aurora_data!E1144,0)</f>
        <v>0</v>
      </c>
      <c r="G24" s="62">
        <f>IFERROR(aurora_data!F1144,0)</f>
        <v>0</v>
      </c>
      <c r="H24" s="62">
        <f>IFERROR(aurora_data!G1144,0)</f>
        <v>0</v>
      </c>
      <c r="I24" s="63">
        <f>IFERROR(aurora_data!H1144,0)</f>
        <v>0</v>
      </c>
      <c r="J24" s="36">
        <f>IFERROR(aurora_data!I1144,0)</f>
        <v>0</v>
      </c>
      <c r="K24" s="62">
        <f>IFERROR(aurora_data!J1144,0)</f>
        <v>0</v>
      </c>
      <c r="L24" s="62">
        <f>IFERROR(aurora_data!K1144,0)</f>
        <v>0</v>
      </c>
      <c r="M24" s="62">
        <f>IFERROR(aurora_data!L1144,0)</f>
        <v>0</v>
      </c>
      <c r="N24" s="63">
        <f>IFERROR(aurora_data!M1144,0)</f>
        <v>0</v>
      </c>
      <c r="O24" s="36">
        <f>IFERROR(aurora_data!N1144,0)</f>
        <v>0</v>
      </c>
      <c r="P24" s="62">
        <f>IFERROR(aurora_data!O1144,0)</f>
        <v>0</v>
      </c>
      <c r="Q24" s="62">
        <f>IFERROR(aurora_data!P1144,0)</f>
        <v>0</v>
      </c>
      <c r="R24" s="63">
        <f>IFERROR(aurora_data!Q1144,0)</f>
        <v>0</v>
      </c>
      <c r="S24" s="62">
        <f>IFERROR(aurora_data!R1144,0)</f>
        <v>0</v>
      </c>
      <c r="T24" s="62">
        <f>IFERROR(aurora_data!S1144,0)</f>
        <v>0</v>
      </c>
      <c r="U24" s="63">
        <f>IFERROR(aurora_data!T1144,0)</f>
        <v>0</v>
      </c>
      <c r="V24" s="64" t="s">
        <v>95</v>
      </c>
      <c r="W24" s="36">
        <f>IFERROR(aurora_data!U1144,0)</f>
        <v>0</v>
      </c>
      <c r="X24" s="71">
        <f t="shared" si="1"/>
        <v>0</v>
      </c>
      <c r="Y24" s="2"/>
    </row>
    <row r="25" spans="1:25" customFormat="1" ht="16.5" thickBot="1">
      <c r="A25" s="2"/>
      <c r="B25" s="211"/>
      <c r="C25" s="213"/>
      <c r="D25" s="35" t="s">
        <v>99</v>
      </c>
      <c r="E25" s="36">
        <f>IFERROR(aurora_data!D1145,0)</f>
        <v>0</v>
      </c>
      <c r="F25" s="62">
        <f>IFERROR(aurora_data!E1145,0)</f>
        <v>0</v>
      </c>
      <c r="G25" s="62">
        <f>IFERROR(aurora_data!F1145,0)</f>
        <v>0</v>
      </c>
      <c r="H25" s="62">
        <f>IFERROR(aurora_data!G1145,0)</f>
        <v>0</v>
      </c>
      <c r="I25" s="63">
        <f>IFERROR(aurora_data!H1145,0)</f>
        <v>0</v>
      </c>
      <c r="J25" s="36">
        <f>IFERROR(aurora_data!I1145,0)</f>
        <v>0</v>
      </c>
      <c r="K25" s="62">
        <f>IFERROR(aurora_data!J1145,0)</f>
        <v>0</v>
      </c>
      <c r="L25" s="62">
        <f>IFERROR(aurora_data!K1145,0)</f>
        <v>0</v>
      </c>
      <c r="M25" s="62">
        <f>IFERROR(aurora_data!L1145,0)</f>
        <v>0</v>
      </c>
      <c r="N25" s="63">
        <f>IFERROR(aurora_data!M1145,0)</f>
        <v>0</v>
      </c>
      <c r="O25" s="36">
        <f>IFERROR(aurora_data!N1145,0)</f>
        <v>0</v>
      </c>
      <c r="P25" s="62">
        <f>IFERROR(aurora_data!O1145,0)</f>
        <v>0</v>
      </c>
      <c r="Q25" s="62">
        <f>IFERROR(aurora_data!P1145,0)</f>
        <v>0</v>
      </c>
      <c r="R25" s="63">
        <f>IFERROR(aurora_data!Q1145,0)</f>
        <v>0</v>
      </c>
      <c r="S25" s="62">
        <f>IFERROR(aurora_data!R1145,0)</f>
        <v>0</v>
      </c>
      <c r="T25" s="62">
        <f>IFERROR(aurora_data!S1145,0)</f>
        <v>0</v>
      </c>
      <c r="U25" s="63">
        <f>IFERROR(aurora_data!T1145,0)</f>
        <v>0</v>
      </c>
      <c r="V25" s="64" t="s">
        <v>95</v>
      </c>
      <c r="W25" s="36">
        <f>IFERROR(aurora_data!U1145,0)</f>
        <v>0</v>
      </c>
      <c r="X25" s="71">
        <f t="shared" si="1"/>
        <v>0</v>
      </c>
      <c r="Y25" s="2"/>
    </row>
    <row r="26" spans="1:25" customFormat="1" ht="16.5" thickBot="1">
      <c r="A26" s="2"/>
      <c r="B26" s="211"/>
      <c r="C26" s="213"/>
      <c r="D26" s="37" t="s">
        <v>64</v>
      </c>
      <c r="E26" s="59">
        <f>IFERROR(aurora_data!D1146,0)</f>
        <v>0</v>
      </c>
      <c r="F26" s="65">
        <f>IFERROR(aurora_data!E1146,0)</f>
        <v>0</v>
      </c>
      <c r="G26" s="65">
        <f>IFERROR(aurora_data!F1146,0)</f>
        <v>0</v>
      </c>
      <c r="H26" s="65">
        <f>IFERROR(aurora_data!G1146,0)</f>
        <v>0</v>
      </c>
      <c r="I26" s="66">
        <f>IFERROR(aurora_data!H1146,0)</f>
        <v>0</v>
      </c>
      <c r="J26" s="59">
        <f>IFERROR(aurora_data!I1146,0)</f>
        <v>0</v>
      </c>
      <c r="K26" s="65">
        <f>IFERROR(aurora_data!J1146,0)</f>
        <v>0</v>
      </c>
      <c r="L26" s="65">
        <f>IFERROR(aurora_data!K1146,0)</f>
        <v>0</v>
      </c>
      <c r="M26" s="65">
        <f>IFERROR(aurora_data!L1146,0)</f>
        <v>0</v>
      </c>
      <c r="N26" s="66">
        <f>IFERROR(aurora_data!M1146,0)</f>
        <v>0</v>
      </c>
      <c r="O26" s="59">
        <f>IFERROR(aurora_data!N1146,0)</f>
        <v>0</v>
      </c>
      <c r="P26" s="65">
        <f>IFERROR(aurora_data!O1146,0)</f>
        <v>0</v>
      </c>
      <c r="Q26" s="65">
        <f>IFERROR(aurora_data!P1146,0)</f>
        <v>0</v>
      </c>
      <c r="R26" s="66">
        <f>IFERROR(aurora_data!Q1146,0)</f>
        <v>0</v>
      </c>
      <c r="S26" s="65">
        <f>IFERROR(aurora_data!R1146,0)</f>
        <v>0</v>
      </c>
      <c r="T26" s="65">
        <f>IFERROR(aurora_data!S1146,0)</f>
        <v>0</v>
      </c>
      <c r="U26" s="66">
        <f>IFERROR(aurora_data!T1146,0)</f>
        <v>0</v>
      </c>
      <c r="V26" s="67" t="s">
        <v>95</v>
      </c>
      <c r="W26" s="59">
        <f>IFERROR(aurora_data!U1146,0)</f>
        <v>0</v>
      </c>
      <c r="X26" s="72">
        <f t="shared" si="1"/>
        <v>0</v>
      </c>
      <c r="Y26" s="2"/>
    </row>
    <row r="27" spans="1:25" customFormat="1" ht="16.5" thickBot="1">
      <c r="A27" s="2"/>
      <c r="B27" s="211"/>
      <c r="C27" s="213"/>
      <c r="D27" s="38" t="s">
        <v>100</v>
      </c>
      <c r="E27" s="60">
        <f>IFERROR(aurora_data!D1147,0)</f>
        <v>0</v>
      </c>
      <c r="F27" s="68">
        <f>IFERROR(aurora_data!E1147,0)</f>
        <v>0</v>
      </c>
      <c r="G27" s="68">
        <f>IFERROR(aurora_data!F1147,0)</f>
        <v>0</v>
      </c>
      <c r="H27" s="68">
        <f>IFERROR(aurora_data!G1147,0)</f>
        <v>0</v>
      </c>
      <c r="I27" s="69">
        <f>IFERROR(aurora_data!H1147,0)</f>
        <v>0</v>
      </c>
      <c r="J27" s="60">
        <f>IFERROR(aurora_data!I1147,0)</f>
        <v>0</v>
      </c>
      <c r="K27" s="68">
        <f>IFERROR(aurora_data!J1147,0)</f>
        <v>0</v>
      </c>
      <c r="L27" s="68">
        <f>IFERROR(aurora_data!K1147,0)</f>
        <v>0</v>
      </c>
      <c r="M27" s="68">
        <f>IFERROR(aurora_data!L1147,0)</f>
        <v>0</v>
      </c>
      <c r="N27" s="69">
        <f>IFERROR(aurora_data!M1147,0)</f>
        <v>0</v>
      </c>
      <c r="O27" s="60">
        <f>IFERROR(aurora_data!N1147,0)</f>
        <v>0</v>
      </c>
      <c r="P27" s="68">
        <f>IFERROR(aurora_data!O1147,0)</f>
        <v>0</v>
      </c>
      <c r="Q27" s="68">
        <f>IFERROR(aurora_data!P1147,0)</f>
        <v>0</v>
      </c>
      <c r="R27" s="69">
        <f>IFERROR(aurora_data!Q1147,0)</f>
        <v>0</v>
      </c>
      <c r="S27" s="68">
        <f>IFERROR(aurora_data!R1147,0)</f>
        <v>0</v>
      </c>
      <c r="T27" s="68">
        <f>IFERROR(aurora_data!S1147,0)</f>
        <v>0</v>
      </c>
      <c r="U27" s="74">
        <f>IFERROR(aurora_data!T1147,0)</f>
        <v>0</v>
      </c>
      <c r="V27" s="75" t="s">
        <v>95</v>
      </c>
      <c r="W27" s="60">
        <f>IFERROR(aurora_data!U1147,0)</f>
        <v>0</v>
      </c>
      <c r="X27" s="73">
        <f t="shared" si="1"/>
        <v>0</v>
      </c>
      <c r="Y27" s="2"/>
    </row>
    <row r="28" spans="1:25" customFormat="1">
      <c r="A28" s="2"/>
      <c r="B28" s="210" t="s">
        <v>94</v>
      </c>
      <c r="C28" s="212" t="str">
        <f>aurora_data!A1148</f>
        <v>08.00.00-08.11.30</v>
      </c>
      <c r="D28" s="34" t="s">
        <v>71</v>
      </c>
      <c r="E28" s="39">
        <f>IFERROR(aurora_data!D1148,0)</f>
        <v>0</v>
      </c>
      <c r="F28" s="40">
        <f>IFERROR(aurora_data!E1148,0)</f>
        <v>0</v>
      </c>
      <c r="G28" s="40">
        <f>IFERROR(aurora_data!F1148,0)</f>
        <v>0</v>
      </c>
      <c r="H28" s="40">
        <f>IFERROR(aurora_data!G1148,0)</f>
        <v>0</v>
      </c>
      <c r="I28" s="41">
        <f>IFERROR(aurora_data!H1148,0)</f>
        <v>0</v>
      </c>
      <c r="J28" s="39">
        <f>IFERROR(aurora_data!I1148,0)</f>
        <v>0</v>
      </c>
      <c r="K28" s="40">
        <f>IFERROR(aurora_data!J1148,0)</f>
        <v>0</v>
      </c>
      <c r="L28" s="40">
        <f>IFERROR(aurora_data!K1148,0)</f>
        <v>0</v>
      </c>
      <c r="M28" s="40">
        <f>IFERROR(aurora_data!L1148,0)</f>
        <v>0</v>
      </c>
      <c r="N28" s="41">
        <f>IFERROR(aurora_data!M1148,0)</f>
        <v>0</v>
      </c>
      <c r="O28" s="39">
        <f>IFERROR(aurora_data!N1148,0)</f>
        <v>0</v>
      </c>
      <c r="P28" s="40">
        <f>IFERROR(aurora_data!O1148,0)</f>
        <v>0</v>
      </c>
      <c r="Q28" s="40">
        <f>IFERROR(aurora_data!P1148,0)</f>
        <v>0</v>
      </c>
      <c r="R28" s="41">
        <f>IFERROR(aurora_data!Q1148,0)</f>
        <v>0</v>
      </c>
      <c r="S28" s="40">
        <f>IFERROR(aurora_data!R1148,0)</f>
        <v>0</v>
      </c>
      <c r="T28" s="40">
        <f>IFERROR(aurora_data!S1148,0)</f>
        <v>0</v>
      </c>
      <c r="U28" s="76">
        <f>IFERROR(aurora_data!T1148,0)</f>
        <v>0</v>
      </c>
      <c r="V28" s="61" t="s">
        <v>95</v>
      </c>
      <c r="W28" s="39">
        <f>IFERROR(aurora_data!U1148,0)</f>
        <v>5</v>
      </c>
      <c r="X28" s="70">
        <f>IFERROR(W28/$W$12,0)</f>
        <v>1</v>
      </c>
      <c r="Y28" s="2"/>
    </row>
    <row r="29" spans="1:25" customFormat="1">
      <c r="A29" s="2"/>
      <c r="B29" s="211"/>
      <c r="C29" s="213"/>
      <c r="D29" s="35" t="s">
        <v>96</v>
      </c>
      <c r="E29" s="110">
        <f>IFERROR(aurora_data!D1149,0)</f>
        <v>0</v>
      </c>
      <c r="F29" s="62">
        <f>IFERROR(aurora_data!E1149,0)</f>
        <v>0</v>
      </c>
      <c r="G29" s="62">
        <f>IFERROR(aurora_data!F1149,0)</f>
        <v>0</v>
      </c>
      <c r="H29" s="62">
        <f>IFERROR(aurora_data!G1149,0)</f>
        <v>0</v>
      </c>
      <c r="I29" s="63">
        <f>IFERROR(aurora_data!H1149,0)</f>
        <v>0</v>
      </c>
      <c r="J29" s="36">
        <f>IFERROR(aurora_data!I1149,0)</f>
        <v>0</v>
      </c>
      <c r="K29" s="62">
        <f>IFERROR(aurora_data!J1149,0)</f>
        <v>0</v>
      </c>
      <c r="L29" s="62">
        <f>IFERROR(aurora_data!K1149,0)</f>
        <v>0</v>
      </c>
      <c r="M29" s="62">
        <f>IFERROR(aurora_data!L1149,0)</f>
        <v>0</v>
      </c>
      <c r="N29" s="63">
        <f>IFERROR(aurora_data!M1149,0)</f>
        <v>0</v>
      </c>
      <c r="O29" s="36">
        <f>IFERROR(aurora_data!N1149,0)</f>
        <v>0</v>
      </c>
      <c r="P29" s="62">
        <f>IFERROR(aurora_data!O1149,0)</f>
        <v>0</v>
      </c>
      <c r="Q29" s="62">
        <f>IFERROR(aurora_data!P1149,0)</f>
        <v>0</v>
      </c>
      <c r="R29" s="63">
        <f>IFERROR(aurora_data!Q1149,0)</f>
        <v>0</v>
      </c>
      <c r="S29" s="62">
        <f>IFERROR(aurora_data!R1149,0)</f>
        <v>0</v>
      </c>
      <c r="T29" s="62">
        <f>IFERROR(aurora_data!S1149,0)</f>
        <v>0</v>
      </c>
      <c r="U29" s="63">
        <f>IFERROR(aurora_data!T1149,0)</f>
        <v>0</v>
      </c>
      <c r="V29" s="64" t="s">
        <v>95</v>
      </c>
      <c r="W29" s="36">
        <f>IFERROR(aurora_data!U1149,0)</f>
        <v>0</v>
      </c>
      <c r="X29" s="71">
        <f t="shared" ref="X29:X35" si="2">IFERROR(W29/$W$12,0)</f>
        <v>0</v>
      </c>
      <c r="Y29" s="2"/>
    </row>
    <row r="30" spans="1:25" customFormat="1">
      <c r="A30" s="2"/>
      <c r="B30" s="211"/>
      <c r="C30" s="213"/>
      <c r="D30" s="35" t="s">
        <v>60</v>
      </c>
      <c r="E30" s="110">
        <f>IFERROR(aurora_data!D1150,0)</f>
        <v>0</v>
      </c>
      <c r="F30" s="62">
        <f>IFERROR(aurora_data!E1150,0)</f>
        <v>0</v>
      </c>
      <c r="G30" s="62">
        <f>IFERROR(aurora_data!F1150,0)</f>
        <v>0</v>
      </c>
      <c r="H30" s="62">
        <f>IFERROR(aurora_data!G1150,0)</f>
        <v>0</v>
      </c>
      <c r="I30" s="63">
        <f>IFERROR(aurora_data!H1150,0)</f>
        <v>0</v>
      </c>
      <c r="J30" s="36">
        <f>IFERROR(aurora_data!I1150,0)</f>
        <v>0</v>
      </c>
      <c r="K30" s="62">
        <f>IFERROR(aurora_data!J1150,0)</f>
        <v>0</v>
      </c>
      <c r="L30" s="62">
        <f>IFERROR(aurora_data!K1150,0)</f>
        <v>0</v>
      </c>
      <c r="M30" s="62">
        <f>IFERROR(aurora_data!L1150,0)</f>
        <v>0</v>
      </c>
      <c r="N30" s="63">
        <f>IFERROR(aurora_data!M1150,0)</f>
        <v>0</v>
      </c>
      <c r="O30" s="36">
        <f>IFERROR(aurora_data!N1150,0)</f>
        <v>0</v>
      </c>
      <c r="P30" s="62">
        <f>IFERROR(aurora_data!O1150,0)</f>
        <v>0</v>
      </c>
      <c r="Q30" s="62">
        <f>IFERROR(aurora_data!P1150,0)</f>
        <v>0</v>
      </c>
      <c r="R30" s="63">
        <f>IFERROR(aurora_data!Q1150,0)</f>
        <v>0</v>
      </c>
      <c r="S30" s="62">
        <f>IFERROR(aurora_data!R1150,0)</f>
        <v>0</v>
      </c>
      <c r="T30" s="62">
        <f>IFERROR(aurora_data!S1150,0)</f>
        <v>0</v>
      </c>
      <c r="U30" s="63">
        <f>IFERROR(aurora_data!T1150,0)</f>
        <v>0</v>
      </c>
      <c r="V30" s="64" t="s">
        <v>95</v>
      </c>
      <c r="W30" s="36">
        <f>IFERROR(aurora_data!U1150,0)</f>
        <v>0</v>
      </c>
      <c r="X30" s="71">
        <f t="shared" si="2"/>
        <v>0</v>
      </c>
      <c r="Y30" s="2"/>
    </row>
    <row r="31" spans="1:25" customFormat="1">
      <c r="A31" s="2"/>
      <c r="B31" s="211"/>
      <c r="C31" s="213"/>
      <c r="D31" s="35" t="s">
        <v>97</v>
      </c>
      <c r="E31" s="36">
        <f>IFERROR(aurora_data!D1151,0)</f>
        <v>0</v>
      </c>
      <c r="F31" s="62">
        <f>IFERROR(aurora_data!E1151,0)</f>
        <v>0</v>
      </c>
      <c r="G31" s="62">
        <f>IFERROR(aurora_data!F1151,0)</f>
        <v>0</v>
      </c>
      <c r="H31" s="62">
        <f>IFERROR(aurora_data!G1151,0)</f>
        <v>0</v>
      </c>
      <c r="I31" s="63">
        <f>IFERROR(aurora_data!H1151,0)</f>
        <v>0</v>
      </c>
      <c r="J31" s="36">
        <f>IFERROR(aurora_data!I1151,0)</f>
        <v>0</v>
      </c>
      <c r="K31" s="62">
        <f>IFERROR(aurora_data!J1151,0)</f>
        <v>0</v>
      </c>
      <c r="L31" s="62">
        <f>IFERROR(aurora_data!K1151,0)</f>
        <v>0</v>
      </c>
      <c r="M31" s="62">
        <f>IFERROR(aurora_data!L1151,0)</f>
        <v>0</v>
      </c>
      <c r="N31" s="63">
        <f>IFERROR(aurora_data!M1151,0)</f>
        <v>0</v>
      </c>
      <c r="O31" s="36">
        <f>IFERROR(aurora_data!N1151,0)</f>
        <v>0</v>
      </c>
      <c r="P31" s="62">
        <f>IFERROR(aurora_data!O1151,0)</f>
        <v>0</v>
      </c>
      <c r="Q31" s="62">
        <f>IFERROR(aurora_data!P1151,0)</f>
        <v>0</v>
      </c>
      <c r="R31" s="63">
        <f>IFERROR(aurora_data!Q1151,0)</f>
        <v>0</v>
      </c>
      <c r="S31" s="62">
        <f>IFERROR(aurora_data!R1151,0)</f>
        <v>0</v>
      </c>
      <c r="T31" s="62">
        <f>IFERROR(aurora_data!S1151,0)</f>
        <v>0</v>
      </c>
      <c r="U31" s="63">
        <f>IFERROR(aurora_data!T1151,0)</f>
        <v>0</v>
      </c>
      <c r="V31" s="64" t="s">
        <v>95</v>
      </c>
      <c r="W31" s="36">
        <f>IFERROR(aurora_data!U1151,0)</f>
        <v>0</v>
      </c>
      <c r="X31" s="71">
        <f t="shared" si="2"/>
        <v>0</v>
      </c>
      <c r="Y31" s="2"/>
    </row>
    <row r="32" spans="1:25" customFormat="1">
      <c r="A32" s="2"/>
      <c r="B32" s="211"/>
      <c r="C32" s="213"/>
      <c r="D32" s="35" t="s">
        <v>98</v>
      </c>
      <c r="E32" s="36">
        <f>IFERROR(aurora_data!D1152,0)</f>
        <v>0</v>
      </c>
      <c r="F32" s="62">
        <f>IFERROR(aurora_data!E1152,0)</f>
        <v>0</v>
      </c>
      <c r="G32" s="62">
        <f>IFERROR(aurora_data!F1152,0)</f>
        <v>0</v>
      </c>
      <c r="H32" s="62">
        <f>IFERROR(aurora_data!G1152,0)</f>
        <v>0</v>
      </c>
      <c r="I32" s="63">
        <f>IFERROR(aurora_data!H1152,0)</f>
        <v>0</v>
      </c>
      <c r="J32" s="36">
        <f>IFERROR(aurora_data!I1152,0)</f>
        <v>0</v>
      </c>
      <c r="K32" s="62">
        <f>IFERROR(aurora_data!J1152,0)</f>
        <v>0</v>
      </c>
      <c r="L32" s="62">
        <f>IFERROR(aurora_data!K1152,0)</f>
        <v>0</v>
      </c>
      <c r="M32" s="62">
        <f>IFERROR(aurora_data!L1152,0)</f>
        <v>0</v>
      </c>
      <c r="N32" s="63">
        <f>IFERROR(aurora_data!M1152,0)</f>
        <v>0</v>
      </c>
      <c r="O32" s="36">
        <f>IFERROR(aurora_data!N1152,0)</f>
        <v>0</v>
      </c>
      <c r="P32" s="62">
        <f>IFERROR(aurora_data!O1152,0)</f>
        <v>0</v>
      </c>
      <c r="Q32" s="62">
        <f>IFERROR(aurora_data!P1152,0)</f>
        <v>0</v>
      </c>
      <c r="R32" s="63">
        <f>IFERROR(aurora_data!Q1152,0)</f>
        <v>0</v>
      </c>
      <c r="S32" s="62">
        <f>IFERROR(aurora_data!R1152,0)</f>
        <v>0</v>
      </c>
      <c r="T32" s="62">
        <f>IFERROR(aurora_data!S1152,0)</f>
        <v>0</v>
      </c>
      <c r="U32" s="63">
        <f>IFERROR(aurora_data!T1152,0)</f>
        <v>0</v>
      </c>
      <c r="V32" s="64" t="s">
        <v>95</v>
      </c>
      <c r="W32" s="36">
        <f>IFERROR(aurora_data!U1152,0)</f>
        <v>0</v>
      </c>
      <c r="X32" s="71">
        <f t="shared" si="2"/>
        <v>0</v>
      </c>
      <c r="Y32" s="2"/>
    </row>
    <row r="33" spans="1:25" customFormat="1" ht="16.5" thickBot="1">
      <c r="A33" s="2"/>
      <c r="B33" s="211"/>
      <c r="C33" s="213"/>
      <c r="D33" s="35" t="s">
        <v>99</v>
      </c>
      <c r="E33" s="36">
        <f>IFERROR(aurora_data!D1153,0)</f>
        <v>0</v>
      </c>
      <c r="F33" s="62">
        <f>IFERROR(aurora_data!E1153,0)</f>
        <v>0</v>
      </c>
      <c r="G33" s="62">
        <f>IFERROR(aurora_data!F1153,0)</f>
        <v>0</v>
      </c>
      <c r="H33" s="62">
        <f>IFERROR(aurora_data!G1153,0)</f>
        <v>0</v>
      </c>
      <c r="I33" s="63">
        <f>IFERROR(aurora_data!H1153,0)</f>
        <v>0</v>
      </c>
      <c r="J33" s="36">
        <f>IFERROR(aurora_data!I1153,0)</f>
        <v>0</v>
      </c>
      <c r="K33" s="62">
        <f>IFERROR(aurora_data!J1153,0)</f>
        <v>0</v>
      </c>
      <c r="L33" s="62">
        <f>IFERROR(aurora_data!K1153,0)</f>
        <v>0</v>
      </c>
      <c r="M33" s="62">
        <f>IFERROR(aurora_data!L1153,0)</f>
        <v>0</v>
      </c>
      <c r="N33" s="63">
        <f>IFERROR(aurora_data!M1153,0)</f>
        <v>0</v>
      </c>
      <c r="O33" s="36">
        <f>IFERROR(aurora_data!N1153,0)</f>
        <v>0</v>
      </c>
      <c r="P33" s="62">
        <f>IFERROR(aurora_data!O1153,0)</f>
        <v>0</v>
      </c>
      <c r="Q33" s="62">
        <f>IFERROR(aurora_data!P1153,0)</f>
        <v>0</v>
      </c>
      <c r="R33" s="63">
        <f>IFERROR(aurora_data!Q1153,0)</f>
        <v>0</v>
      </c>
      <c r="S33" s="62">
        <f>IFERROR(aurora_data!R1153,0)</f>
        <v>0</v>
      </c>
      <c r="T33" s="62">
        <f>IFERROR(aurora_data!S1153,0)</f>
        <v>0</v>
      </c>
      <c r="U33" s="63">
        <f>IFERROR(aurora_data!T1153,0)</f>
        <v>0</v>
      </c>
      <c r="V33" s="64" t="s">
        <v>95</v>
      </c>
      <c r="W33" s="36">
        <f>IFERROR(aurora_data!U1153,0)</f>
        <v>0</v>
      </c>
      <c r="X33" s="71">
        <f t="shared" si="2"/>
        <v>0</v>
      </c>
      <c r="Y33" s="2"/>
    </row>
    <row r="34" spans="1:25" customFormat="1" ht="16.5" thickBot="1">
      <c r="A34" s="2"/>
      <c r="B34" s="211"/>
      <c r="C34" s="213"/>
      <c r="D34" s="37" t="s">
        <v>64</v>
      </c>
      <c r="E34" s="59">
        <f>IFERROR(aurora_data!D1154,0)</f>
        <v>0</v>
      </c>
      <c r="F34" s="65">
        <f>IFERROR(aurora_data!E1154,0)</f>
        <v>0</v>
      </c>
      <c r="G34" s="65">
        <f>IFERROR(aurora_data!F1154,0)</f>
        <v>0</v>
      </c>
      <c r="H34" s="65">
        <f>IFERROR(aurora_data!G1154,0)</f>
        <v>0</v>
      </c>
      <c r="I34" s="66">
        <f>IFERROR(aurora_data!H1154,0)</f>
        <v>0</v>
      </c>
      <c r="J34" s="59">
        <f>IFERROR(aurora_data!I1154,0)</f>
        <v>0</v>
      </c>
      <c r="K34" s="65">
        <f>IFERROR(aurora_data!J1154,0)</f>
        <v>0</v>
      </c>
      <c r="L34" s="65">
        <f>IFERROR(aurora_data!K1154,0)</f>
        <v>0</v>
      </c>
      <c r="M34" s="65">
        <f>IFERROR(aurora_data!L1154,0)</f>
        <v>0</v>
      </c>
      <c r="N34" s="66">
        <f>IFERROR(aurora_data!M1154,0)</f>
        <v>0</v>
      </c>
      <c r="O34" s="59">
        <f>IFERROR(aurora_data!N1154,0)</f>
        <v>0</v>
      </c>
      <c r="P34" s="65">
        <f>IFERROR(aurora_data!O1154,0)</f>
        <v>0</v>
      </c>
      <c r="Q34" s="65">
        <f>IFERROR(aurora_data!P1154,0)</f>
        <v>0</v>
      </c>
      <c r="R34" s="66">
        <f>IFERROR(aurora_data!Q1154,0)</f>
        <v>0</v>
      </c>
      <c r="S34" s="65">
        <f>IFERROR(aurora_data!R1154,0)</f>
        <v>0</v>
      </c>
      <c r="T34" s="65">
        <f>IFERROR(aurora_data!S1154,0)</f>
        <v>0</v>
      </c>
      <c r="U34" s="66">
        <f>IFERROR(aurora_data!T1154,0)</f>
        <v>0</v>
      </c>
      <c r="V34" s="67" t="s">
        <v>95</v>
      </c>
      <c r="W34" s="59">
        <f>IFERROR(aurora_data!U1154,0)</f>
        <v>0</v>
      </c>
      <c r="X34" s="72">
        <f t="shared" si="2"/>
        <v>0</v>
      </c>
      <c r="Y34" s="2"/>
    </row>
    <row r="35" spans="1:25" customFormat="1" ht="16.5" thickBot="1">
      <c r="A35" s="2"/>
      <c r="B35" s="211"/>
      <c r="C35" s="213"/>
      <c r="D35" s="38" t="s">
        <v>100</v>
      </c>
      <c r="E35" s="60">
        <f>IFERROR(aurora_data!D1155,0)</f>
        <v>0</v>
      </c>
      <c r="F35" s="68">
        <f>IFERROR(aurora_data!E1155,0)</f>
        <v>0</v>
      </c>
      <c r="G35" s="68">
        <f>IFERROR(aurora_data!F1155,0)</f>
        <v>0</v>
      </c>
      <c r="H35" s="68">
        <f>IFERROR(aurora_data!G1155,0)</f>
        <v>0</v>
      </c>
      <c r="I35" s="69">
        <f>IFERROR(aurora_data!H1155,0)</f>
        <v>0</v>
      </c>
      <c r="J35" s="60">
        <f>IFERROR(aurora_data!I1155,0)</f>
        <v>0</v>
      </c>
      <c r="K35" s="68">
        <f>IFERROR(aurora_data!J1155,0)</f>
        <v>0</v>
      </c>
      <c r="L35" s="68">
        <f>IFERROR(aurora_data!K1155,0)</f>
        <v>0</v>
      </c>
      <c r="M35" s="68">
        <f>IFERROR(aurora_data!L1155,0)</f>
        <v>0</v>
      </c>
      <c r="N35" s="69">
        <f>IFERROR(aurora_data!M1155,0)</f>
        <v>0</v>
      </c>
      <c r="O35" s="60">
        <f>IFERROR(aurora_data!N1155,0)</f>
        <v>0</v>
      </c>
      <c r="P35" s="68">
        <f>IFERROR(aurora_data!O1155,0)</f>
        <v>0</v>
      </c>
      <c r="Q35" s="68">
        <f>IFERROR(aurora_data!P1155,0)</f>
        <v>0</v>
      </c>
      <c r="R35" s="69">
        <f>IFERROR(aurora_data!Q1155,0)</f>
        <v>0</v>
      </c>
      <c r="S35" s="68">
        <f>IFERROR(aurora_data!R1155,0)</f>
        <v>0</v>
      </c>
      <c r="T35" s="68">
        <f>IFERROR(aurora_data!S1155,0)</f>
        <v>0</v>
      </c>
      <c r="U35" s="74">
        <f>IFERROR(aurora_data!T1155,0)</f>
        <v>0</v>
      </c>
      <c r="V35" s="75" t="s">
        <v>95</v>
      </c>
      <c r="W35" s="60">
        <f>IFERROR(aurora_data!U1155,0)</f>
        <v>0</v>
      </c>
      <c r="X35" s="73">
        <f t="shared" si="2"/>
        <v>0</v>
      </c>
      <c r="Y35" s="2"/>
    </row>
    <row r="36" spans="1:25" customFormat="1">
      <c r="A36" s="2"/>
      <c r="B36" s="210" t="s">
        <v>94</v>
      </c>
      <c r="C36" s="212" t="str">
        <f>aurora_data!A1156</f>
        <v>09.00.00-09.11.30</v>
      </c>
      <c r="D36" s="34" t="s">
        <v>71</v>
      </c>
      <c r="E36" s="39">
        <f>IFERROR(aurora_data!D1156,0)</f>
        <v>0</v>
      </c>
      <c r="F36" s="40">
        <f>IFERROR(aurora_data!E1156,0)</f>
        <v>0</v>
      </c>
      <c r="G36" s="40">
        <f>IFERROR(aurora_data!F1156,0)</f>
        <v>0</v>
      </c>
      <c r="H36" s="40">
        <f>IFERROR(aurora_data!G1156,0)</f>
        <v>0</v>
      </c>
      <c r="I36" s="41">
        <f>IFERROR(aurora_data!H1156,0)</f>
        <v>0</v>
      </c>
      <c r="J36" s="39">
        <f>IFERROR(aurora_data!I1156,0)</f>
        <v>0</v>
      </c>
      <c r="K36" s="40">
        <f>IFERROR(aurora_data!J1156,0)</f>
        <v>0</v>
      </c>
      <c r="L36" s="40">
        <f>IFERROR(aurora_data!K1156,0)</f>
        <v>0</v>
      </c>
      <c r="M36" s="40">
        <f>IFERROR(aurora_data!L1156,0)</f>
        <v>0</v>
      </c>
      <c r="N36" s="41">
        <f>IFERROR(aurora_data!M1156,0)</f>
        <v>0</v>
      </c>
      <c r="O36" s="39">
        <f>IFERROR(aurora_data!N1156,0)</f>
        <v>0</v>
      </c>
      <c r="P36" s="40">
        <f>IFERROR(aurora_data!O1156,0)</f>
        <v>0</v>
      </c>
      <c r="Q36" s="40">
        <f>IFERROR(aurora_data!P1156,0)</f>
        <v>0</v>
      </c>
      <c r="R36" s="41">
        <f>IFERROR(aurora_data!Q1156,0)</f>
        <v>0</v>
      </c>
      <c r="S36" s="40">
        <f>IFERROR(aurora_data!R1156,0)</f>
        <v>0</v>
      </c>
      <c r="T36" s="40">
        <f>IFERROR(aurora_data!S1156,0)</f>
        <v>0</v>
      </c>
      <c r="U36" s="76">
        <f>IFERROR(aurora_data!T1156,0)</f>
        <v>0</v>
      </c>
      <c r="V36" s="61" t="s">
        <v>95</v>
      </c>
      <c r="W36" s="39">
        <f>IFERROR(aurora_data!U1156,0)</f>
        <v>5</v>
      </c>
      <c r="X36" s="70">
        <f>IFERROR(W36/$W$12,0)</f>
        <v>1</v>
      </c>
      <c r="Y36" s="2"/>
    </row>
    <row r="37" spans="1:25" customFormat="1">
      <c r="A37" s="2"/>
      <c r="B37" s="211"/>
      <c r="C37" s="213"/>
      <c r="D37" s="35" t="s">
        <v>96</v>
      </c>
      <c r="E37" s="110">
        <f>IFERROR(aurora_data!D1157,0)</f>
        <v>0</v>
      </c>
      <c r="F37" s="62">
        <f>IFERROR(aurora_data!E1157,0)</f>
        <v>0</v>
      </c>
      <c r="G37" s="62">
        <f>IFERROR(aurora_data!F1157,0)</f>
        <v>0</v>
      </c>
      <c r="H37" s="62">
        <f>IFERROR(aurora_data!G1157,0)</f>
        <v>0</v>
      </c>
      <c r="I37" s="63">
        <f>IFERROR(aurora_data!H1157,0)</f>
        <v>0</v>
      </c>
      <c r="J37" s="36">
        <f>IFERROR(aurora_data!I1157,0)</f>
        <v>0</v>
      </c>
      <c r="K37" s="62">
        <f>IFERROR(aurora_data!J1157,0)</f>
        <v>0</v>
      </c>
      <c r="L37" s="62">
        <f>IFERROR(aurora_data!K1157,0)</f>
        <v>0</v>
      </c>
      <c r="M37" s="62">
        <f>IFERROR(aurora_data!L1157,0)</f>
        <v>0</v>
      </c>
      <c r="N37" s="63">
        <f>IFERROR(aurora_data!M1157,0)</f>
        <v>0</v>
      </c>
      <c r="O37" s="36">
        <f>IFERROR(aurora_data!N1157,0)</f>
        <v>0</v>
      </c>
      <c r="P37" s="62">
        <f>IFERROR(aurora_data!O1157,0)</f>
        <v>0</v>
      </c>
      <c r="Q37" s="62">
        <f>IFERROR(aurora_data!P1157,0)</f>
        <v>0</v>
      </c>
      <c r="R37" s="63">
        <f>IFERROR(aurora_data!Q1157,0)</f>
        <v>0</v>
      </c>
      <c r="S37" s="62">
        <f>IFERROR(aurora_data!R1157,0)</f>
        <v>0</v>
      </c>
      <c r="T37" s="62">
        <f>IFERROR(aurora_data!S1157,0)</f>
        <v>0</v>
      </c>
      <c r="U37" s="63">
        <f>IFERROR(aurora_data!T1157,0)</f>
        <v>0</v>
      </c>
      <c r="V37" s="64" t="s">
        <v>95</v>
      </c>
      <c r="W37" s="36">
        <f>IFERROR(aurora_data!U1157,0)</f>
        <v>0</v>
      </c>
      <c r="X37" s="71">
        <f t="shared" ref="X37:X43" si="3">IFERROR(W37/$W$12,0)</f>
        <v>0</v>
      </c>
      <c r="Y37" s="2"/>
    </row>
    <row r="38" spans="1:25" customFormat="1">
      <c r="A38" s="2"/>
      <c r="B38" s="211"/>
      <c r="C38" s="213"/>
      <c r="D38" s="35" t="s">
        <v>60</v>
      </c>
      <c r="E38" s="110">
        <f>IFERROR(aurora_data!D1158,0)</f>
        <v>0</v>
      </c>
      <c r="F38" s="62">
        <f>IFERROR(aurora_data!E1158,0)</f>
        <v>0</v>
      </c>
      <c r="G38" s="62">
        <f>IFERROR(aurora_data!F1158,0)</f>
        <v>0</v>
      </c>
      <c r="H38" s="62">
        <f>IFERROR(aurora_data!G1158,0)</f>
        <v>0</v>
      </c>
      <c r="I38" s="63">
        <f>IFERROR(aurora_data!H1158,0)</f>
        <v>0</v>
      </c>
      <c r="J38" s="36">
        <f>IFERROR(aurora_data!I1158,0)</f>
        <v>0</v>
      </c>
      <c r="K38" s="62">
        <f>IFERROR(aurora_data!J1158,0)</f>
        <v>0</v>
      </c>
      <c r="L38" s="62">
        <f>IFERROR(aurora_data!K1158,0)</f>
        <v>0</v>
      </c>
      <c r="M38" s="62">
        <f>IFERROR(aurora_data!L1158,0)</f>
        <v>0</v>
      </c>
      <c r="N38" s="63">
        <f>IFERROR(aurora_data!M1158,0)</f>
        <v>0</v>
      </c>
      <c r="O38" s="36">
        <f>IFERROR(aurora_data!N1158,0)</f>
        <v>0</v>
      </c>
      <c r="P38" s="62">
        <f>IFERROR(aurora_data!O1158,0)</f>
        <v>0</v>
      </c>
      <c r="Q38" s="62">
        <f>IFERROR(aurora_data!P1158,0)</f>
        <v>0</v>
      </c>
      <c r="R38" s="63">
        <f>IFERROR(aurora_data!Q1158,0)</f>
        <v>0</v>
      </c>
      <c r="S38" s="62">
        <f>IFERROR(aurora_data!R1158,0)</f>
        <v>0</v>
      </c>
      <c r="T38" s="62">
        <f>IFERROR(aurora_data!S1158,0)</f>
        <v>0</v>
      </c>
      <c r="U38" s="63">
        <f>IFERROR(aurora_data!T1158,0)</f>
        <v>0</v>
      </c>
      <c r="V38" s="64" t="s">
        <v>95</v>
      </c>
      <c r="W38" s="36">
        <f>IFERROR(aurora_data!U1158,0)</f>
        <v>0</v>
      </c>
      <c r="X38" s="71">
        <f t="shared" si="3"/>
        <v>0</v>
      </c>
      <c r="Y38" s="2"/>
    </row>
    <row r="39" spans="1:25" customFormat="1">
      <c r="A39" s="2"/>
      <c r="B39" s="211"/>
      <c r="C39" s="213"/>
      <c r="D39" s="35" t="s">
        <v>97</v>
      </c>
      <c r="E39" s="36">
        <f>IFERROR(aurora_data!D1159,0)</f>
        <v>0</v>
      </c>
      <c r="F39" s="62">
        <f>IFERROR(aurora_data!E1159,0)</f>
        <v>0</v>
      </c>
      <c r="G39" s="62">
        <f>IFERROR(aurora_data!F1159,0)</f>
        <v>0</v>
      </c>
      <c r="H39" s="62">
        <f>IFERROR(aurora_data!G1159,0)</f>
        <v>0</v>
      </c>
      <c r="I39" s="63">
        <f>IFERROR(aurora_data!H1159,0)</f>
        <v>0</v>
      </c>
      <c r="J39" s="36">
        <f>IFERROR(aurora_data!I1159,0)</f>
        <v>0</v>
      </c>
      <c r="K39" s="62">
        <f>IFERROR(aurora_data!J1159,0)</f>
        <v>0</v>
      </c>
      <c r="L39" s="62">
        <f>IFERROR(aurora_data!K1159,0)</f>
        <v>0</v>
      </c>
      <c r="M39" s="62">
        <f>IFERROR(aurora_data!L1159,0)</f>
        <v>0</v>
      </c>
      <c r="N39" s="63">
        <f>IFERROR(aurora_data!M1159,0)</f>
        <v>0</v>
      </c>
      <c r="O39" s="36">
        <f>IFERROR(aurora_data!N1159,0)</f>
        <v>0</v>
      </c>
      <c r="P39" s="62">
        <f>IFERROR(aurora_data!O1159,0)</f>
        <v>0</v>
      </c>
      <c r="Q39" s="62">
        <f>IFERROR(aurora_data!P1159,0)</f>
        <v>0</v>
      </c>
      <c r="R39" s="63">
        <f>IFERROR(aurora_data!Q1159,0)</f>
        <v>0</v>
      </c>
      <c r="S39" s="62">
        <f>IFERROR(aurora_data!R1159,0)</f>
        <v>0</v>
      </c>
      <c r="T39" s="62">
        <f>IFERROR(aurora_data!S1159,0)</f>
        <v>0</v>
      </c>
      <c r="U39" s="63">
        <f>IFERROR(aurora_data!T1159,0)</f>
        <v>0</v>
      </c>
      <c r="V39" s="64" t="s">
        <v>95</v>
      </c>
      <c r="W39" s="36">
        <f>IFERROR(aurora_data!U1159,0)</f>
        <v>0</v>
      </c>
      <c r="X39" s="71">
        <f t="shared" si="3"/>
        <v>0</v>
      </c>
      <c r="Y39" s="2"/>
    </row>
    <row r="40" spans="1:25" customFormat="1">
      <c r="A40" s="2"/>
      <c r="B40" s="211"/>
      <c r="C40" s="213"/>
      <c r="D40" s="35" t="s">
        <v>98</v>
      </c>
      <c r="E40" s="36">
        <f>IFERROR(aurora_data!D1160,0)</f>
        <v>0</v>
      </c>
      <c r="F40" s="62">
        <f>IFERROR(aurora_data!E1160,0)</f>
        <v>0</v>
      </c>
      <c r="G40" s="62">
        <f>IFERROR(aurora_data!F1160,0)</f>
        <v>0</v>
      </c>
      <c r="H40" s="62">
        <f>IFERROR(aurora_data!G1160,0)</f>
        <v>0</v>
      </c>
      <c r="I40" s="63">
        <f>IFERROR(aurora_data!H1160,0)</f>
        <v>0</v>
      </c>
      <c r="J40" s="36">
        <f>IFERROR(aurora_data!I1160,0)</f>
        <v>0</v>
      </c>
      <c r="K40" s="62">
        <f>IFERROR(aurora_data!J1160,0)</f>
        <v>0</v>
      </c>
      <c r="L40" s="62">
        <f>IFERROR(aurora_data!K1160,0)</f>
        <v>0</v>
      </c>
      <c r="M40" s="62">
        <f>IFERROR(aurora_data!L1160,0)</f>
        <v>0</v>
      </c>
      <c r="N40" s="63">
        <f>IFERROR(aurora_data!M1160,0)</f>
        <v>0</v>
      </c>
      <c r="O40" s="36">
        <f>IFERROR(aurora_data!N1160,0)</f>
        <v>0</v>
      </c>
      <c r="P40" s="62">
        <f>IFERROR(aurora_data!O1160,0)</f>
        <v>0</v>
      </c>
      <c r="Q40" s="62">
        <f>IFERROR(aurora_data!P1160,0)</f>
        <v>0</v>
      </c>
      <c r="R40" s="63">
        <f>IFERROR(aurora_data!Q1160,0)</f>
        <v>0</v>
      </c>
      <c r="S40" s="62">
        <f>IFERROR(aurora_data!R1160,0)</f>
        <v>0</v>
      </c>
      <c r="T40" s="62">
        <f>IFERROR(aurora_data!S1160,0)</f>
        <v>0</v>
      </c>
      <c r="U40" s="63">
        <f>IFERROR(aurora_data!T1160,0)</f>
        <v>0</v>
      </c>
      <c r="V40" s="64" t="s">
        <v>95</v>
      </c>
      <c r="W40" s="36">
        <f>IFERROR(aurora_data!U1160,0)</f>
        <v>0</v>
      </c>
      <c r="X40" s="71">
        <f t="shared" si="3"/>
        <v>0</v>
      </c>
      <c r="Y40" s="2"/>
    </row>
    <row r="41" spans="1:25" customFormat="1" ht="16.5" thickBot="1">
      <c r="A41" s="2"/>
      <c r="B41" s="211"/>
      <c r="C41" s="213"/>
      <c r="D41" s="35" t="s">
        <v>99</v>
      </c>
      <c r="E41" s="36">
        <f>IFERROR(aurora_data!D1161,0)</f>
        <v>0</v>
      </c>
      <c r="F41" s="62">
        <f>IFERROR(aurora_data!E1161,0)</f>
        <v>0</v>
      </c>
      <c r="G41" s="62">
        <f>IFERROR(aurora_data!F1161,0)</f>
        <v>0</v>
      </c>
      <c r="H41" s="62">
        <f>IFERROR(aurora_data!G1161,0)</f>
        <v>0</v>
      </c>
      <c r="I41" s="63">
        <f>IFERROR(aurora_data!H1161,0)</f>
        <v>0</v>
      </c>
      <c r="J41" s="36">
        <f>IFERROR(aurora_data!I1161,0)</f>
        <v>0</v>
      </c>
      <c r="K41" s="62">
        <f>IFERROR(aurora_data!J1161,0)</f>
        <v>0</v>
      </c>
      <c r="L41" s="62">
        <f>IFERROR(aurora_data!K1161,0)</f>
        <v>0</v>
      </c>
      <c r="M41" s="62">
        <f>IFERROR(aurora_data!L1161,0)</f>
        <v>0</v>
      </c>
      <c r="N41" s="63">
        <f>IFERROR(aurora_data!M1161,0)</f>
        <v>0</v>
      </c>
      <c r="O41" s="36">
        <f>IFERROR(aurora_data!N1161,0)</f>
        <v>0</v>
      </c>
      <c r="P41" s="62">
        <f>IFERROR(aurora_data!O1161,0)</f>
        <v>0</v>
      </c>
      <c r="Q41" s="62">
        <f>IFERROR(aurora_data!P1161,0)</f>
        <v>0</v>
      </c>
      <c r="R41" s="63">
        <f>IFERROR(aurora_data!Q1161,0)</f>
        <v>0</v>
      </c>
      <c r="S41" s="62">
        <f>IFERROR(aurora_data!R1161,0)</f>
        <v>0</v>
      </c>
      <c r="T41" s="62">
        <f>IFERROR(aurora_data!S1161,0)</f>
        <v>0</v>
      </c>
      <c r="U41" s="63">
        <f>IFERROR(aurora_data!T1161,0)</f>
        <v>0</v>
      </c>
      <c r="V41" s="64" t="s">
        <v>95</v>
      </c>
      <c r="W41" s="36">
        <f>IFERROR(aurora_data!U1161,0)</f>
        <v>0</v>
      </c>
      <c r="X41" s="71">
        <f t="shared" si="3"/>
        <v>0</v>
      </c>
      <c r="Y41" s="2"/>
    </row>
    <row r="42" spans="1:25" customFormat="1" ht="16.5" thickBot="1">
      <c r="A42" s="2"/>
      <c r="B42" s="211"/>
      <c r="C42" s="213"/>
      <c r="D42" s="37" t="s">
        <v>64</v>
      </c>
      <c r="E42" s="59">
        <f>IFERROR(aurora_data!D1162,0)</f>
        <v>0</v>
      </c>
      <c r="F42" s="65">
        <f>IFERROR(aurora_data!E1162,0)</f>
        <v>0</v>
      </c>
      <c r="G42" s="65">
        <f>IFERROR(aurora_data!F1162,0)</f>
        <v>0</v>
      </c>
      <c r="H42" s="65">
        <f>IFERROR(aurora_data!G1162,0)</f>
        <v>0</v>
      </c>
      <c r="I42" s="66">
        <f>IFERROR(aurora_data!H1162,0)</f>
        <v>0</v>
      </c>
      <c r="J42" s="59">
        <f>IFERROR(aurora_data!I1162,0)</f>
        <v>0</v>
      </c>
      <c r="K42" s="65">
        <f>IFERROR(aurora_data!J1162,0)</f>
        <v>0</v>
      </c>
      <c r="L42" s="65">
        <f>IFERROR(aurora_data!K1162,0)</f>
        <v>0</v>
      </c>
      <c r="M42" s="65">
        <f>IFERROR(aurora_data!L1162,0)</f>
        <v>0</v>
      </c>
      <c r="N42" s="66">
        <f>IFERROR(aurora_data!M1162,0)</f>
        <v>0</v>
      </c>
      <c r="O42" s="59">
        <f>IFERROR(aurora_data!N1162,0)</f>
        <v>0</v>
      </c>
      <c r="P42" s="65">
        <f>IFERROR(aurora_data!O1162,0)</f>
        <v>0</v>
      </c>
      <c r="Q42" s="65">
        <f>IFERROR(aurora_data!P1162,0)</f>
        <v>0</v>
      </c>
      <c r="R42" s="66">
        <f>IFERROR(aurora_data!Q1162,0)</f>
        <v>0</v>
      </c>
      <c r="S42" s="65">
        <f>IFERROR(aurora_data!R1162,0)</f>
        <v>0</v>
      </c>
      <c r="T42" s="65">
        <f>IFERROR(aurora_data!S1162,0)</f>
        <v>0</v>
      </c>
      <c r="U42" s="66">
        <f>IFERROR(aurora_data!T1162,0)</f>
        <v>0</v>
      </c>
      <c r="V42" s="67" t="s">
        <v>95</v>
      </c>
      <c r="W42" s="59">
        <f>IFERROR(aurora_data!U1162,0)</f>
        <v>0</v>
      </c>
      <c r="X42" s="72">
        <f t="shared" si="3"/>
        <v>0</v>
      </c>
      <c r="Y42" s="2"/>
    </row>
    <row r="43" spans="1:25" customFormat="1" ht="16.5" thickBot="1">
      <c r="A43" s="2"/>
      <c r="B43" s="211"/>
      <c r="C43" s="213"/>
      <c r="D43" s="38" t="s">
        <v>100</v>
      </c>
      <c r="E43" s="60">
        <f>IFERROR(aurora_data!D1163,0)</f>
        <v>0</v>
      </c>
      <c r="F43" s="68">
        <f>IFERROR(aurora_data!E1163,0)</f>
        <v>0</v>
      </c>
      <c r="G43" s="68">
        <f>IFERROR(aurora_data!F1163,0)</f>
        <v>0</v>
      </c>
      <c r="H43" s="68">
        <f>IFERROR(aurora_data!G1163,0)</f>
        <v>0</v>
      </c>
      <c r="I43" s="69">
        <f>IFERROR(aurora_data!H1163,0)</f>
        <v>0</v>
      </c>
      <c r="J43" s="60">
        <f>IFERROR(aurora_data!I1163,0)</f>
        <v>0</v>
      </c>
      <c r="K43" s="68">
        <f>IFERROR(aurora_data!J1163,0)</f>
        <v>0</v>
      </c>
      <c r="L43" s="68">
        <f>IFERROR(aurora_data!K1163,0)</f>
        <v>0</v>
      </c>
      <c r="M43" s="68">
        <f>IFERROR(aurora_data!L1163,0)</f>
        <v>0</v>
      </c>
      <c r="N43" s="69">
        <f>IFERROR(aurora_data!M1163,0)</f>
        <v>0</v>
      </c>
      <c r="O43" s="60">
        <f>IFERROR(aurora_data!N1163,0)</f>
        <v>0</v>
      </c>
      <c r="P43" s="68">
        <f>IFERROR(aurora_data!O1163,0)</f>
        <v>0</v>
      </c>
      <c r="Q43" s="68">
        <f>IFERROR(aurora_data!P1163,0)</f>
        <v>0</v>
      </c>
      <c r="R43" s="69">
        <f>IFERROR(aurora_data!Q1163,0)</f>
        <v>0</v>
      </c>
      <c r="S43" s="68">
        <f>IFERROR(aurora_data!R1163,0)</f>
        <v>0</v>
      </c>
      <c r="T43" s="68">
        <f>IFERROR(aurora_data!S1163,0)</f>
        <v>0</v>
      </c>
      <c r="U43" s="74">
        <f>IFERROR(aurora_data!T1163,0)</f>
        <v>0</v>
      </c>
      <c r="V43" s="75" t="s">
        <v>95</v>
      </c>
      <c r="W43" s="60">
        <f>IFERROR(aurora_data!U1163,0)</f>
        <v>0</v>
      </c>
      <c r="X43" s="73">
        <f t="shared" si="3"/>
        <v>0</v>
      </c>
      <c r="Y43" s="2"/>
    </row>
    <row r="44" spans="1:25" customFormat="1">
      <c r="A44" s="2"/>
      <c r="B44" s="210" t="s">
        <v>94</v>
      </c>
      <c r="C44" s="212" t="str">
        <f>aurora_data!A1164</f>
        <v>10.00.00-10.11.30</v>
      </c>
      <c r="D44" s="34" t="s">
        <v>71</v>
      </c>
      <c r="E44" s="39">
        <f>IFERROR(aurora_data!D1164,0)</f>
        <v>0</v>
      </c>
      <c r="F44" s="40">
        <f>IFERROR(aurora_data!E1164,0)</f>
        <v>0</v>
      </c>
      <c r="G44" s="40">
        <f>IFERROR(aurora_data!F1164,0)</f>
        <v>0</v>
      </c>
      <c r="H44" s="40">
        <f>IFERROR(aurora_data!G1164,0)</f>
        <v>0</v>
      </c>
      <c r="I44" s="41">
        <f>IFERROR(aurora_data!H1164,0)</f>
        <v>0</v>
      </c>
      <c r="J44" s="39">
        <f>IFERROR(aurora_data!I1164,0)</f>
        <v>0</v>
      </c>
      <c r="K44" s="40">
        <f>IFERROR(aurora_data!J1164,0)</f>
        <v>0</v>
      </c>
      <c r="L44" s="40">
        <f>IFERROR(aurora_data!K1164,0)</f>
        <v>0</v>
      </c>
      <c r="M44" s="40">
        <f>IFERROR(aurora_data!L1164,0)</f>
        <v>0</v>
      </c>
      <c r="N44" s="41">
        <f>IFERROR(aurora_data!M1164,0)</f>
        <v>0</v>
      </c>
      <c r="O44" s="39">
        <f>IFERROR(aurora_data!N1164,0)</f>
        <v>0</v>
      </c>
      <c r="P44" s="40">
        <f>IFERROR(aurora_data!O1164,0)</f>
        <v>0</v>
      </c>
      <c r="Q44" s="40">
        <f>IFERROR(aurora_data!P1164,0)</f>
        <v>0</v>
      </c>
      <c r="R44" s="41">
        <f>IFERROR(aurora_data!Q1164,0)</f>
        <v>0</v>
      </c>
      <c r="S44" s="40">
        <f>IFERROR(aurora_data!R1164,0)</f>
        <v>0</v>
      </c>
      <c r="T44" s="40">
        <f>IFERROR(aurora_data!S1164,0)</f>
        <v>0</v>
      </c>
      <c r="U44" s="76">
        <f>IFERROR(aurora_data!T1164,0)</f>
        <v>0</v>
      </c>
      <c r="V44" s="61" t="s">
        <v>95</v>
      </c>
      <c r="W44" s="39">
        <f>IFERROR(aurora_data!U1164,0)</f>
        <v>4</v>
      </c>
      <c r="X44" s="70">
        <f>IFERROR(W44/$W$12,0)</f>
        <v>0.8</v>
      </c>
      <c r="Y44" s="2"/>
    </row>
    <row r="45" spans="1:25" customFormat="1">
      <c r="A45" s="2"/>
      <c r="B45" s="211"/>
      <c r="C45" s="213"/>
      <c r="D45" s="35" t="s">
        <v>96</v>
      </c>
      <c r="E45" s="110">
        <f>IFERROR(aurora_data!D1165,0)</f>
        <v>0</v>
      </c>
      <c r="F45" s="62">
        <f>IFERROR(aurora_data!E1165,0)</f>
        <v>0</v>
      </c>
      <c r="G45" s="62">
        <f>IFERROR(aurora_data!F1165,0)</f>
        <v>0</v>
      </c>
      <c r="H45" s="62">
        <f>IFERROR(aurora_data!G1165,0)</f>
        <v>0</v>
      </c>
      <c r="I45" s="63">
        <f>IFERROR(aurora_data!H1165,0)</f>
        <v>0</v>
      </c>
      <c r="J45" s="36">
        <f>IFERROR(aurora_data!I1165,0)</f>
        <v>0</v>
      </c>
      <c r="K45" s="62">
        <f>IFERROR(aurora_data!J1165,0)</f>
        <v>0</v>
      </c>
      <c r="L45" s="62">
        <f>IFERROR(aurora_data!K1165,0)</f>
        <v>0</v>
      </c>
      <c r="M45" s="62">
        <f>IFERROR(aurora_data!L1165,0)</f>
        <v>0</v>
      </c>
      <c r="N45" s="63">
        <f>IFERROR(aurora_data!M1165,0)</f>
        <v>0</v>
      </c>
      <c r="O45" s="36">
        <f>IFERROR(aurora_data!N1165,0)</f>
        <v>0</v>
      </c>
      <c r="P45" s="62">
        <f>IFERROR(aurora_data!O1165,0)</f>
        <v>0</v>
      </c>
      <c r="Q45" s="62">
        <f>IFERROR(aurora_data!P1165,0)</f>
        <v>0</v>
      </c>
      <c r="R45" s="63">
        <f>IFERROR(aurora_data!Q1165,0)</f>
        <v>0</v>
      </c>
      <c r="S45" s="62">
        <f>IFERROR(aurora_data!R1165,0)</f>
        <v>0</v>
      </c>
      <c r="T45" s="62">
        <f>IFERROR(aurora_data!S1165,0)</f>
        <v>0</v>
      </c>
      <c r="U45" s="63">
        <f>IFERROR(aurora_data!T1165,0)</f>
        <v>0</v>
      </c>
      <c r="V45" s="64" t="s">
        <v>95</v>
      </c>
      <c r="W45" s="36">
        <f>IFERROR(aurora_data!U1165,0)</f>
        <v>0</v>
      </c>
      <c r="X45" s="71">
        <f t="shared" ref="X45:X51" si="4">IFERROR(W45/$W$12,0)</f>
        <v>0</v>
      </c>
      <c r="Y45" s="2"/>
    </row>
    <row r="46" spans="1:25" customFormat="1">
      <c r="A46" s="2"/>
      <c r="B46" s="211"/>
      <c r="C46" s="213"/>
      <c r="D46" s="35" t="s">
        <v>60</v>
      </c>
      <c r="E46" s="110">
        <f>IFERROR(aurora_data!D1166,0)</f>
        <v>0</v>
      </c>
      <c r="F46" s="62">
        <f>IFERROR(aurora_data!E1166,0)</f>
        <v>0</v>
      </c>
      <c r="G46" s="62">
        <f>IFERROR(aurora_data!F1166,0)</f>
        <v>0</v>
      </c>
      <c r="H46" s="62">
        <f>IFERROR(aurora_data!G1166,0)</f>
        <v>0</v>
      </c>
      <c r="I46" s="63">
        <f>IFERROR(aurora_data!H1166,0)</f>
        <v>0</v>
      </c>
      <c r="J46" s="36">
        <f>IFERROR(aurora_data!I1166,0)</f>
        <v>0</v>
      </c>
      <c r="K46" s="62">
        <f>IFERROR(aurora_data!J1166,0)</f>
        <v>0</v>
      </c>
      <c r="L46" s="62">
        <f>IFERROR(aurora_data!K1166,0)</f>
        <v>0</v>
      </c>
      <c r="M46" s="62">
        <f>IFERROR(aurora_data!L1166,0)</f>
        <v>0</v>
      </c>
      <c r="N46" s="63">
        <f>IFERROR(aurora_data!M1166,0)</f>
        <v>0</v>
      </c>
      <c r="O46" s="36">
        <f>IFERROR(aurora_data!N1166,0)</f>
        <v>0</v>
      </c>
      <c r="P46" s="62">
        <f>IFERROR(aurora_data!O1166,0)</f>
        <v>0</v>
      </c>
      <c r="Q46" s="62">
        <f>IFERROR(aurora_data!P1166,0)</f>
        <v>0</v>
      </c>
      <c r="R46" s="63">
        <f>IFERROR(aurora_data!Q1166,0)</f>
        <v>0</v>
      </c>
      <c r="S46" s="62">
        <f>IFERROR(aurora_data!R1166,0)</f>
        <v>0</v>
      </c>
      <c r="T46" s="62">
        <f>IFERROR(aurora_data!S1166,0)</f>
        <v>0</v>
      </c>
      <c r="U46" s="63">
        <f>IFERROR(aurora_data!T1166,0)</f>
        <v>0</v>
      </c>
      <c r="V46" s="64" t="s">
        <v>95</v>
      </c>
      <c r="W46" s="36">
        <f>IFERROR(aurora_data!U1166,0)</f>
        <v>0</v>
      </c>
      <c r="X46" s="71">
        <f t="shared" si="4"/>
        <v>0</v>
      </c>
      <c r="Y46" s="2"/>
    </row>
    <row r="47" spans="1:25" customFormat="1">
      <c r="A47" s="2"/>
      <c r="B47" s="211"/>
      <c r="C47" s="213"/>
      <c r="D47" s="35" t="s">
        <v>97</v>
      </c>
      <c r="E47" s="36">
        <f>IFERROR(aurora_data!D1167,0)</f>
        <v>0</v>
      </c>
      <c r="F47" s="62">
        <f>IFERROR(aurora_data!E1167,0)</f>
        <v>0</v>
      </c>
      <c r="G47" s="62">
        <f>IFERROR(aurora_data!F1167,0)</f>
        <v>0</v>
      </c>
      <c r="H47" s="62">
        <f>IFERROR(aurora_data!G1167,0)</f>
        <v>0</v>
      </c>
      <c r="I47" s="63">
        <f>IFERROR(aurora_data!H1167,0)</f>
        <v>0</v>
      </c>
      <c r="J47" s="36">
        <f>IFERROR(aurora_data!I1167,0)</f>
        <v>0</v>
      </c>
      <c r="K47" s="62">
        <f>IFERROR(aurora_data!J1167,0)</f>
        <v>0</v>
      </c>
      <c r="L47" s="62">
        <f>IFERROR(aurora_data!K1167,0)</f>
        <v>0</v>
      </c>
      <c r="M47" s="62">
        <f>IFERROR(aurora_data!L1167,0)</f>
        <v>0</v>
      </c>
      <c r="N47" s="63">
        <f>IFERROR(aurora_data!M1167,0)</f>
        <v>0</v>
      </c>
      <c r="O47" s="36">
        <f>IFERROR(aurora_data!N1167,0)</f>
        <v>0</v>
      </c>
      <c r="P47" s="62">
        <f>IFERROR(aurora_data!O1167,0)</f>
        <v>0</v>
      </c>
      <c r="Q47" s="62">
        <f>IFERROR(aurora_data!P1167,0)</f>
        <v>0</v>
      </c>
      <c r="R47" s="63">
        <f>IFERROR(aurora_data!Q1167,0)</f>
        <v>0</v>
      </c>
      <c r="S47" s="62">
        <f>IFERROR(aurora_data!R1167,0)</f>
        <v>0</v>
      </c>
      <c r="T47" s="62">
        <f>IFERROR(aurora_data!S1167,0)</f>
        <v>0</v>
      </c>
      <c r="U47" s="63">
        <f>IFERROR(aurora_data!T1167,0)</f>
        <v>0</v>
      </c>
      <c r="V47" s="64" t="s">
        <v>95</v>
      </c>
      <c r="W47" s="36">
        <f>IFERROR(aurora_data!U1167,0)</f>
        <v>0</v>
      </c>
      <c r="X47" s="71">
        <f t="shared" si="4"/>
        <v>0</v>
      </c>
      <c r="Y47" s="2"/>
    </row>
    <row r="48" spans="1:25" customFormat="1">
      <c r="A48" s="2"/>
      <c r="B48" s="211"/>
      <c r="C48" s="213"/>
      <c r="D48" s="35" t="s">
        <v>98</v>
      </c>
      <c r="E48" s="36">
        <f>IFERROR(aurora_data!D1168,0)</f>
        <v>0</v>
      </c>
      <c r="F48" s="62">
        <f>IFERROR(aurora_data!E1168,0)</f>
        <v>0</v>
      </c>
      <c r="G48" s="62">
        <f>IFERROR(aurora_data!F1168,0)</f>
        <v>0</v>
      </c>
      <c r="H48" s="62">
        <f>IFERROR(aurora_data!G1168,0)</f>
        <v>0</v>
      </c>
      <c r="I48" s="63">
        <f>IFERROR(aurora_data!H1168,0)</f>
        <v>0</v>
      </c>
      <c r="J48" s="36">
        <f>IFERROR(aurora_data!I1168,0)</f>
        <v>0</v>
      </c>
      <c r="K48" s="62">
        <f>IFERROR(aurora_data!J1168,0)</f>
        <v>0</v>
      </c>
      <c r="L48" s="62">
        <f>IFERROR(aurora_data!K1168,0)</f>
        <v>0</v>
      </c>
      <c r="M48" s="62">
        <f>IFERROR(aurora_data!L1168,0)</f>
        <v>0</v>
      </c>
      <c r="N48" s="63">
        <f>IFERROR(aurora_data!M1168,0)</f>
        <v>0</v>
      </c>
      <c r="O48" s="36">
        <f>IFERROR(aurora_data!N1168,0)</f>
        <v>0</v>
      </c>
      <c r="P48" s="62">
        <f>IFERROR(aurora_data!O1168,0)</f>
        <v>0</v>
      </c>
      <c r="Q48" s="62">
        <f>IFERROR(aurora_data!P1168,0)</f>
        <v>0</v>
      </c>
      <c r="R48" s="63">
        <f>IFERROR(aurora_data!Q1168,0)</f>
        <v>0</v>
      </c>
      <c r="S48" s="62">
        <f>IFERROR(aurora_data!R1168,0)</f>
        <v>0</v>
      </c>
      <c r="T48" s="62">
        <f>IFERROR(aurora_data!S1168,0)</f>
        <v>0</v>
      </c>
      <c r="U48" s="63">
        <f>IFERROR(aurora_data!T1168,0)</f>
        <v>0</v>
      </c>
      <c r="V48" s="64" t="s">
        <v>95</v>
      </c>
      <c r="W48" s="36">
        <f>IFERROR(aurora_data!U1168,0)</f>
        <v>0</v>
      </c>
      <c r="X48" s="71">
        <f t="shared" si="4"/>
        <v>0</v>
      </c>
      <c r="Y48" s="2"/>
    </row>
    <row r="49" spans="1:25" customFormat="1" ht="16.5" thickBot="1">
      <c r="A49" s="2"/>
      <c r="B49" s="211"/>
      <c r="C49" s="213"/>
      <c r="D49" s="35" t="s">
        <v>99</v>
      </c>
      <c r="E49" s="36">
        <f>IFERROR(aurora_data!D1169,0)</f>
        <v>0</v>
      </c>
      <c r="F49" s="62">
        <f>IFERROR(aurora_data!E1169,0)</f>
        <v>0</v>
      </c>
      <c r="G49" s="62">
        <f>IFERROR(aurora_data!F1169,0)</f>
        <v>0</v>
      </c>
      <c r="H49" s="62">
        <f>IFERROR(aurora_data!G1169,0)</f>
        <v>0</v>
      </c>
      <c r="I49" s="63">
        <f>IFERROR(aurora_data!H1169,0)</f>
        <v>0</v>
      </c>
      <c r="J49" s="36">
        <f>IFERROR(aurora_data!I1169,0)</f>
        <v>0</v>
      </c>
      <c r="K49" s="62">
        <f>IFERROR(aurora_data!J1169,0)</f>
        <v>0</v>
      </c>
      <c r="L49" s="62">
        <f>IFERROR(aurora_data!K1169,0)</f>
        <v>0</v>
      </c>
      <c r="M49" s="62">
        <f>IFERROR(aurora_data!L1169,0)</f>
        <v>0</v>
      </c>
      <c r="N49" s="63">
        <f>IFERROR(aurora_data!M1169,0)</f>
        <v>0</v>
      </c>
      <c r="O49" s="36">
        <f>IFERROR(aurora_data!N1169,0)</f>
        <v>0</v>
      </c>
      <c r="P49" s="62">
        <f>IFERROR(aurora_data!O1169,0)</f>
        <v>0</v>
      </c>
      <c r="Q49" s="62">
        <f>IFERROR(aurora_data!P1169,0)</f>
        <v>0</v>
      </c>
      <c r="R49" s="63">
        <f>IFERROR(aurora_data!Q1169,0)</f>
        <v>0</v>
      </c>
      <c r="S49" s="62">
        <f>IFERROR(aurora_data!R1169,0)</f>
        <v>0</v>
      </c>
      <c r="T49" s="62">
        <f>IFERROR(aurora_data!S1169,0)</f>
        <v>0</v>
      </c>
      <c r="U49" s="63">
        <f>IFERROR(aurora_data!T1169,0)</f>
        <v>0</v>
      </c>
      <c r="V49" s="64" t="s">
        <v>95</v>
      </c>
      <c r="W49" s="36">
        <f>IFERROR(aurora_data!U1169,0)</f>
        <v>0</v>
      </c>
      <c r="X49" s="71">
        <f t="shared" si="4"/>
        <v>0</v>
      </c>
      <c r="Y49" s="2"/>
    </row>
    <row r="50" spans="1:25" customFormat="1" ht="16.5" thickBot="1">
      <c r="A50" s="2"/>
      <c r="B50" s="211"/>
      <c r="C50" s="213"/>
      <c r="D50" s="37" t="s">
        <v>64</v>
      </c>
      <c r="E50" s="59">
        <f>IFERROR(aurora_data!D1170,0)</f>
        <v>0</v>
      </c>
      <c r="F50" s="65">
        <f>IFERROR(aurora_data!E1170,0)</f>
        <v>0</v>
      </c>
      <c r="G50" s="65">
        <f>IFERROR(aurora_data!F1170,0)</f>
        <v>0</v>
      </c>
      <c r="H50" s="65">
        <f>IFERROR(aurora_data!G1170,0)</f>
        <v>0</v>
      </c>
      <c r="I50" s="66">
        <f>IFERROR(aurora_data!H1170,0)</f>
        <v>0</v>
      </c>
      <c r="J50" s="59">
        <f>IFERROR(aurora_data!I1170,0)</f>
        <v>0</v>
      </c>
      <c r="K50" s="65">
        <f>IFERROR(aurora_data!J1170,0)</f>
        <v>0</v>
      </c>
      <c r="L50" s="65">
        <f>IFERROR(aurora_data!K1170,0)</f>
        <v>0</v>
      </c>
      <c r="M50" s="65">
        <f>IFERROR(aurora_data!L1170,0)</f>
        <v>0</v>
      </c>
      <c r="N50" s="66">
        <f>IFERROR(aurora_data!M1170,0)</f>
        <v>0</v>
      </c>
      <c r="O50" s="59">
        <f>IFERROR(aurora_data!N1170,0)</f>
        <v>0</v>
      </c>
      <c r="P50" s="65">
        <f>IFERROR(aurora_data!O1170,0)</f>
        <v>0</v>
      </c>
      <c r="Q50" s="65">
        <f>IFERROR(aurora_data!P1170,0)</f>
        <v>0</v>
      </c>
      <c r="R50" s="66">
        <f>IFERROR(aurora_data!Q1170,0)</f>
        <v>0</v>
      </c>
      <c r="S50" s="65">
        <f>IFERROR(aurora_data!R1170,0)</f>
        <v>0</v>
      </c>
      <c r="T50" s="65">
        <f>IFERROR(aurora_data!S1170,0)</f>
        <v>0</v>
      </c>
      <c r="U50" s="66">
        <f>IFERROR(aurora_data!T1170,0)</f>
        <v>0</v>
      </c>
      <c r="V50" s="67" t="s">
        <v>95</v>
      </c>
      <c r="W50" s="59">
        <f>IFERROR(aurora_data!U1170,0)</f>
        <v>0</v>
      </c>
      <c r="X50" s="72">
        <f t="shared" si="4"/>
        <v>0</v>
      </c>
      <c r="Y50" s="2"/>
    </row>
    <row r="51" spans="1:25" customFormat="1" ht="16.5" thickBot="1">
      <c r="A51" s="2"/>
      <c r="B51" s="211"/>
      <c r="C51" s="213"/>
      <c r="D51" s="38" t="s">
        <v>100</v>
      </c>
      <c r="E51" s="60">
        <f>IFERROR(aurora_data!D1171,0)</f>
        <v>0</v>
      </c>
      <c r="F51" s="68">
        <f>IFERROR(aurora_data!E1171,0)</f>
        <v>0</v>
      </c>
      <c r="G51" s="68">
        <f>IFERROR(aurora_data!F1171,0)</f>
        <v>0</v>
      </c>
      <c r="H51" s="68">
        <f>IFERROR(aurora_data!G1171,0)</f>
        <v>0</v>
      </c>
      <c r="I51" s="69">
        <f>IFERROR(aurora_data!H1171,0)</f>
        <v>0</v>
      </c>
      <c r="J51" s="60">
        <f>IFERROR(aurora_data!I1171,0)</f>
        <v>0</v>
      </c>
      <c r="K51" s="68">
        <f>IFERROR(aurora_data!J1171,0)</f>
        <v>0</v>
      </c>
      <c r="L51" s="68">
        <f>IFERROR(aurora_data!K1171,0)</f>
        <v>0</v>
      </c>
      <c r="M51" s="68">
        <f>IFERROR(aurora_data!L1171,0)</f>
        <v>0</v>
      </c>
      <c r="N51" s="69">
        <f>IFERROR(aurora_data!M1171,0)</f>
        <v>0</v>
      </c>
      <c r="O51" s="60">
        <f>IFERROR(aurora_data!N1171,0)</f>
        <v>0</v>
      </c>
      <c r="P51" s="68">
        <f>IFERROR(aurora_data!O1171,0)</f>
        <v>0</v>
      </c>
      <c r="Q51" s="68">
        <f>IFERROR(aurora_data!P1171,0)</f>
        <v>0</v>
      </c>
      <c r="R51" s="69">
        <f>IFERROR(aurora_data!Q1171,0)</f>
        <v>0</v>
      </c>
      <c r="S51" s="68">
        <f>IFERROR(aurora_data!R1171,0)</f>
        <v>0</v>
      </c>
      <c r="T51" s="68">
        <f>IFERROR(aurora_data!S1171,0)</f>
        <v>0</v>
      </c>
      <c r="U51" s="74">
        <f>IFERROR(aurora_data!T1171,0)</f>
        <v>0</v>
      </c>
      <c r="V51" s="75" t="s">
        <v>95</v>
      </c>
      <c r="W51" s="60">
        <f>IFERROR(aurora_data!U1171,0)</f>
        <v>0</v>
      </c>
      <c r="X51" s="73">
        <f t="shared" si="4"/>
        <v>0</v>
      </c>
      <c r="Y51" s="2"/>
    </row>
    <row r="52" spans="1:25" customFormat="1">
      <c r="A52" s="2"/>
      <c r="B52" s="210" t="s">
        <v>94</v>
      </c>
      <c r="C52" s="212" t="str">
        <f>aurora_data!A1172</f>
        <v>11.00.00-11.11.30</v>
      </c>
      <c r="D52" s="34" t="s">
        <v>71</v>
      </c>
      <c r="E52" s="39">
        <f>IFERROR(aurora_data!D1172,0)</f>
        <v>0</v>
      </c>
      <c r="F52" s="40">
        <f>IFERROR(aurora_data!E1172,0)</f>
        <v>0</v>
      </c>
      <c r="G52" s="40">
        <f>IFERROR(aurora_data!F1172,0)</f>
        <v>0</v>
      </c>
      <c r="H52" s="40">
        <f>IFERROR(aurora_data!G1172,0)</f>
        <v>0</v>
      </c>
      <c r="I52" s="41">
        <f>IFERROR(aurora_data!H1172,0)</f>
        <v>0</v>
      </c>
      <c r="J52" s="39">
        <f>IFERROR(aurora_data!I1172,0)</f>
        <v>0</v>
      </c>
      <c r="K52" s="40">
        <f>IFERROR(aurora_data!J1172,0)</f>
        <v>0</v>
      </c>
      <c r="L52" s="40">
        <f>IFERROR(aurora_data!K1172,0)</f>
        <v>0</v>
      </c>
      <c r="M52" s="40">
        <f>IFERROR(aurora_data!L1172,0)</f>
        <v>0</v>
      </c>
      <c r="N52" s="41">
        <f>IFERROR(aurora_data!M1172,0)</f>
        <v>0</v>
      </c>
      <c r="O52" s="39">
        <f>IFERROR(aurora_data!N1172,0)</f>
        <v>0</v>
      </c>
      <c r="P52" s="40">
        <f>IFERROR(aurora_data!O1172,0)</f>
        <v>0</v>
      </c>
      <c r="Q52" s="40">
        <f>IFERROR(aurora_data!P1172,0)</f>
        <v>0</v>
      </c>
      <c r="R52" s="41">
        <f>IFERROR(aurora_data!Q1172,0)</f>
        <v>0</v>
      </c>
      <c r="S52" s="40">
        <f>IFERROR(aurora_data!R1172,0)</f>
        <v>0</v>
      </c>
      <c r="T52" s="40">
        <f>IFERROR(aurora_data!S1172,0)</f>
        <v>0</v>
      </c>
      <c r="U52" s="76">
        <f>IFERROR(aurora_data!T1172,0)</f>
        <v>0</v>
      </c>
      <c r="V52" s="61" t="s">
        <v>95</v>
      </c>
      <c r="W52" s="39">
        <f>IFERROR(aurora_data!U1172,0)</f>
        <v>5</v>
      </c>
      <c r="X52" s="70">
        <f>IFERROR(W52/$W$12,0)</f>
        <v>1</v>
      </c>
      <c r="Y52" s="2"/>
    </row>
    <row r="53" spans="1:25" customFormat="1">
      <c r="A53" s="2"/>
      <c r="B53" s="211"/>
      <c r="C53" s="213"/>
      <c r="D53" s="35" t="s">
        <v>96</v>
      </c>
      <c r="E53" s="110">
        <f>IFERROR(aurora_data!D1173,0)</f>
        <v>0</v>
      </c>
      <c r="F53" s="62">
        <f>IFERROR(aurora_data!E1173,0)</f>
        <v>0</v>
      </c>
      <c r="G53" s="62">
        <f>IFERROR(aurora_data!F1173,0)</f>
        <v>0</v>
      </c>
      <c r="H53" s="62">
        <f>IFERROR(aurora_data!G1173,0)</f>
        <v>0</v>
      </c>
      <c r="I53" s="63">
        <f>IFERROR(aurora_data!H1173,0)</f>
        <v>0</v>
      </c>
      <c r="J53" s="36">
        <f>IFERROR(aurora_data!I1173,0)</f>
        <v>0</v>
      </c>
      <c r="K53" s="62">
        <f>IFERROR(aurora_data!J1173,0)</f>
        <v>0</v>
      </c>
      <c r="L53" s="62">
        <f>IFERROR(aurora_data!K1173,0)</f>
        <v>0</v>
      </c>
      <c r="M53" s="62">
        <f>IFERROR(aurora_data!L1173,0)</f>
        <v>0</v>
      </c>
      <c r="N53" s="63">
        <f>IFERROR(aurora_data!M1173,0)</f>
        <v>0</v>
      </c>
      <c r="O53" s="36">
        <f>IFERROR(aurora_data!N1173,0)</f>
        <v>0</v>
      </c>
      <c r="P53" s="62">
        <f>IFERROR(aurora_data!O1173,0)</f>
        <v>0</v>
      </c>
      <c r="Q53" s="62">
        <f>IFERROR(aurora_data!P1173,0)</f>
        <v>0</v>
      </c>
      <c r="R53" s="63">
        <f>IFERROR(aurora_data!Q1173,0)</f>
        <v>0</v>
      </c>
      <c r="S53" s="62">
        <f>IFERROR(aurora_data!R1173,0)</f>
        <v>0</v>
      </c>
      <c r="T53" s="62">
        <f>IFERROR(aurora_data!S1173,0)</f>
        <v>0</v>
      </c>
      <c r="U53" s="63">
        <f>IFERROR(aurora_data!T1173,0)</f>
        <v>0</v>
      </c>
      <c r="V53" s="64" t="s">
        <v>95</v>
      </c>
      <c r="W53" s="36">
        <f>IFERROR(aurora_data!U1173,0)</f>
        <v>0</v>
      </c>
      <c r="X53" s="71">
        <f t="shared" ref="X53:X59" si="5">IFERROR(W53/$W$12,0)</f>
        <v>0</v>
      </c>
      <c r="Y53" s="2"/>
    </row>
    <row r="54" spans="1:25" customFormat="1">
      <c r="A54" s="2"/>
      <c r="B54" s="211"/>
      <c r="C54" s="213"/>
      <c r="D54" s="35" t="s">
        <v>60</v>
      </c>
      <c r="E54" s="110">
        <f>IFERROR(aurora_data!D1174,0)</f>
        <v>0</v>
      </c>
      <c r="F54" s="62">
        <f>IFERROR(aurora_data!E1174,0)</f>
        <v>0</v>
      </c>
      <c r="G54" s="62">
        <f>IFERROR(aurora_data!F1174,0)</f>
        <v>0</v>
      </c>
      <c r="H54" s="62">
        <f>IFERROR(aurora_data!G1174,0)</f>
        <v>0</v>
      </c>
      <c r="I54" s="63">
        <f>IFERROR(aurora_data!H1174,0)</f>
        <v>0</v>
      </c>
      <c r="J54" s="36">
        <f>IFERROR(aurora_data!I1174,0)</f>
        <v>0</v>
      </c>
      <c r="K54" s="62">
        <f>IFERROR(aurora_data!J1174,0)</f>
        <v>0</v>
      </c>
      <c r="L54" s="62">
        <f>IFERROR(aurora_data!K1174,0)</f>
        <v>0</v>
      </c>
      <c r="M54" s="62">
        <f>IFERROR(aurora_data!L1174,0)</f>
        <v>0</v>
      </c>
      <c r="N54" s="63">
        <f>IFERROR(aurora_data!M1174,0)</f>
        <v>0</v>
      </c>
      <c r="O54" s="36">
        <f>IFERROR(aurora_data!N1174,0)</f>
        <v>0</v>
      </c>
      <c r="P54" s="62">
        <f>IFERROR(aurora_data!O1174,0)</f>
        <v>0</v>
      </c>
      <c r="Q54" s="62">
        <f>IFERROR(aurora_data!P1174,0)</f>
        <v>0</v>
      </c>
      <c r="R54" s="63">
        <f>IFERROR(aurora_data!Q1174,0)</f>
        <v>0</v>
      </c>
      <c r="S54" s="62">
        <f>IFERROR(aurora_data!R1174,0)</f>
        <v>0</v>
      </c>
      <c r="T54" s="62">
        <f>IFERROR(aurora_data!S1174,0)</f>
        <v>0</v>
      </c>
      <c r="U54" s="63">
        <f>IFERROR(aurora_data!T1174,0)</f>
        <v>0</v>
      </c>
      <c r="V54" s="64" t="s">
        <v>95</v>
      </c>
      <c r="W54" s="36">
        <f>IFERROR(aurora_data!U1174,0)</f>
        <v>0</v>
      </c>
      <c r="X54" s="71">
        <f t="shared" si="5"/>
        <v>0</v>
      </c>
      <c r="Y54" s="2"/>
    </row>
    <row r="55" spans="1:25" customFormat="1">
      <c r="A55" s="2"/>
      <c r="B55" s="211"/>
      <c r="C55" s="213"/>
      <c r="D55" s="35" t="s">
        <v>97</v>
      </c>
      <c r="E55" s="36">
        <f>IFERROR(aurora_data!D1175,0)</f>
        <v>0</v>
      </c>
      <c r="F55" s="62">
        <f>IFERROR(aurora_data!E1175,0)</f>
        <v>0</v>
      </c>
      <c r="G55" s="62">
        <f>IFERROR(aurora_data!F1175,0)</f>
        <v>0</v>
      </c>
      <c r="H55" s="62">
        <f>IFERROR(aurora_data!G1175,0)</f>
        <v>0</v>
      </c>
      <c r="I55" s="63">
        <f>IFERROR(aurora_data!H1175,0)</f>
        <v>0</v>
      </c>
      <c r="J55" s="36">
        <f>IFERROR(aurora_data!I1175,0)</f>
        <v>0</v>
      </c>
      <c r="K55" s="62">
        <f>IFERROR(aurora_data!J1175,0)</f>
        <v>0</v>
      </c>
      <c r="L55" s="62">
        <f>IFERROR(aurora_data!K1175,0)</f>
        <v>0</v>
      </c>
      <c r="M55" s="62">
        <f>IFERROR(aurora_data!L1175,0)</f>
        <v>0</v>
      </c>
      <c r="N55" s="63">
        <f>IFERROR(aurora_data!M1175,0)</f>
        <v>0</v>
      </c>
      <c r="O55" s="36">
        <f>IFERROR(aurora_data!N1175,0)</f>
        <v>0</v>
      </c>
      <c r="P55" s="62">
        <f>IFERROR(aurora_data!O1175,0)</f>
        <v>0</v>
      </c>
      <c r="Q55" s="62">
        <f>IFERROR(aurora_data!P1175,0)</f>
        <v>0</v>
      </c>
      <c r="R55" s="63">
        <f>IFERROR(aurora_data!Q1175,0)</f>
        <v>0</v>
      </c>
      <c r="S55" s="62">
        <f>IFERROR(aurora_data!R1175,0)</f>
        <v>0</v>
      </c>
      <c r="T55" s="62">
        <f>IFERROR(aurora_data!S1175,0)</f>
        <v>0</v>
      </c>
      <c r="U55" s="63">
        <f>IFERROR(aurora_data!T1175,0)</f>
        <v>0</v>
      </c>
      <c r="V55" s="64" t="s">
        <v>95</v>
      </c>
      <c r="W55" s="36">
        <f>IFERROR(aurora_data!U1175,0)</f>
        <v>0</v>
      </c>
      <c r="X55" s="71">
        <f t="shared" si="5"/>
        <v>0</v>
      </c>
      <c r="Y55" s="2"/>
    </row>
    <row r="56" spans="1:25" customFormat="1">
      <c r="A56" s="2"/>
      <c r="B56" s="211"/>
      <c r="C56" s="213"/>
      <c r="D56" s="35" t="s">
        <v>98</v>
      </c>
      <c r="E56" s="36">
        <f>IFERROR(aurora_data!D1176,0)</f>
        <v>0</v>
      </c>
      <c r="F56" s="62">
        <f>IFERROR(aurora_data!E1176,0)</f>
        <v>0</v>
      </c>
      <c r="G56" s="62">
        <f>IFERROR(aurora_data!F1176,0)</f>
        <v>0</v>
      </c>
      <c r="H56" s="62">
        <f>IFERROR(aurora_data!G1176,0)</f>
        <v>0</v>
      </c>
      <c r="I56" s="63">
        <f>IFERROR(aurora_data!H1176,0)</f>
        <v>0</v>
      </c>
      <c r="J56" s="36">
        <f>IFERROR(aurora_data!I1176,0)</f>
        <v>0</v>
      </c>
      <c r="K56" s="62">
        <f>IFERROR(aurora_data!J1176,0)</f>
        <v>0</v>
      </c>
      <c r="L56" s="62">
        <f>IFERROR(aurora_data!K1176,0)</f>
        <v>0</v>
      </c>
      <c r="M56" s="62">
        <f>IFERROR(aurora_data!L1176,0)</f>
        <v>0</v>
      </c>
      <c r="N56" s="63">
        <f>IFERROR(aurora_data!M1176,0)</f>
        <v>0</v>
      </c>
      <c r="O56" s="36">
        <f>IFERROR(aurora_data!N1176,0)</f>
        <v>0</v>
      </c>
      <c r="P56" s="62">
        <f>IFERROR(aurora_data!O1176,0)</f>
        <v>0</v>
      </c>
      <c r="Q56" s="62">
        <f>IFERROR(aurora_data!P1176,0)</f>
        <v>0</v>
      </c>
      <c r="R56" s="63">
        <f>IFERROR(aurora_data!Q1176,0)</f>
        <v>0</v>
      </c>
      <c r="S56" s="62">
        <f>IFERROR(aurora_data!R1176,0)</f>
        <v>0</v>
      </c>
      <c r="T56" s="62">
        <f>IFERROR(aurora_data!S1176,0)</f>
        <v>0</v>
      </c>
      <c r="U56" s="63">
        <f>IFERROR(aurora_data!T1176,0)</f>
        <v>0</v>
      </c>
      <c r="V56" s="64" t="s">
        <v>95</v>
      </c>
      <c r="W56" s="36">
        <f>IFERROR(aurora_data!U1176,0)</f>
        <v>0</v>
      </c>
      <c r="X56" s="71">
        <f t="shared" si="5"/>
        <v>0</v>
      </c>
      <c r="Y56" s="2"/>
    </row>
    <row r="57" spans="1:25" customFormat="1" ht="16.5" thickBot="1">
      <c r="A57" s="2"/>
      <c r="B57" s="211"/>
      <c r="C57" s="213"/>
      <c r="D57" s="35" t="s">
        <v>99</v>
      </c>
      <c r="E57" s="36">
        <f>IFERROR(aurora_data!D1177,0)</f>
        <v>0</v>
      </c>
      <c r="F57" s="62">
        <f>IFERROR(aurora_data!E1177,0)</f>
        <v>0</v>
      </c>
      <c r="G57" s="62">
        <f>IFERROR(aurora_data!F1177,0)</f>
        <v>0</v>
      </c>
      <c r="H57" s="62">
        <f>IFERROR(aurora_data!G1177,0)</f>
        <v>0</v>
      </c>
      <c r="I57" s="63">
        <f>IFERROR(aurora_data!H1177,0)</f>
        <v>0</v>
      </c>
      <c r="J57" s="36">
        <f>IFERROR(aurora_data!I1177,0)</f>
        <v>0</v>
      </c>
      <c r="K57" s="62">
        <f>IFERROR(aurora_data!J1177,0)</f>
        <v>0</v>
      </c>
      <c r="L57" s="62">
        <f>IFERROR(aurora_data!K1177,0)</f>
        <v>0</v>
      </c>
      <c r="M57" s="62">
        <f>IFERROR(aurora_data!L1177,0)</f>
        <v>0</v>
      </c>
      <c r="N57" s="63">
        <f>IFERROR(aurora_data!M1177,0)</f>
        <v>0</v>
      </c>
      <c r="O57" s="36">
        <f>IFERROR(aurora_data!N1177,0)</f>
        <v>0</v>
      </c>
      <c r="P57" s="62">
        <f>IFERROR(aurora_data!O1177,0)</f>
        <v>0</v>
      </c>
      <c r="Q57" s="62">
        <f>IFERROR(aurora_data!P1177,0)</f>
        <v>0</v>
      </c>
      <c r="R57" s="63">
        <f>IFERROR(aurora_data!Q1177,0)</f>
        <v>0</v>
      </c>
      <c r="S57" s="62">
        <f>IFERROR(aurora_data!R1177,0)</f>
        <v>0</v>
      </c>
      <c r="T57" s="62">
        <f>IFERROR(aurora_data!S1177,0)</f>
        <v>0</v>
      </c>
      <c r="U57" s="63">
        <f>IFERROR(aurora_data!T1177,0)</f>
        <v>0</v>
      </c>
      <c r="V57" s="64" t="s">
        <v>95</v>
      </c>
      <c r="W57" s="36">
        <f>IFERROR(aurora_data!U1177,0)</f>
        <v>0</v>
      </c>
      <c r="X57" s="71">
        <f t="shared" si="5"/>
        <v>0</v>
      </c>
      <c r="Y57" s="2"/>
    </row>
    <row r="58" spans="1:25" customFormat="1" ht="16.5" thickBot="1">
      <c r="A58" s="2"/>
      <c r="B58" s="211"/>
      <c r="C58" s="213"/>
      <c r="D58" s="37" t="s">
        <v>64</v>
      </c>
      <c r="E58" s="59">
        <f>IFERROR(aurora_data!D1178,0)</f>
        <v>0</v>
      </c>
      <c r="F58" s="65">
        <f>IFERROR(aurora_data!E1178,0)</f>
        <v>0</v>
      </c>
      <c r="G58" s="65">
        <f>IFERROR(aurora_data!F1178,0)</f>
        <v>0</v>
      </c>
      <c r="H58" s="65">
        <f>IFERROR(aurora_data!G1178,0)</f>
        <v>0</v>
      </c>
      <c r="I58" s="66">
        <f>IFERROR(aurora_data!H1178,0)</f>
        <v>0</v>
      </c>
      <c r="J58" s="59">
        <f>IFERROR(aurora_data!I1178,0)</f>
        <v>0</v>
      </c>
      <c r="K58" s="65">
        <f>IFERROR(aurora_data!J1178,0)</f>
        <v>0</v>
      </c>
      <c r="L58" s="65">
        <f>IFERROR(aurora_data!K1178,0)</f>
        <v>0</v>
      </c>
      <c r="M58" s="65">
        <f>IFERROR(aurora_data!L1178,0)</f>
        <v>0</v>
      </c>
      <c r="N58" s="66">
        <f>IFERROR(aurora_data!M1178,0)</f>
        <v>0</v>
      </c>
      <c r="O58" s="59">
        <f>IFERROR(aurora_data!N1178,0)</f>
        <v>0</v>
      </c>
      <c r="P58" s="65">
        <f>IFERROR(aurora_data!O1178,0)</f>
        <v>0</v>
      </c>
      <c r="Q58" s="65">
        <f>IFERROR(aurora_data!P1178,0)</f>
        <v>0</v>
      </c>
      <c r="R58" s="66">
        <f>IFERROR(aurora_data!Q1178,0)</f>
        <v>0</v>
      </c>
      <c r="S58" s="65">
        <f>IFERROR(aurora_data!R1178,0)</f>
        <v>0</v>
      </c>
      <c r="T58" s="65">
        <f>IFERROR(aurora_data!S1178,0)</f>
        <v>0</v>
      </c>
      <c r="U58" s="66">
        <f>IFERROR(aurora_data!T1178,0)</f>
        <v>0</v>
      </c>
      <c r="V58" s="67" t="s">
        <v>95</v>
      </c>
      <c r="W58" s="59">
        <f>IFERROR(aurora_data!U1178,0)</f>
        <v>0</v>
      </c>
      <c r="X58" s="72">
        <f t="shared" si="5"/>
        <v>0</v>
      </c>
      <c r="Y58" s="2"/>
    </row>
    <row r="59" spans="1:25" customFormat="1" ht="16.5" thickBot="1">
      <c r="A59" s="2"/>
      <c r="B59" s="211"/>
      <c r="C59" s="213"/>
      <c r="D59" s="38" t="s">
        <v>100</v>
      </c>
      <c r="E59" s="60">
        <f>IFERROR(aurora_data!D1179,0)</f>
        <v>0</v>
      </c>
      <c r="F59" s="68">
        <f>IFERROR(aurora_data!E1179,0)</f>
        <v>0</v>
      </c>
      <c r="G59" s="68">
        <f>IFERROR(aurora_data!F1179,0)</f>
        <v>0</v>
      </c>
      <c r="H59" s="68">
        <f>IFERROR(aurora_data!G1179,0)</f>
        <v>0</v>
      </c>
      <c r="I59" s="69">
        <f>IFERROR(aurora_data!H1179,0)</f>
        <v>0</v>
      </c>
      <c r="J59" s="60">
        <f>IFERROR(aurora_data!I1179,0)</f>
        <v>0</v>
      </c>
      <c r="K59" s="68">
        <f>IFERROR(aurora_data!J1179,0)</f>
        <v>0</v>
      </c>
      <c r="L59" s="68">
        <f>IFERROR(aurora_data!K1179,0)</f>
        <v>0</v>
      </c>
      <c r="M59" s="68">
        <f>IFERROR(aurora_data!L1179,0)</f>
        <v>0</v>
      </c>
      <c r="N59" s="69">
        <f>IFERROR(aurora_data!M1179,0)</f>
        <v>0</v>
      </c>
      <c r="O59" s="60">
        <f>IFERROR(aurora_data!N1179,0)</f>
        <v>0</v>
      </c>
      <c r="P59" s="68">
        <f>IFERROR(aurora_data!O1179,0)</f>
        <v>0</v>
      </c>
      <c r="Q59" s="68">
        <f>IFERROR(aurora_data!P1179,0)</f>
        <v>0</v>
      </c>
      <c r="R59" s="69">
        <f>IFERROR(aurora_data!Q1179,0)</f>
        <v>0</v>
      </c>
      <c r="S59" s="68">
        <f>IFERROR(aurora_data!R1179,0)</f>
        <v>0</v>
      </c>
      <c r="T59" s="68">
        <f>IFERROR(aurora_data!S1179,0)</f>
        <v>0</v>
      </c>
      <c r="U59" s="74">
        <f>IFERROR(aurora_data!T1179,0)</f>
        <v>0</v>
      </c>
      <c r="V59" s="75" t="s">
        <v>95</v>
      </c>
      <c r="W59" s="60">
        <f>IFERROR(aurora_data!U1179,0)</f>
        <v>0</v>
      </c>
      <c r="X59" s="73">
        <f t="shared" si="5"/>
        <v>0</v>
      </c>
      <c r="Y59" s="2"/>
    </row>
    <row r="60" spans="1:25" customFormat="1">
      <c r="A60" s="2"/>
      <c r="B60" s="210" t="s">
        <v>94</v>
      </c>
      <c r="C60" s="212" t="str">
        <f>aurora_data!A1180</f>
        <v>12.00.00-12.11.30</v>
      </c>
      <c r="D60" s="34" t="s">
        <v>71</v>
      </c>
      <c r="E60" s="39">
        <f>IFERROR(aurora_data!D1180,0)</f>
        <v>0</v>
      </c>
      <c r="F60" s="40">
        <f>IFERROR(aurora_data!E1180,0)</f>
        <v>0</v>
      </c>
      <c r="G60" s="40">
        <f>IFERROR(aurora_data!F1180,0)</f>
        <v>0</v>
      </c>
      <c r="H60" s="40">
        <f>IFERROR(aurora_data!G1180,0)</f>
        <v>0</v>
      </c>
      <c r="I60" s="41">
        <f>IFERROR(aurora_data!H1180,0)</f>
        <v>0</v>
      </c>
      <c r="J60" s="39">
        <f>IFERROR(aurora_data!I1180,0)</f>
        <v>0</v>
      </c>
      <c r="K60" s="40">
        <f>IFERROR(aurora_data!J1180,0)</f>
        <v>0</v>
      </c>
      <c r="L60" s="40">
        <f>IFERROR(aurora_data!K1180,0)</f>
        <v>0</v>
      </c>
      <c r="M60" s="40">
        <f>IFERROR(aurora_data!L1180,0)</f>
        <v>0</v>
      </c>
      <c r="N60" s="41">
        <f>IFERROR(aurora_data!M1180,0)</f>
        <v>0</v>
      </c>
      <c r="O60" s="39">
        <f>IFERROR(aurora_data!N1180,0)</f>
        <v>0</v>
      </c>
      <c r="P60" s="40">
        <f>IFERROR(aurora_data!O1180,0)</f>
        <v>0</v>
      </c>
      <c r="Q60" s="40">
        <f>IFERROR(aurora_data!P1180,0)</f>
        <v>0</v>
      </c>
      <c r="R60" s="41">
        <f>IFERROR(aurora_data!Q1180,0)</f>
        <v>0</v>
      </c>
      <c r="S60" s="40">
        <f>IFERROR(aurora_data!R1180,0)</f>
        <v>0</v>
      </c>
      <c r="T60" s="40">
        <f>IFERROR(aurora_data!S1180,0)</f>
        <v>0</v>
      </c>
      <c r="U60" s="76">
        <f>IFERROR(aurora_data!T1180,0)</f>
        <v>0</v>
      </c>
      <c r="V60" s="61" t="s">
        <v>95</v>
      </c>
      <c r="W60" s="39">
        <f>IFERROR(aurora_data!U1180,0)</f>
        <v>4</v>
      </c>
      <c r="X60" s="70">
        <f>IFERROR(W60/$W$12,0)</f>
        <v>0.8</v>
      </c>
      <c r="Y60" s="2"/>
    </row>
    <row r="61" spans="1:25" customFormat="1">
      <c r="A61" s="2"/>
      <c r="B61" s="211"/>
      <c r="C61" s="213"/>
      <c r="D61" s="35" t="s">
        <v>96</v>
      </c>
      <c r="E61" s="110">
        <f>IFERROR(aurora_data!D1181,0)</f>
        <v>0</v>
      </c>
      <c r="F61" s="62">
        <f>IFERROR(aurora_data!E1181,0)</f>
        <v>0</v>
      </c>
      <c r="G61" s="62">
        <f>IFERROR(aurora_data!F1181,0)</f>
        <v>0</v>
      </c>
      <c r="H61" s="62">
        <f>IFERROR(aurora_data!G1181,0)</f>
        <v>0</v>
      </c>
      <c r="I61" s="63">
        <f>IFERROR(aurora_data!H1181,0)</f>
        <v>0</v>
      </c>
      <c r="J61" s="36">
        <f>IFERROR(aurora_data!I1181,0)</f>
        <v>0</v>
      </c>
      <c r="K61" s="62">
        <f>IFERROR(aurora_data!J1181,0)</f>
        <v>0</v>
      </c>
      <c r="L61" s="62">
        <f>IFERROR(aurora_data!K1181,0)</f>
        <v>0</v>
      </c>
      <c r="M61" s="62">
        <f>IFERROR(aurora_data!L1181,0)</f>
        <v>0</v>
      </c>
      <c r="N61" s="63">
        <f>IFERROR(aurora_data!M1181,0)</f>
        <v>0</v>
      </c>
      <c r="O61" s="36">
        <f>IFERROR(aurora_data!N1181,0)</f>
        <v>0</v>
      </c>
      <c r="P61" s="62">
        <f>IFERROR(aurora_data!O1181,0)</f>
        <v>0</v>
      </c>
      <c r="Q61" s="62">
        <f>IFERROR(aurora_data!P1181,0)</f>
        <v>0</v>
      </c>
      <c r="R61" s="63">
        <f>IFERROR(aurora_data!Q1181,0)</f>
        <v>0</v>
      </c>
      <c r="S61" s="62">
        <f>IFERROR(aurora_data!R1181,0)</f>
        <v>0</v>
      </c>
      <c r="T61" s="62">
        <f>IFERROR(aurora_data!S1181,0)</f>
        <v>0</v>
      </c>
      <c r="U61" s="63">
        <f>IFERROR(aurora_data!T1181,0)</f>
        <v>0</v>
      </c>
      <c r="V61" s="64" t="s">
        <v>95</v>
      </c>
      <c r="W61" s="36">
        <f>IFERROR(aurora_data!U1181,0)</f>
        <v>0</v>
      </c>
      <c r="X61" s="71">
        <f t="shared" ref="X61:X67" si="6">IFERROR(W61/$W$12,0)</f>
        <v>0</v>
      </c>
      <c r="Y61" s="2"/>
    </row>
    <row r="62" spans="1:25" customFormat="1">
      <c r="A62" s="2"/>
      <c r="B62" s="211"/>
      <c r="C62" s="213"/>
      <c r="D62" s="35" t="s">
        <v>60</v>
      </c>
      <c r="E62" s="110">
        <f>IFERROR(aurora_data!D1182,0)</f>
        <v>0</v>
      </c>
      <c r="F62" s="62">
        <f>IFERROR(aurora_data!E1182,0)</f>
        <v>0</v>
      </c>
      <c r="G62" s="62">
        <f>IFERROR(aurora_data!F1182,0)</f>
        <v>0</v>
      </c>
      <c r="H62" s="62">
        <f>IFERROR(aurora_data!G1182,0)</f>
        <v>0</v>
      </c>
      <c r="I62" s="63">
        <f>IFERROR(aurora_data!H1182,0)</f>
        <v>0</v>
      </c>
      <c r="J62" s="36">
        <f>IFERROR(aurora_data!I1182,0)</f>
        <v>0</v>
      </c>
      <c r="K62" s="62">
        <f>IFERROR(aurora_data!J1182,0)</f>
        <v>0</v>
      </c>
      <c r="L62" s="62">
        <f>IFERROR(aurora_data!K1182,0)</f>
        <v>0</v>
      </c>
      <c r="M62" s="62">
        <f>IFERROR(aurora_data!L1182,0)</f>
        <v>0</v>
      </c>
      <c r="N62" s="63">
        <f>IFERROR(aurora_data!M1182,0)</f>
        <v>0</v>
      </c>
      <c r="O62" s="36">
        <f>IFERROR(aurora_data!N1182,0)</f>
        <v>0</v>
      </c>
      <c r="P62" s="62">
        <f>IFERROR(aurora_data!O1182,0)</f>
        <v>0</v>
      </c>
      <c r="Q62" s="62">
        <f>IFERROR(aurora_data!P1182,0)</f>
        <v>0</v>
      </c>
      <c r="R62" s="63">
        <f>IFERROR(aurora_data!Q1182,0)</f>
        <v>0</v>
      </c>
      <c r="S62" s="62">
        <f>IFERROR(aurora_data!R1182,0)</f>
        <v>0</v>
      </c>
      <c r="T62" s="62">
        <f>IFERROR(aurora_data!S1182,0)</f>
        <v>0</v>
      </c>
      <c r="U62" s="63">
        <f>IFERROR(aurora_data!T1182,0)</f>
        <v>0</v>
      </c>
      <c r="V62" s="64" t="s">
        <v>95</v>
      </c>
      <c r="W62" s="36">
        <f>IFERROR(aurora_data!U1182,0)</f>
        <v>0</v>
      </c>
      <c r="X62" s="71">
        <f t="shared" si="6"/>
        <v>0</v>
      </c>
      <c r="Y62" s="2"/>
    </row>
    <row r="63" spans="1:25" customFormat="1">
      <c r="A63" s="2"/>
      <c r="B63" s="211"/>
      <c r="C63" s="213"/>
      <c r="D63" s="35" t="s">
        <v>97</v>
      </c>
      <c r="E63" s="36">
        <f>IFERROR(aurora_data!D1183,0)</f>
        <v>0</v>
      </c>
      <c r="F63" s="62">
        <f>IFERROR(aurora_data!E1183,0)</f>
        <v>0</v>
      </c>
      <c r="G63" s="62">
        <f>IFERROR(aurora_data!F1183,0)</f>
        <v>0</v>
      </c>
      <c r="H63" s="62">
        <f>IFERROR(aurora_data!G1183,0)</f>
        <v>0</v>
      </c>
      <c r="I63" s="63">
        <f>IFERROR(aurora_data!H1183,0)</f>
        <v>0</v>
      </c>
      <c r="J63" s="36">
        <f>IFERROR(aurora_data!I1183,0)</f>
        <v>0</v>
      </c>
      <c r="K63" s="62">
        <f>IFERROR(aurora_data!J1183,0)</f>
        <v>0</v>
      </c>
      <c r="L63" s="62">
        <f>IFERROR(aurora_data!K1183,0)</f>
        <v>0</v>
      </c>
      <c r="M63" s="62">
        <f>IFERROR(aurora_data!L1183,0)</f>
        <v>0</v>
      </c>
      <c r="N63" s="63">
        <f>IFERROR(aurora_data!M1183,0)</f>
        <v>0</v>
      </c>
      <c r="O63" s="36">
        <f>IFERROR(aurora_data!N1183,0)</f>
        <v>0</v>
      </c>
      <c r="P63" s="62">
        <f>IFERROR(aurora_data!O1183,0)</f>
        <v>0</v>
      </c>
      <c r="Q63" s="62">
        <f>IFERROR(aurora_data!P1183,0)</f>
        <v>0</v>
      </c>
      <c r="R63" s="63">
        <f>IFERROR(aurora_data!Q1183,0)</f>
        <v>0</v>
      </c>
      <c r="S63" s="62">
        <f>IFERROR(aurora_data!R1183,0)</f>
        <v>0</v>
      </c>
      <c r="T63" s="62">
        <f>IFERROR(aurora_data!S1183,0)</f>
        <v>0</v>
      </c>
      <c r="U63" s="63">
        <f>IFERROR(aurora_data!T1183,0)</f>
        <v>0</v>
      </c>
      <c r="V63" s="64" t="s">
        <v>95</v>
      </c>
      <c r="W63" s="36">
        <f>IFERROR(aurora_data!U1183,0)</f>
        <v>0</v>
      </c>
      <c r="X63" s="71">
        <f t="shared" si="6"/>
        <v>0</v>
      </c>
      <c r="Y63" s="2"/>
    </row>
    <row r="64" spans="1:25" customFormat="1">
      <c r="A64" s="2"/>
      <c r="B64" s="211"/>
      <c r="C64" s="213"/>
      <c r="D64" s="35" t="s">
        <v>98</v>
      </c>
      <c r="E64" s="36">
        <f>IFERROR(aurora_data!D1184,0)</f>
        <v>0</v>
      </c>
      <c r="F64" s="62">
        <f>IFERROR(aurora_data!E1184,0)</f>
        <v>0</v>
      </c>
      <c r="G64" s="62">
        <f>IFERROR(aurora_data!F1184,0)</f>
        <v>0</v>
      </c>
      <c r="H64" s="62">
        <f>IFERROR(aurora_data!G1184,0)</f>
        <v>0</v>
      </c>
      <c r="I64" s="63">
        <f>IFERROR(aurora_data!H1184,0)</f>
        <v>0</v>
      </c>
      <c r="J64" s="36">
        <f>IFERROR(aurora_data!I1184,0)</f>
        <v>0</v>
      </c>
      <c r="K64" s="62">
        <f>IFERROR(aurora_data!J1184,0)</f>
        <v>0</v>
      </c>
      <c r="L64" s="62">
        <f>IFERROR(aurora_data!K1184,0)</f>
        <v>0</v>
      </c>
      <c r="M64" s="62">
        <f>IFERROR(aurora_data!L1184,0)</f>
        <v>0</v>
      </c>
      <c r="N64" s="63">
        <f>IFERROR(aurora_data!M1184,0)</f>
        <v>0</v>
      </c>
      <c r="O64" s="36">
        <f>IFERROR(aurora_data!N1184,0)</f>
        <v>0</v>
      </c>
      <c r="P64" s="62">
        <f>IFERROR(aurora_data!O1184,0)</f>
        <v>0</v>
      </c>
      <c r="Q64" s="62">
        <f>IFERROR(aurora_data!P1184,0)</f>
        <v>0</v>
      </c>
      <c r="R64" s="63">
        <f>IFERROR(aurora_data!Q1184,0)</f>
        <v>0</v>
      </c>
      <c r="S64" s="62">
        <f>IFERROR(aurora_data!R1184,0)</f>
        <v>0</v>
      </c>
      <c r="T64" s="62">
        <f>IFERROR(aurora_data!S1184,0)</f>
        <v>0</v>
      </c>
      <c r="U64" s="63">
        <f>IFERROR(aurora_data!T1184,0)</f>
        <v>0</v>
      </c>
      <c r="V64" s="64" t="s">
        <v>95</v>
      </c>
      <c r="W64" s="36">
        <f>IFERROR(aurora_data!U1184,0)</f>
        <v>0</v>
      </c>
      <c r="X64" s="71">
        <f t="shared" si="6"/>
        <v>0</v>
      </c>
      <c r="Y64" s="2"/>
    </row>
    <row r="65" spans="1:25" customFormat="1" ht="16.5" thickBot="1">
      <c r="A65" s="2"/>
      <c r="B65" s="211"/>
      <c r="C65" s="213"/>
      <c r="D65" s="35" t="s">
        <v>99</v>
      </c>
      <c r="E65" s="36">
        <f>IFERROR(aurora_data!D1185,0)</f>
        <v>0</v>
      </c>
      <c r="F65" s="62">
        <f>IFERROR(aurora_data!E1185,0)</f>
        <v>0</v>
      </c>
      <c r="G65" s="62">
        <f>IFERROR(aurora_data!F1185,0)</f>
        <v>0</v>
      </c>
      <c r="H65" s="62">
        <f>IFERROR(aurora_data!G1185,0)</f>
        <v>0</v>
      </c>
      <c r="I65" s="63">
        <f>IFERROR(aurora_data!H1185,0)</f>
        <v>0</v>
      </c>
      <c r="J65" s="36">
        <f>IFERROR(aurora_data!I1185,0)</f>
        <v>0</v>
      </c>
      <c r="K65" s="62">
        <f>IFERROR(aurora_data!J1185,0)</f>
        <v>0</v>
      </c>
      <c r="L65" s="62">
        <f>IFERROR(aurora_data!K1185,0)</f>
        <v>0</v>
      </c>
      <c r="M65" s="62">
        <f>IFERROR(aurora_data!L1185,0)</f>
        <v>0</v>
      </c>
      <c r="N65" s="63">
        <f>IFERROR(aurora_data!M1185,0)</f>
        <v>0</v>
      </c>
      <c r="O65" s="36">
        <f>IFERROR(aurora_data!N1185,0)</f>
        <v>0</v>
      </c>
      <c r="P65" s="62">
        <f>IFERROR(aurora_data!O1185,0)</f>
        <v>0</v>
      </c>
      <c r="Q65" s="62">
        <f>IFERROR(aurora_data!P1185,0)</f>
        <v>0</v>
      </c>
      <c r="R65" s="63">
        <f>IFERROR(aurora_data!Q1185,0)</f>
        <v>0</v>
      </c>
      <c r="S65" s="62">
        <f>IFERROR(aurora_data!R1185,0)</f>
        <v>0</v>
      </c>
      <c r="T65" s="62">
        <f>IFERROR(aurora_data!S1185,0)</f>
        <v>0</v>
      </c>
      <c r="U65" s="63">
        <f>IFERROR(aurora_data!T1185,0)</f>
        <v>0</v>
      </c>
      <c r="V65" s="64" t="s">
        <v>95</v>
      </c>
      <c r="W65" s="36">
        <f>IFERROR(aurora_data!U1185,0)</f>
        <v>0</v>
      </c>
      <c r="X65" s="71">
        <f t="shared" si="6"/>
        <v>0</v>
      </c>
      <c r="Y65" s="2"/>
    </row>
    <row r="66" spans="1:25" customFormat="1" ht="16.5" thickBot="1">
      <c r="A66" s="2"/>
      <c r="B66" s="211"/>
      <c r="C66" s="213"/>
      <c r="D66" s="37" t="s">
        <v>64</v>
      </c>
      <c r="E66" s="59">
        <f>IFERROR(aurora_data!D1186,0)</f>
        <v>0</v>
      </c>
      <c r="F66" s="65">
        <f>IFERROR(aurora_data!E1186,0)</f>
        <v>0</v>
      </c>
      <c r="G66" s="65">
        <f>IFERROR(aurora_data!F1186,0)</f>
        <v>0</v>
      </c>
      <c r="H66" s="65">
        <f>IFERROR(aurora_data!G1186,0)</f>
        <v>0</v>
      </c>
      <c r="I66" s="66">
        <f>IFERROR(aurora_data!H1186,0)</f>
        <v>0</v>
      </c>
      <c r="J66" s="59">
        <f>IFERROR(aurora_data!I1186,0)</f>
        <v>0</v>
      </c>
      <c r="K66" s="65">
        <f>IFERROR(aurora_data!J1186,0)</f>
        <v>0</v>
      </c>
      <c r="L66" s="65">
        <f>IFERROR(aurora_data!K1186,0)</f>
        <v>0</v>
      </c>
      <c r="M66" s="65">
        <f>IFERROR(aurora_data!L1186,0)</f>
        <v>0</v>
      </c>
      <c r="N66" s="66">
        <f>IFERROR(aurora_data!M1186,0)</f>
        <v>0</v>
      </c>
      <c r="O66" s="59">
        <f>IFERROR(aurora_data!N1186,0)</f>
        <v>0</v>
      </c>
      <c r="P66" s="65">
        <f>IFERROR(aurora_data!O1186,0)</f>
        <v>0</v>
      </c>
      <c r="Q66" s="65">
        <f>IFERROR(aurora_data!P1186,0)</f>
        <v>0</v>
      </c>
      <c r="R66" s="66">
        <f>IFERROR(aurora_data!Q1186,0)</f>
        <v>0</v>
      </c>
      <c r="S66" s="65">
        <f>IFERROR(aurora_data!R1186,0)</f>
        <v>0</v>
      </c>
      <c r="T66" s="65">
        <f>IFERROR(aurora_data!S1186,0)</f>
        <v>0</v>
      </c>
      <c r="U66" s="66">
        <f>IFERROR(aurora_data!T1186,0)</f>
        <v>0</v>
      </c>
      <c r="V66" s="67" t="s">
        <v>95</v>
      </c>
      <c r="W66" s="59">
        <f>IFERROR(aurora_data!U1186,0)</f>
        <v>0</v>
      </c>
      <c r="X66" s="72">
        <f t="shared" si="6"/>
        <v>0</v>
      </c>
      <c r="Y66" s="2"/>
    </row>
    <row r="67" spans="1:25" customFormat="1" ht="16.5" thickBot="1">
      <c r="A67" s="2"/>
      <c r="B67" s="211"/>
      <c r="C67" s="213"/>
      <c r="D67" s="38" t="s">
        <v>100</v>
      </c>
      <c r="E67" s="60">
        <f>IFERROR(aurora_data!D1187,0)</f>
        <v>0</v>
      </c>
      <c r="F67" s="68">
        <f>IFERROR(aurora_data!E1187,0)</f>
        <v>0</v>
      </c>
      <c r="G67" s="68">
        <f>IFERROR(aurora_data!F1187,0)</f>
        <v>0</v>
      </c>
      <c r="H67" s="68">
        <f>IFERROR(aurora_data!G1187,0)</f>
        <v>0</v>
      </c>
      <c r="I67" s="69">
        <f>IFERROR(aurora_data!H1187,0)</f>
        <v>0</v>
      </c>
      <c r="J67" s="60">
        <f>IFERROR(aurora_data!I1187,0)</f>
        <v>0</v>
      </c>
      <c r="K67" s="68">
        <f>IFERROR(aurora_data!J1187,0)</f>
        <v>0</v>
      </c>
      <c r="L67" s="68">
        <f>IFERROR(aurora_data!K1187,0)</f>
        <v>0</v>
      </c>
      <c r="M67" s="68">
        <f>IFERROR(aurora_data!L1187,0)</f>
        <v>0</v>
      </c>
      <c r="N67" s="69">
        <f>IFERROR(aurora_data!M1187,0)</f>
        <v>0</v>
      </c>
      <c r="O67" s="60">
        <f>IFERROR(aurora_data!N1187,0)</f>
        <v>0</v>
      </c>
      <c r="P67" s="68">
        <f>IFERROR(aurora_data!O1187,0)</f>
        <v>0</v>
      </c>
      <c r="Q67" s="68">
        <f>IFERROR(aurora_data!P1187,0)</f>
        <v>0</v>
      </c>
      <c r="R67" s="69">
        <f>IFERROR(aurora_data!Q1187,0)</f>
        <v>0</v>
      </c>
      <c r="S67" s="68">
        <f>IFERROR(aurora_data!R1187,0)</f>
        <v>0</v>
      </c>
      <c r="T67" s="68">
        <f>IFERROR(aurora_data!S1187,0)</f>
        <v>0</v>
      </c>
      <c r="U67" s="74">
        <f>IFERROR(aurora_data!T1187,0)</f>
        <v>0</v>
      </c>
      <c r="V67" s="75" t="s">
        <v>95</v>
      </c>
      <c r="W67" s="60">
        <f>IFERROR(aurora_data!U1187,0)</f>
        <v>0</v>
      </c>
      <c r="X67" s="73">
        <f t="shared" si="6"/>
        <v>0</v>
      </c>
      <c r="Y67" s="2"/>
    </row>
    <row r="68" spans="1:25" customFormat="1">
      <c r="A68" s="2"/>
      <c r="B68" s="210" t="s">
        <v>94</v>
      </c>
      <c r="C68" s="212" t="str">
        <f>aurora_data!A1188</f>
        <v>13.00.00-13.11.30</v>
      </c>
      <c r="D68" s="34" t="s">
        <v>71</v>
      </c>
      <c r="E68" s="39">
        <f>IFERROR(aurora_data!D1188,0)</f>
        <v>0</v>
      </c>
      <c r="F68" s="40">
        <f>IFERROR(aurora_data!E1188,0)</f>
        <v>0</v>
      </c>
      <c r="G68" s="40">
        <f>IFERROR(aurora_data!F1188,0)</f>
        <v>0</v>
      </c>
      <c r="H68" s="40">
        <f>IFERROR(aurora_data!G1188,0)</f>
        <v>0</v>
      </c>
      <c r="I68" s="41">
        <f>IFERROR(aurora_data!H1188,0)</f>
        <v>0</v>
      </c>
      <c r="J68" s="39">
        <f>IFERROR(aurora_data!I1188,0)</f>
        <v>0</v>
      </c>
      <c r="K68" s="40">
        <f>IFERROR(aurora_data!J1188,0)</f>
        <v>0</v>
      </c>
      <c r="L68" s="40">
        <f>IFERROR(aurora_data!K1188,0)</f>
        <v>0</v>
      </c>
      <c r="M68" s="40">
        <f>IFERROR(aurora_data!L1188,0)</f>
        <v>0</v>
      </c>
      <c r="N68" s="41">
        <f>IFERROR(aurora_data!M1188,0)</f>
        <v>0</v>
      </c>
      <c r="O68" s="39">
        <f>IFERROR(aurora_data!N1188,0)</f>
        <v>0</v>
      </c>
      <c r="P68" s="40">
        <f>IFERROR(aurora_data!O1188,0)</f>
        <v>0</v>
      </c>
      <c r="Q68" s="40">
        <f>IFERROR(aurora_data!P1188,0)</f>
        <v>0</v>
      </c>
      <c r="R68" s="41">
        <f>IFERROR(aurora_data!Q1188,0)</f>
        <v>0</v>
      </c>
      <c r="S68" s="40">
        <f>IFERROR(aurora_data!R1188,0)</f>
        <v>0</v>
      </c>
      <c r="T68" s="40">
        <f>IFERROR(aurora_data!S1188,0)</f>
        <v>0</v>
      </c>
      <c r="U68" s="76">
        <f>IFERROR(aurora_data!T1188,0)</f>
        <v>0</v>
      </c>
      <c r="V68" s="61" t="s">
        <v>95</v>
      </c>
      <c r="W68" s="39">
        <f>IFERROR(aurora_data!U1188,0)</f>
        <v>5</v>
      </c>
      <c r="X68" s="70">
        <f>IFERROR(W68/$W$12,0)</f>
        <v>1</v>
      </c>
      <c r="Y68" s="2"/>
    </row>
    <row r="69" spans="1:25" customFormat="1">
      <c r="A69" s="2"/>
      <c r="B69" s="211"/>
      <c r="C69" s="213"/>
      <c r="D69" s="35" t="s">
        <v>96</v>
      </c>
      <c r="E69" s="110">
        <f>IFERROR(aurora_data!D1189,0)</f>
        <v>0</v>
      </c>
      <c r="F69" s="62">
        <f>IFERROR(aurora_data!E1189,0)</f>
        <v>0</v>
      </c>
      <c r="G69" s="62">
        <f>IFERROR(aurora_data!F1189,0)</f>
        <v>0</v>
      </c>
      <c r="H69" s="62">
        <f>IFERROR(aurora_data!G1189,0)</f>
        <v>0</v>
      </c>
      <c r="I69" s="63">
        <f>IFERROR(aurora_data!H1189,0)</f>
        <v>0</v>
      </c>
      <c r="J69" s="36">
        <f>IFERROR(aurora_data!I1189,0)</f>
        <v>0</v>
      </c>
      <c r="K69" s="62">
        <f>IFERROR(aurora_data!J1189,0)</f>
        <v>0</v>
      </c>
      <c r="L69" s="62">
        <f>IFERROR(aurora_data!K1189,0)</f>
        <v>0</v>
      </c>
      <c r="M69" s="62">
        <f>IFERROR(aurora_data!L1189,0)</f>
        <v>0</v>
      </c>
      <c r="N69" s="63">
        <f>IFERROR(aurora_data!M1189,0)</f>
        <v>0</v>
      </c>
      <c r="O69" s="36">
        <f>IFERROR(aurora_data!N1189,0)</f>
        <v>0</v>
      </c>
      <c r="P69" s="62">
        <f>IFERROR(aurora_data!O1189,0)</f>
        <v>0</v>
      </c>
      <c r="Q69" s="62">
        <f>IFERROR(aurora_data!P1189,0)</f>
        <v>0</v>
      </c>
      <c r="R69" s="63">
        <f>IFERROR(aurora_data!Q1189,0)</f>
        <v>0</v>
      </c>
      <c r="S69" s="62">
        <f>IFERROR(aurora_data!R1189,0)</f>
        <v>0</v>
      </c>
      <c r="T69" s="62">
        <f>IFERROR(aurora_data!S1189,0)</f>
        <v>0</v>
      </c>
      <c r="U69" s="63">
        <f>IFERROR(aurora_data!T1189,0)</f>
        <v>0</v>
      </c>
      <c r="V69" s="64" t="s">
        <v>95</v>
      </c>
      <c r="W69" s="36">
        <f>IFERROR(aurora_data!U1189,0)</f>
        <v>0</v>
      </c>
      <c r="X69" s="71">
        <f t="shared" ref="X69:X75" si="7">IFERROR(W69/$W$12,0)</f>
        <v>0</v>
      </c>
      <c r="Y69" s="2"/>
    </row>
    <row r="70" spans="1:25" customFormat="1">
      <c r="A70" s="2"/>
      <c r="B70" s="211"/>
      <c r="C70" s="213"/>
      <c r="D70" s="35" t="s">
        <v>60</v>
      </c>
      <c r="E70" s="110">
        <f>IFERROR(aurora_data!D1190,0)</f>
        <v>0</v>
      </c>
      <c r="F70" s="62">
        <f>IFERROR(aurora_data!E1190,0)</f>
        <v>0</v>
      </c>
      <c r="G70" s="62">
        <f>IFERROR(aurora_data!F1190,0)</f>
        <v>0</v>
      </c>
      <c r="H70" s="62">
        <f>IFERROR(aurora_data!G1190,0)</f>
        <v>0</v>
      </c>
      <c r="I70" s="63">
        <f>IFERROR(aurora_data!H1190,0)</f>
        <v>0</v>
      </c>
      <c r="J70" s="36">
        <f>IFERROR(aurora_data!I1190,0)</f>
        <v>0</v>
      </c>
      <c r="K70" s="62">
        <f>IFERROR(aurora_data!J1190,0)</f>
        <v>0</v>
      </c>
      <c r="L70" s="62">
        <f>IFERROR(aurora_data!K1190,0)</f>
        <v>0</v>
      </c>
      <c r="M70" s="62">
        <f>IFERROR(aurora_data!L1190,0)</f>
        <v>0</v>
      </c>
      <c r="N70" s="63">
        <f>IFERROR(aurora_data!M1190,0)</f>
        <v>0</v>
      </c>
      <c r="O70" s="36">
        <f>IFERROR(aurora_data!N1190,0)</f>
        <v>0</v>
      </c>
      <c r="P70" s="62">
        <f>IFERROR(aurora_data!O1190,0)</f>
        <v>0</v>
      </c>
      <c r="Q70" s="62">
        <f>IFERROR(aurora_data!P1190,0)</f>
        <v>0</v>
      </c>
      <c r="R70" s="63">
        <f>IFERROR(aurora_data!Q1190,0)</f>
        <v>0</v>
      </c>
      <c r="S70" s="62">
        <f>IFERROR(aurora_data!R1190,0)</f>
        <v>0</v>
      </c>
      <c r="T70" s="62">
        <f>IFERROR(aurora_data!S1190,0)</f>
        <v>0</v>
      </c>
      <c r="U70" s="63">
        <f>IFERROR(aurora_data!T1190,0)</f>
        <v>0</v>
      </c>
      <c r="V70" s="64" t="s">
        <v>95</v>
      </c>
      <c r="W70" s="36">
        <f>IFERROR(aurora_data!U1190,0)</f>
        <v>0</v>
      </c>
      <c r="X70" s="71">
        <f t="shared" si="7"/>
        <v>0</v>
      </c>
      <c r="Y70" s="2"/>
    </row>
    <row r="71" spans="1:25" customFormat="1">
      <c r="A71" s="2"/>
      <c r="B71" s="211"/>
      <c r="C71" s="213"/>
      <c r="D71" s="35" t="s">
        <v>97</v>
      </c>
      <c r="E71" s="36">
        <f>IFERROR(aurora_data!D1191,0)</f>
        <v>0</v>
      </c>
      <c r="F71" s="62">
        <f>IFERROR(aurora_data!E1191,0)</f>
        <v>0</v>
      </c>
      <c r="G71" s="62">
        <f>IFERROR(aurora_data!F1191,0)</f>
        <v>0</v>
      </c>
      <c r="H71" s="62">
        <f>IFERROR(aurora_data!G1191,0)</f>
        <v>0</v>
      </c>
      <c r="I71" s="63">
        <f>IFERROR(aurora_data!H1191,0)</f>
        <v>0</v>
      </c>
      <c r="J71" s="36">
        <f>IFERROR(aurora_data!I1191,0)</f>
        <v>0</v>
      </c>
      <c r="K71" s="62">
        <f>IFERROR(aurora_data!J1191,0)</f>
        <v>0</v>
      </c>
      <c r="L71" s="62">
        <f>IFERROR(aurora_data!K1191,0)</f>
        <v>0</v>
      </c>
      <c r="M71" s="62">
        <f>IFERROR(aurora_data!L1191,0)</f>
        <v>0</v>
      </c>
      <c r="N71" s="63">
        <f>IFERROR(aurora_data!M1191,0)</f>
        <v>0</v>
      </c>
      <c r="O71" s="36">
        <f>IFERROR(aurora_data!N1191,0)</f>
        <v>0</v>
      </c>
      <c r="P71" s="62">
        <f>IFERROR(aurora_data!O1191,0)</f>
        <v>0</v>
      </c>
      <c r="Q71" s="62">
        <f>IFERROR(aurora_data!P1191,0)</f>
        <v>0</v>
      </c>
      <c r="R71" s="63">
        <f>IFERROR(aurora_data!Q1191,0)</f>
        <v>0</v>
      </c>
      <c r="S71" s="62">
        <f>IFERROR(aurora_data!R1191,0)</f>
        <v>0</v>
      </c>
      <c r="T71" s="62">
        <f>IFERROR(aurora_data!S1191,0)</f>
        <v>0</v>
      </c>
      <c r="U71" s="63">
        <f>IFERROR(aurora_data!T1191,0)</f>
        <v>0</v>
      </c>
      <c r="V71" s="64" t="s">
        <v>95</v>
      </c>
      <c r="W71" s="36">
        <f>IFERROR(aurora_data!U1191,0)</f>
        <v>0</v>
      </c>
      <c r="X71" s="71">
        <f t="shared" si="7"/>
        <v>0</v>
      </c>
      <c r="Y71" s="2"/>
    </row>
    <row r="72" spans="1:25" customFormat="1">
      <c r="A72" s="2"/>
      <c r="B72" s="211"/>
      <c r="C72" s="213"/>
      <c r="D72" s="35" t="s">
        <v>98</v>
      </c>
      <c r="E72" s="36">
        <f>IFERROR(aurora_data!D1192,0)</f>
        <v>0</v>
      </c>
      <c r="F72" s="62">
        <f>IFERROR(aurora_data!E1192,0)</f>
        <v>0</v>
      </c>
      <c r="G72" s="62">
        <f>IFERROR(aurora_data!F1192,0)</f>
        <v>0</v>
      </c>
      <c r="H72" s="62">
        <f>IFERROR(aurora_data!G1192,0)</f>
        <v>0</v>
      </c>
      <c r="I72" s="63">
        <f>IFERROR(aurora_data!H1192,0)</f>
        <v>0</v>
      </c>
      <c r="J72" s="36">
        <f>IFERROR(aurora_data!I1192,0)</f>
        <v>0</v>
      </c>
      <c r="K72" s="62">
        <f>IFERROR(aurora_data!J1192,0)</f>
        <v>0</v>
      </c>
      <c r="L72" s="62">
        <f>IFERROR(aurora_data!K1192,0)</f>
        <v>0</v>
      </c>
      <c r="M72" s="62">
        <f>IFERROR(aurora_data!L1192,0)</f>
        <v>0</v>
      </c>
      <c r="N72" s="63">
        <f>IFERROR(aurora_data!M1192,0)</f>
        <v>0</v>
      </c>
      <c r="O72" s="36">
        <f>IFERROR(aurora_data!N1192,0)</f>
        <v>0</v>
      </c>
      <c r="P72" s="62">
        <f>IFERROR(aurora_data!O1192,0)</f>
        <v>0</v>
      </c>
      <c r="Q72" s="62">
        <f>IFERROR(aurora_data!P1192,0)</f>
        <v>0</v>
      </c>
      <c r="R72" s="63">
        <f>IFERROR(aurora_data!Q1192,0)</f>
        <v>0</v>
      </c>
      <c r="S72" s="62">
        <f>IFERROR(aurora_data!R1192,0)</f>
        <v>0</v>
      </c>
      <c r="T72" s="62">
        <f>IFERROR(aurora_data!S1192,0)</f>
        <v>0</v>
      </c>
      <c r="U72" s="63">
        <f>IFERROR(aurora_data!T1192,0)</f>
        <v>0</v>
      </c>
      <c r="V72" s="64" t="s">
        <v>95</v>
      </c>
      <c r="W72" s="36">
        <f>IFERROR(aurora_data!U1192,0)</f>
        <v>0</v>
      </c>
      <c r="X72" s="71">
        <f t="shared" si="7"/>
        <v>0</v>
      </c>
      <c r="Y72" s="2"/>
    </row>
    <row r="73" spans="1:25" customFormat="1" ht="16.5" thickBot="1">
      <c r="A73" s="2"/>
      <c r="B73" s="211"/>
      <c r="C73" s="213"/>
      <c r="D73" s="35" t="s">
        <v>99</v>
      </c>
      <c r="E73" s="36">
        <f>IFERROR(aurora_data!D1193,0)</f>
        <v>0</v>
      </c>
      <c r="F73" s="62">
        <f>IFERROR(aurora_data!E1193,0)</f>
        <v>0</v>
      </c>
      <c r="G73" s="62">
        <f>IFERROR(aurora_data!F1193,0)</f>
        <v>0</v>
      </c>
      <c r="H73" s="62">
        <f>IFERROR(aurora_data!G1193,0)</f>
        <v>0</v>
      </c>
      <c r="I73" s="63">
        <f>IFERROR(aurora_data!H1193,0)</f>
        <v>0</v>
      </c>
      <c r="J73" s="36">
        <f>IFERROR(aurora_data!I1193,0)</f>
        <v>0</v>
      </c>
      <c r="K73" s="62">
        <f>IFERROR(aurora_data!J1193,0)</f>
        <v>0</v>
      </c>
      <c r="L73" s="62">
        <f>IFERROR(aurora_data!K1193,0)</f>
        <v>0</v>
      </c>
      <c r="M73" s="62">
        <f>IFERROR(aurora_data!L1193,0)</f>
        <v>0</v>
      </c>
      <c r="N73" s="63">
        <f>IFERROR(aurora_data!M1193,0)</f>
        <v>0</v>
      </c>
      <c r="O73" s="36">
        <f>IFERROR(aurora_data!N1193,0)</f>
        <v>0</v>
      </c>
      <c r="P73" s="62">
        <f>IFERROR(aurora_data!O1193,0)</f>
        <v>0</v>
      </c>
      <c r="Q73" s="62">
        <f>IFERROR(aurora_data!P1193,0)</f>
        <v>0</v>
      </c>
      <c r="R73" s="63">
        <f>IFERROR(aurora_data!Q1193,0)</f>
        <v>0</v>
      </c>
      <c r="S73" s="62">
        <f>IFERROR(aurora_data!R1193,0)</f>
        <v>0</v>
      </c>
      <c r="T73" s="62">
        <f>IFERROR(aurora_data!S1193,0)</f>
        <v>0</v>
      </c>
      <c r="U73" s="63">
        <f>IFERROR(aurora_data!T1193,0)</f>
        <v>0</v>
      </c>
      <c r="V73" s="64" t="s">
        <v>95</v>
      </c>
      <c r="W73" s="36">
        <f>IFERROR(aurora_data!U1193,0)</f>
        <v>0</v>
      </c>
      <c r="X73" s="71">
        <f t="shared" si="7"/>
        <v>0</v>
      </c>
      <c r="Y73" s="2"/>
    </row>
    <row r="74" spans="1:25" customFormat="1" ht="16.5" thickBot="1">
      <c r="A74" s="2"/>
      <c r="B74" s="211"/>
      <c r="C74" s="213"/>
      <c r="D74" s="37" t="s">
        <v>64</v>
      </c>
      <c r="E74" s="59">
        <f>IFERROR(aurora_data!D1194,0)</f>
        <v>0</v>
      </c>
      <c r="F74" s="65">
        <f>IFERROR(aurora_data!E1194,0)</f>
        <v>0</v>
      </c>
      <c r="G74" s="65">
        <f>IFERROR(aurora_data!F1194,0)</f>
        <v>0</v>
      </c>
      <c r="H74" s="65">
        <f>IFERROR(aurora_data!G1194,0)</f>
        <v>0</v>
      </c>
      <c r="I74" s="66">
        <f>IFERROR(aurora_data!H1194,0)</f>
        <v>0</v>
      </c>
      <c r="J74" s="59">
        <f>IFERROR(aurora_data!I1194,0)</f>
        <v>0</v>
      </c>
      <c r="K74" s="65">
        <f>IFERROR(aurora_data!J1194,0)</f>
        <v>0</v>
      </c>
      <c r="L74" s="65">
        <f>IFERROR(aurora_data!K1194,0)</f>
        <v>0</v>
      </c>
      <c r="M74" s="65">
        <f>IFERROR(aurora_data!L1194,0)</f>
        <v>0</v>
      </c>
      <c r="N74" s="66">
        <f>IFERROR(aurora_data!M1194,0)</f>
        <v>0</v>
      </c>
      <c r="O74" s="59">
        <f>IFERROR(aurora_data!N1194,0)</f>
        <v>0</v>
      </c>
      <c r="P74" s="65">
        <f>IFERROR(aurora_data!O1194,0)</f>
        <v>0</v>
      </c>
      <c r="Q74" s="65">
        <f>IFERROR(aurora_data!P1194,0)</f>
        <v>0</v>
      </c>
      <c r="R74" s="66">
        <f>IFERROR(aurora_data!Q1194,0)</f>
        <v>0</v>
      </c>
      <c r="S74" s="65">
        <f>IFERROR(aurora_data!R1194,0)</f>
        <v>0</v>
      </c>
      <c r="T74" s="65">
        <f>IFERROR(aurora_data!S1194,0)</f>
        <v>0</v>
      </c>
      <c r="U74" s="66">
        <f>IFERROR(aurora_data!T1194,0)</f>
        <v>0</v>
      </c>
      <c r="V74" s="67" t="s">
        <v>95</v>
      </c>
      <c r="W74" s="59">
        <f>IFERROR(aurora_data!U1194,0)</f>
        <v>0</v>
      </c>
      <c r="X74" s="72">
        <f t="shared" si="7"/>
        <v>0</v>
      </c>
      <c r="Y74" s="2"/>
    </row>
    <row r="75" spans="1:25" customFormat="1" ht="16.5" thickBot="1">
      <c r="A75" s="2"/>
      <c r="B75" s="211"/>
      <c r="C75" s="213"/>
      <c r="D75" s="38" t="s">
        <v>100</v>
      </c>
      <c r="E75" s="60">
        <f>IFERROR(aurora_data!D1195,0)</f>
        <v>0</v>
      </c>
      <c r="F75" s="68">
        <f>IFERROR(aurora_data!E1195,0)</f>
        <v>0</v>
      </c>
      <c r="G75" s="68">
        <f>IFERROR(aurora_data!F1195,0)</f>
        <v>0</v>
      </c>
      <c r="H75" s="68">
        <f>IFERROR(aurora_data!G1195,0)</f>
        <v>0</v>
      </c>
      <c r="I75" s="69">
        <f>IFERROR(aurora_data!H1195,0)</f>
        <v>0</v>
      </c>
      <c r="J75" s="60">
        <f>IFERROR(aurora_data!I1195,0)</f>
        <v>0</v>
      </c>
      <c r="K75" s="68">
        <f>IFERROR(aurora_data!J1195,0)</f>
        <v>0</v>
      </c>
      <c r="L75" s="68">
        <f>IFERROR(aurora_data!K1195,0)</f>
        <v>0</v>
      </c>
      <c r="M75" s="68">
        <f>IFERROR(aurora_data!L1195,0)</f>
        <v>0</v>
      </c>
      <c r="N75" s="69">
        <f>IFERROR(aurora_data!M1195,0)</f>
        <v>0</v>
      </c>
      <c r="O75" s="60">
        <f>IFERROR(aurora_data!N1195,0)</f>
        <v>0</v>
      </c>
      <c r="P75" s="68">
        <f>IFERROR(aurora_data!O1195,0)</f>
        <v>0</v>
      </c>
      <c r="Q75" s="68">
        <f>IFERROR(aurora_data!P1195,0)</f>
        <v>0</v>
      </c>
      <c r="R75" s="69">
        <f>IFERROR(aurora_data!Q1195,0)</f>
        <v>0</v>
      </c>
      <c r="S75" s="68">
        <f>IFERROR(aurora_data!R1195,0)</f>
        <v>0</v>
      </c>
      <c r="T75" s="68">
        <f>IFERROR(aurora_data!S1195,0)</f>
        <v>0</v>
      </c>
      <c r="U75" s="74">
        <f>IFERROR(aurora_data!T1195,0)</f>
        <v>0</v>
      </c>
      <c r="V75" s="75" t="s">
        <v>95</v>
      </c>
      <c r="W75" s="60">
        <f>IFERROR(aurora_data!U1195,0)</f>
        <v>0</v>
      </c>
      <c r="X75" s="73">
        <f t="shared" si="7"/>
        <v>0</v>
      </c>
      <c r="Y75" s="2"/>
    </row>
    <row r="76" spans="1:25" customFormat="1">
      <c r="A76" s="2"/>
      <c r="B76" s="210" t="s">
        <v>94</v>
      </c>
      <c r="C76" s="212" t="str">
        <f>aurora_data!A1196</f>
        <v>14.00.00-14.11.30</v>
      </c>
      <c r="D76" s="34" t="s">
        <v>71</v>
      </c>
      <c r="E76" s="39">
        <f>IFERROR(aurora_data!D1196,0)</f>
        <v>0</v>
      </c>
      <c r="F76" s="40">
        <f>IFERROR(aurora_data!E1196,0)</f>
        <v>0</v>
      </c>
      <c r="G76" s="40">
        <f>IFERROR(aurora_data!F1196,0)</f>
        <v>0</v>
      </c>
      <c r="H76" s="40">
        <f>IFERROR(aurora_data!G1196,0)</f>
        <v>0</v>
      </c>
      <c r="I76" s="41">
        <f>IFERROR(aurora_data!H1196,0)</f>
        <v>0</v>
      </c>
      <c r="J76" s="39">
        <f>IFERROR(aurora_data!I1196,0)</f>
        <v>0</v>
      </c>
      <c r="K76" s="40">
        <f>IFERROR(aurora_data!J1196,0)</f>
        <v>0</v>
      </c>
      <c r="L76" s="40">
        <f>IFERROR(aurora_data!K1196,0)</f>
        <v>0</v>
      </c>
      <c r="M76" s="40">
        <f>IFERROR(aurora_data!L1196,0)</f>
        <v>0</v>
      </c>
      <c r="N76" s="41">
        <f>IFERROR(aurora_data!M1196,0)</f>
        <v>0</v>
      </c>
      <c r="O76" s="39">
        <f>IFERROR(aurora_data!N1196,0)</f>
        <v>0</v>
      </c>
      <c r="P76" s="40">
        <f>IFERROR(aurora_data!O1196,0)</f>
        <v>0</v>
      </c>
      <c r="Q76" s="40">
        <f>IFERROR(aurora_data!P1196,0)</f>
        <v>0</v>
      </c>
      <c r="R76" s="41">
        <f>IFERROR(aurora_data!Q1196,0)</f>
        <v>0</v>
      </c>
      <c r="S76" s="40">
        <f>IFERROR(aurora_data!R1196,0)</f>
        <v>0</v>
      </c>
      <c r="T76" s="40">
        <f>IFERROR(aurora_data!S1196,0)</f>
        <v>0</v>
      </c>
      <c r="U76" s="76">
        <f>IFERROR(aurora_data!T1196,0)</f>
        <v>0</v>
      </c>
      <c r="V76" s="61" t="s">
        <v>95</v>
      </c>
      <c r="W76" s="39">
        <f>IFERROR(aurora_data!U1196,0)</f>
        <v>4</v>
      </c>
      <c r="X76" s="70">
        <f>IFERROR(W76/$W$12,0)</f>
        <v>0.8</v>
      </c>
      <c r="Y76" s="2"/>
    </row>
    <row r="77" spans="1:25" customFormat="1">
      <c r="A77" s="2"/>
      <c r="B77" s="211"/>
      <c r="C77" s="213"/>
      <c r="D77" s="35" t="s">
        <v>96</v>
      </c>
      <c r="E77" s="110">
        <f>IFERROR(aurora_data!D1197,0)</f>
        <v>0</v>
      </c>
      <c r="F77" s="62">
        <f>IFERROR(aurora_data!E1197,0)</f>
        <v>0</v>
      </c>
      <c r="G77" s="62">
        <f>IFERROR(aurora_data!F1197,0)</f>
        <v>0</v>
      </c>
      <c r="H77" s="62">
        <f>IFERROR(aurora_data!G1197,0)</f>
        <v>0</v>
      </c>
      <c r="I77" s="63">
        <f>IFERROR(aurora_data!H1197,0)</f>
        <v>0</v>
      </c>
      <c r="J77" s="36">
        <f>IFERROR(aurora_data!I1197,0)</f>
        <v>0</v>
      </c>
      <c r="K77" s="62">
        <f>IFERROR(aurora_data!J1197,0)</f>
        <v>0</v>
      </c>
      <c r="L77" s="62">
        <f>IFERROR(aurora_data!K1197,0)</f>
        <v>0</v>
      </c>
      <c r="M77" s="62">
        <f>IFERROR(aurora_data!L1197,0)</f>
        <v>0</v>
      </c>
      <c r="N77" s="63">
        <f>IFERROR(aurora_data!M1197,0)</f>
        <v>0</v>
      </c>
      <c r="O77" s="36">
        <f>IFERROR(aurora_data!N1197,0)</f>
        <v>0</v>
      </c>
      <c r="P77" s="62">
        <f>IFERROR(aurora_data!O1197,0)</f>
        <v>0</v>
      </c>
      <c r="Q77" s="62">
        <f>IFERROR(aurora_data!P1197,0)</f>
        <v>0</v>
      </c>
      <c r="R77" s="63">
        <f>IFERROR(aurora_data!Q1197,0)</f>
        <v>0</v>
      </c>
      <c r="S77" s="62">
        <f>IFERROR(aurora_data!R1197,0)</f>
        <v>0</v>
      </c>
      <c r="T77" s="62">
        <f>IFERROR(aurora_data!S1197,0)</f>
        <v>0</v>
      </c>
      <c r="U77" s="63">
        <f>IFERROR(aurora_data!T1197,0)</f>
        <v>0</v>
      </c>
      <c r="V77" s="64" t="s">
        <v>95</v>
      </c>
      <c r="W77" s="36">
        <f>IFERROR(aurora_data!U1197,0)</f>
        <v>0</v>
      </c>
      <c r="X77" s="71">
        <f t="shared" ref="X77:X83" si="8">IFERROR(W77/$W$12,0)</f>
        <v>0</v>
      </c>
      <c r="Y77" s="2"/>
    </row>
    <row r="78" spans="1:25" customFormat="1">
      <c r="A78" s="2"/>
      <c r="B78" s="211"/>
      <c r="C78" s="213"/>
      <c r="D78" s="35" t="s">
        <v>60</v>
      </c>
      <c r="E78" s="110">
        <f>IFERROR(aurora_data!D1198,0)</f>
        <v>0</v>
      </c>
      <c r="F78" s="62">
        <f>IFERROR(aurora_data!E1198,0)</f>
        <v>0</v>
      </c>
      <c r="G78" s="62">
        <f>IFERROR(aurora_data!F1198,0)</f>
        <v>0</v>
      </c>
      <c r="H78" s="62">
        <f>IFERROR(aurora_data!G1198,0)</f>
        <v>0</v>
      </c>
      <c r="I78" s="63">
        <f>IFERROR(aurora_data!H1198,0)</f>
        <v>0</v>
      </c>
      <c r="J78" s="36">
        <f>IFERROR(aurora_data!I1198,0)</f>
        <v>0</v>
      </c>
      <c r="K78" s="62">
        <f>IFERROR(aurora_data!J1198,0)</f>
        <v>0</v>
      </c>
      <c r="L78" s="62">
        <f>IFERROR(aurora_data!K1198,0)</f>
        <v>0</v>
      </c>
      <c r="M78" s="62">
        <f>IFERROR(aurora_data!L1198,0)</f>
        <v>0</v>
      </c>
      <c r="N78" s="63">
        <f>IFERROR(aurora_data!M1198,0)</f>
        <v>0</v>
      </c>
      <c r="O78" s="36">
        <f>IFERROR(aurora_data!N1198,0)</f>
        <v>0</v>
      </c>
      <c r="P78" s="62">
        <f>IFERROR(aurora_data!O1198,0)</f>
        <v>0</v>
      </c>
      <c r="Q78" s="62">
        <f>IFERROR(aurora_data!P1198,0)</f>
        <v>0</v>
      </c>
      <c r="R78" s="63">
        <f>IFERROR(aurora_data!Q1198,0)</f>
        <v>0</v>
      </c>
      <c r="S78" s="62">
        <f>IFERROR(aurora_data!R1198,0)</f>
        <v>0</v>
      </c>
      <c r="T78" s="62">
        <f>IFERROR(aurora_data!S1198,0)</f>
        <v>0</v>
      </c>
      <c r="U78" s="63">
        <f>IFERROR(aurora_data!T1198,0)</f>
        <v>0</v>
      </c>
      <c r="V78" s="64" t="s">
        <v>95</v>
      </c>
      <c r="W78" s="36">
        <f>IFERROR(aurora_data!U1198,0)</f>
        <v>0</v>
      </c>
      <c r="X78" s="71">
        <f t="shared" si="8"/>
        <v>0</v>
      </c>
      <c r="Y78" s="2"/>
    </row>
    <row r="79" spans="1:25" customFormat="1">
      <c r="A79" s="2"/>
      <c r="B79" s="211"/>
      <c r="C79" s="213"/>
      <c r="D79" s="35" t="s">
        <v>97</v>
      </c>
      <c r="E79" s="36">
        <f>IFERROR(aurora_data!D1199,0)</f>
        <v>0</v>
      </c>
      <c r="F79" s="62">
        <f>IFERROR(aurora_data!E1199,0)</f>
        <v>0</v>
      </c>
      <c r="G79" s="62">
        <f>IFERROR(aurora_data!F1199,0)</f>
        <v>0</v>
      </c>
      <c r="H79" s="62">
        <f>IFERROR(aurora_data!G1199,0)</f>
        <v>0</v>
      </c>
      <c r="I79" s="63">
        <f>IFERROR(aurora_data!H1199,0)</f>
        <v>0</v>
      </c>
      <c r="J79" s="36">
        <f>IFERROR(aurora_data!I1199,0)</f>
        <v>0</v>
      </c>
      <c r="K79" s="62">
        <f>IFERROR(aurora_data!J1199,0)</f>
        <v>0</v>
      </c>
      <c r="L79" s="62">
        <f>IFERROR(aurora_data!K1199,0)</f>
        <v>0</v>
      </c>
      <c r="M79" s="62">
        <f>IFERROR(aurora_data!L1199,0)</f>
        <v>0</v>
      </c>
      <c r="N79" s="63">
        <f>IFERROR(aurora_data!M1199,0)</f>
        <v>0</v>
      </c>
      <c r="O79" s="36">
        <f>IFERROR(aurora_data!N1199,0)</f>
        <v>0</v>
      </c>
      <c r="P79" s="62">
        <f>IFERROR(aurora_data!O1199,0)</f>
        <v>0</v>
      </c>
      <c r="Q79" s="62">
        <f>IFERROR(aurora_data!P1199,0)</f>
        <v>0</v>
      </c>
      <c r="R79" s="63">
        <f>IFERROR(aurora_data!Q1199,0)</f>
        <v>0</v>
      </c>
      <c r="S79" s="62">
        <f>IFERROR(aurora_data!R1199,0)</f>
        <v>0</v>
      </c>
      <c r="T79" s="62">
        <f>IFERROR(aurora_data!S1199,0)</f>
        <v>0</v>
      </c>
      <c r="U79" s="63">
        <f>IFERROR(aurora_data!T1199,0)</f>
        <v>0</v>
      </c>
      <c r="V79" s="64" t="s">
        <v>95</v>
      </c>
      <c r="W79" s="36">
        <f>IFERROR(aurora_data!U1199,0)</f>
        <v>0</v>
      </c>
      <c r="X79" s="71">
        <f t="shared" si="8"/>
        <v>0</v>
      </c>
      <c r="Y79" s="2"/>
    </row>
    <row r="80" spans="1:25" customFormat="1">
      <c r="A80" s="2"/>
      <c r="B80" s="211"/>
      <c r="C80" s="213"/>
      <c r="D80" s="35" t="s">
        <v>98</v>
      </c>
      <c r="E80" s="36">
        <f>IFERROR(aurora_data!D1200,0)</f>
        <v>0</v>
      </c>
      <c r="F80" s="62">
        <f>IFERROR(aurora_data!E1200,0)</f>
        <v>0</v>
      </c>
      <c r="G80" s="62">
        <f>IFERROR(aurora_data!F1200,0)</f>
        <v>0</v>
      </c>
      <c r="H80" s="62">
        <f>IFERROR(aurora_data!G1200,0)</f>
        <v>0</v>
      </c>
      <c r="I80" s="63">
        <f>IFERROR(aurora_data!H1200,0)</f>
        <v>0</v>
      </c>
      <c r="J80" s="36">
        <f>IFERROR(aurora_data!I1200,0)</f>
        <v>0</v>
      </c>
      <c r="K80" s="62">
        <f>IFERROR(aurora_data!J1200,0)</f>
        <v>0</v>
      </c>
      <c r="L80" s="62">
        <f>IFERROR(aurora_data!K1200,0)</f>
        <v>0</v>
      </c>
      <c r="M80" s="62">
        <f>IFERROR(aurora_data!L1200,0)</f>
        <v>0</v>
      </c>
      <c r="N80" s="63">
        <f>IFERROR(aurora_data!M1200,0)</f>
        <v>0</v>
      </c>
      <c r="O80" s="36">
        <f>IFERROR(aurora_data!N1200,0)</f>
        <v>0</v>
      </c>
      <c r="P80" s="62">
        <f>IFERROR(aurora_data!O1200,0)</f>
        <v>0</v>
      </c>
      <c r="Q80" s="62">
        <f>IFERROR(aurora_data!P1200,0)</f>
        <v>0</v>
      </c>
      <c r="R80" s="63">
        <f>IFERROR(aurora_data!Q1200,0)</f>
        <v>0</v>
      </c>
      <c r="S80" s="62">
        <f>IFERROR(aurora_data!R1200,0)</f>
        <v>0</v>
      </c>
      <c r="T80" s="62">
        <f>IFERROR(aurora_data!S1200,0)</f>
        <v>0</v>
      </c>
      <c r="U80" s="63">
        <f>IFERROR(aurora_data!T1200,0)</f>
        <v>0</v>
      </c>
      <c r="V80" s="64" t="s">
        <v>95</v>
      </c>
      <c r="W80" s="36">
        <f>IFERROR(aurora_data!U1200,0)</f>
        <v>0</v>
      </c>
      <c r="X80" s="71">
        <f t="shared" si="8"/>
        <v>0</v>
      </c>
      <c r="Y80" s="2"/>
    </row>
    <row r="81" spans="1:25" customFormat="1" ht="16.5" thickBot="1">
      <c r="A81" s="2"/>
      <c r="B81" s="211"/>
      <c r="C81" s="213"/>
      <c r="D81" s="35" t="s">
        <v>99</v>
      </c>
      <c r="E81" s="36">
        <f>IFERROR(aurora_data!D1201,0)</f>
        <v>0</v>
      </c>
      <c r="F81" s="62">
        <f>IFERROR(aurora_data!E1201,0)</f>
        <v>0</v>
      </c>
      <c r="G81" s="62">
        <f>IFERROR(aurora_data!F1201,0)</f>
        <v>0</v>
      </c>
      <c r="H81" s="62">
        <f>IFERROR(aurora_data!G1201,0)</f>
        <v>0</v>
      </c>
      <c r="I81" s="63">
        <f>IFERROR(aurora_data!H1201,0)</f>
        <v>0</v>
      </c>
      <c r="J81" s="36">
        <f>IFERROR(aurora_data!I1201,0)</f>
        <v>0</v>
      </c>
      <c r="K81" s="62">
        <f>IFERROR(aurora_data!J1201,0)</f>
        <v>0</v>
      </c>
      <c r="L81" s="62">
        <f>IFERROR(aurora_data!K1201,0)</f>
        <v>0</v>
      </c>
      <c r="M81" s="62">
        <f>IFERROR(aurora_data!L1201,0)</f>
        <v>0</v>
      </c>
      <c r="N81" s="63">
        <f>IFERROR(aurora_data!M1201,0)</f>
        <v>0</v>
      </c>
      <c r="O81" s="36">
        <f>IFERROR(aurora_data!N1201,0)</f>
        <v>0</v>
      </c>
      <c r="P81" s="62">
        <f>IFERROR(aurora_data!O1201,0)</f>
        <v>0</v>
      </c>
      <c r="Q81" s="62">
        <f>IFERROR(aurora_data!P1201,0)</f>
        <v>0</v>
      </c>
      <c r="R81" s="63">
        <f>IFERROR(aurora_data!Q1201,0)</f>
        <v>0</v>
      </c>
      <c r="S81" s="62">
        <f>IFERROR(aurora_data!R1201,0)</f>
        <v>0</v>
      </c>
      <c r="T81" s="62">
        <f>IFERROR(aurora_data!S1201,0)</f>
        <v>0</v>
      </c>
      <c r="U81" s="63">
        <f>IFERROR(aurora_data!T1201,0)</f>
        <v>0</v>
      </c>
      <c r="V81" s="64" t="s">
        <v>95</v>
      </c>
      <c r="W81" s="36">
        <f>IFERROR(aurora_data!U1201,0)</f>
        <v>0</v>
      </c>
      <c r="X81" s="71">
        <f t="shared" si="8"/>
        <v>0</v>
      </c>
      <c r="Y81" s="2"/>
    </row>
    <row r="82" spans="1:25" customFormat="1" ht="16.5" thickBot="1">
      <c r="A82" s="2"/>
      <c r="B82" s="211"/>
      <c r="C82" s="213"/>
      <c r="D82" s="37" t="s">
        <v>64</v>
      </c>
      <c r="E82" s="59">
        <f>IFERROR(aurora_data!D1202,0)</f>
        <v>0</v>
      </c>
      <c r="F82" s="65">
        <f>IFERROR(aurora_data!E1202,0)</f>
        <v>0</v>
      </c>
      <c r="G82" s="65">
        <f>IFERROR(aurora_data!F1202,0)</f>
        <v>0</v>
      </c>
      <c r="H82" s="65">
        <f>IFERROR(aurora_data!G1202,0)</f>
        <v>0</v>
      </c>
      <c r="I82" s="66">
        <f>IFERROR(aurora_data!H1202,0)</f>
        <v>0</v>
      </c>
      <c r="J82" s="59">
        <f>IFERROR(aurora_data!I1202,0)</f>
        <v>0</v>
      </c>
      <c r="K82" s="65">
        <f>IFERROR(aurora_data!J1202,0)</f>
        <v>0</v>
      </c>
      <c r="L82" s="65">
        <f>IFERROR(aurora_data!K1202,0)</f>
        <v>0</v>
      </c>
      <c r="M82" s="65">
        <f>IFERROR(aurora_data!L1202,0)</f>
        <v>0</v>
      </c>
      <c r="N82" s="66">
        <f>IFERROR(aurora_data!M1202,0)</f>
        <v>0</v>
      </c>
      <c r="O82" s="59">
        <f>IFERROR(aurora_data!N1202,0)</f>
        <v>0</v>
      </c>
      <c r="P82" s="65">
        <f>IFERROR(aurora_data!O1202,0)</f>
        <v>0</v>
      </c>
      <c r="Q82" s="65">
        <f>IFERROR(aurora_data!P1202,0)</f>
        <v>0</v>
      </c>
      <c r="R82" s="66">
        <f>IFERROR(aurora_data!Q1202,0)</f>
        <v>0</v>
      </c>
      <c r="S82" s="65">
        <f>IFERROR(aurora_data!R1202,0)</f>
        <v>0</v>
      </c>
      <c r="T82" s="65">
        <f>IFERROR(aurora_data!S1202,0)</f>
        <v>0</v>
      </c>
      <c r="U82" s="66">
        <f>IFERROR(aurora_data!T1202,0)</f>
        <v>0</v>
      </c>
      <c r="V82" s="67" t="s">
        <v>95</v>
      </c>
      <c r="W82" s="59">
        <f>IFERROR(aurora_data!U1202,0)</f>
        <v>0</v>
      </c>
      <c r="X82" s="72">
        <f t="shared" si="8"/>
        <v>0</v>
      </c>
      <c r="Y82" s="2"/>
    </row>
    <row r="83" spans="1:25" customFormat="1" ht="16.5" thickBot="1">
      <c r="A83" s="2"/>
      <c r="B83" s="211"/>
      <c r="C83" s="213"/>
      <c r="D83" s="38" t="s">
        <v>100</v>
      </c>
      <c r="E83" s="60">
        <f>IFERROR(aurora_data!D1203,0)</f>
        <v>0</v>
      </c>
      <c r="F83" s="68">
        <f>IFERROR(aurora_data!E1203,0)</f>
        <v>0</v>
      </c>
      <c r="G83" s="68">
        <f>IFERROR(aurora_data!F1203,0)</f>
        <v>0</v>
      </c>
      <c r="H83" s="68">
        <f>IFERROR(aurora_data!G1203,0)</f>
        <v>0</v>
      </c>
      <c r="I83" s="69">
        <f>IFERROR(aurora_data!H1203,0)</f>
        <v>0</v>
      </c>
      <c r="J83" s="60">
        <f>IFERROR(aurora_data!I1203,0)</f>
        <v>0</v>
      </c>
      <c r="K83" s="68">
        <f>IFERROR(aurora_data!J1203,0)</f>
        <v>0</v>
      </c>
      <c r="L83" s="68">
        <f>IFERROR(aurora_data!K1203,0)</f>
        <v>0</v>
      </c>
      <c r="M83" s="68">
        <f>IFERROR(aurora_data!L1203,0)</f>
        <v>0</v>
      </c>
      <c r="N83" s="69">
        <f>IFERROR(aurora_data!M1203,0)</f>
        <v>0</v>
      </c>
      <c r="O83" s="60">
        <f>IFERROR(aurora_data!N1203,0)</f>
        <v>0</v>
      </c>
      <c r="P83" s="68">
        <f>IFERROR(aurora_data!O1203,0)</f>
        <v>0</v>
      </c>
      <c r="Q83" s="68">
        <f>IFERROR(aurora_data!P1203,0)</f>
        <v>0</v>
      </c>
      <c r="R83" s="69">
        <f>IFERROR(aurora_data!Q1203,0)</f>
        <v>0</v>
      </c>
      <c r="S83" s="68">
        <f>IFERROR(aurora_data!R1203,0)</f>
        <v>0</v>
      </c>
      <c r="T83" s="68">
        <f>IFERROR(aurora_data!S1203,0)</f>
        <v>0</v>
      </c>
      <c r="U83" s="74">
        <f>IFERROR(aurora_data!T1203,0)</f>
        <v>0</v>
      </c>
      <c r="V83" s="75" t="s">
        <v>95</v>
      </c>
      <c r="W83" s="60">
        <f>IFERROR(aurora_data!U1203,0)</f>
        <v>0</v>
      </c>
      <c r="X83" s="73">
        <f t="shared" si="8"/>
        <v>0</v>
      </c>
      <c r="Y83" s="2"/>
    </row>
    <row r="84" spans="1:25" customFormat="1">
      <c r="A84" s="2"/>
      <c r="B84" s="210" t="s">
        <v>94</v>
      </c>
      <c r="C84" s="212" t="str">
        <f>aurora_data!A1204</f>
        <v>15.00.00-15.11.30</v>
      </c>
      <c r="D84" s="34" t="s">
        <v>71</v>
      </c>
      <c r="E84" s="39">
        <f>IFERROR(aurora_data!D1204,0)</f>
        <v>0</v>
      </c>
      <c r="F84" s="40">
        <f>IFERROR(aurora_data!E1204,0)</f>
        <v>0</v>
      </c>
      <c r="G84" s="40">
        <f>IFERROR(aurora_data!F1204,0)</f>
        <v>0</v>
      </c>
      <c r="H84" s="40">
        <f>IFERROR(aurora_data!G1204,0)</f>
        <v>0</v>
      </c>
      <c r="I84" s="41">
        <f>IFERROR(aurora_data!H1204,0)</f>
        <v>0</v>
      </c>
      <c r="J84" s="39">
        <f>IFERROR(aurora_data!I1204,0)</f>
        <v>0</v>
      </c>
      <c r="K84" s="40">
        <f>IFERROR(aurora_data!J1204,0)</f>
        <v>0</v>
      </c>
      <c r="L84" s="40">
        <f>IFERROR(aurora_data!K1204,0)</f>
        <v>0</v>
      </c>
      <c r="M84" s="40">
        <f>IFERROR(aurora_data!L1204,0)</f>
        <v>0</v>
      </c>
      <c r="N84" s="41">
        <f>IFERROR(aurora_data!M1204,0)</f>
        <v>0</v>
      </c>
      <c r="O84" s="39">
        <f>IFERROR(aurora_data!N1204,0)</f>
        <v>0</v>
      </c>
      <c r="P84" s="40">
        <f>IFERROR(aurora_data!O1204,0)</f>
        <v>0</v>
      </c>
      <c r="Q84" s="40">
        <f>IFERROR(aurora_data!P1204,0)</f>
        <v>0</v>
      </c>
      <c r="R84" s="41">
        <f>IFERROR(aurora_data!Q1204,0)</f>
        <v>0</v>
      </c>
      <c r="S84" s="40">
        <f>IFERROR(aurora_data!R1204,0)</f>
        <v>0</v>
      </c>
      <c r="T84" s="40">
        <f>IFERROR(aurora_data!S1204,0)</f>
        <v>0</v>
      </c>
      <c r="U84" s="76">
        <f>IFERROR(aurora_data!T1204,0)</f>
        <v>0</v>
      </c>
      <c r="V84" s="61" t="s">
        <v>95</v>
      </c>
      <c r="W84" s="39">
        <f>IFERROR(aurora_data!U1204,0)</f>
        <v>5</v>
      </c>
      <c r="X84" s="70">
        <f>IFERROR(W84/$W$12,0)</f>
        <v>1</v>
      </c>
      <c r="Y84" s="2"/>
    </row>
    <row r="85" spans="1:25" customFormat="1">
      <c r="A85" s="2"/>
      <c r="B85" s="211"/>
      <c r="C85" s="213"/>
      <c r="D85" s="35" t="s">
        <v>96</v>
      </c>
      <c r="E85" s="110">
        <f>IFERROR(aurora_data!D1205,0)</f>
        <v>0</v>
      </c>
      <c r="F85" s="62">
        <f>IFERROR(aurora_data!E1205,0)</f>
        <v>0</v>
      </c>
      <c r="G85" s="62">
        <f>IFERROR(aurora_data!F1205,0)</f>
        <v>0</v>
      </c>
      <c r="H85" s="62">
        <f>IFERROR(aurora_data!G1205,0)</f>
        <v>0</v>
      </c>
      <c r="I85" s="63">
        <f>IFERROR(aurora_data!H1205,0)</f>
        <v>0</v>
      </c>
      <c r="J85" s="36">
        <f>IFERROR(aurora_data!I1205,0)</f>
        <v>0</v>
      </c>
      <c r="K85" s="62">
        <f>IFERROR(aurora_data!J1205,0)</f>
        <v>0</v>
      </c>
      <c r="L85" s="62">
        <f>IFERROR(aurora_data!K1205,0)</f>
        <v>0</v>
      </c>
      <c r="M85" s="62">
        <f>IFERROR(aurora_data!L1205,0)</f>
        <v>0</v>
      </c>
      <c r="N85" s="63">
        <f>IFERROR(aurora_data!M1205,0)</f>
        <v>0</v>
      </c>
      <c r="O85" s="36">
        <f>IFERROR(aurora_data!N1205,0)</f>
        <v>0</v>
      </c>
      <c r="P85" s="62">
        <f>IFERROR(aurora_data!O1205,0)</f>
        <v>0</v>
      </c>
      <c r="Q85" s="62">
        <f>IFERROR(aurora_data!P1205,0)</f>
        <v>0</v>
      </c>
      <c r="R85" s="63">
        <f>IFERROR(aurora_data!Q1205,0)</f>
        <v>0</v>
      </c>
      <c r="S85" s="62">
        <f>IFERROR(aurora_data!R1205,0)</f>
        <v>0</v>
      </c>
      <c r="T85" s="62">
        <f>IFERROR(aurora_data!S1205,0)</f>
        <v>0</v>
      </c>
      <c r="U85" s="63">
        <f>IFERROR(aurora_data!T1205,0)</f>
        <v>0</v>
      </c>
      <c r="V85" s="64" t="s">
        <v>95</v>
      </c>
      <c r="W85" s="36">
        <f>IFERROR(aurora_data!U1205,0)</f>
        <v>0</v>
      </c>
      <c r="X85" s="71">
        <f t="shared" ref="X85:X91" si="9">IFERROR(W85/$W$12,0)</f>
        <v>0</v>
      </c>
      <c r="Y85" s="2"/>
    </row>
    <row r="86" spans="1:25" customFormat="1">
      <c r="A86" s="2"/>
      <c r="B86" s="211"/>
      <c r="C86" s="213"/>
      <c r="D86" s="35" t="s">
        <v>60</v>
      </c>
      <c r="E86" s="110">
        <f>IFERROR(aurora_data!D1206,0)</f>
        <v>0</v>
      </c>
      <c r="F86" s="62">
        <f>IFERROR(aurora_data!E1206,0)</f>
        <v>0</v>
      </c>
      <c r="G86" s="62">
        <f>IFERROR(aurora_data!F1206,0)</f>
        <v>0</v>
      </c>
      <c r="H86" s="62">
        <f>IFERROR(aurora_data!G1206,0)</f>
        <v>0</v>
      </c>
      <c r="I86" s="63">
        <f>IFERROR(aurora_data!H1206,0)</f>
        <v>0</v>
      </c>
      <c r="J86" s="36">
        <f>IFERROR(aurora_data!I1206,0)</f>
        <v>0</v>
      </c>
      <c r="K86" s="62">
        <f>IFERROR(aurora_data!J1206,0)</f>
        <v>0</v>
      </c>
      <c r="L86" s="62">
        <f>IFERROR(aurora_data!K1206,0)</f>
        <v>0</v>
      </c>
      <c r="M86" s="62">
        <f>IFERROR(aurora_data!L1206,0)</f>
        <v>0</v>
      </c>
      <c r="N86" s="63">
        <f>IFERROR(aurora_data!M1206,0)</f>
        <v>0</v>
      </c>
      <c r="O86" s="36">
        <f>IFERROR(aurora_data!N1206,0)</f>
        <v>0</v>
      </c>
      <c r="P86" s="62">
        <f>IFERROR(aurora_data!O1206,0)</f>
        <v>0</v>
      </c>
      <c r="Q86" s="62">
        <f>IFERROR(aurora_data!P1206,0)</f>
        <v>0</v>
      </c>
      <c r="R86" s="63">
        <f>IFERROR(aurora_data!Q1206,0)</f>
        <v>0</v>
      </c>
      <c r="S86" s="62">
        <f>IFERROR(aurora_data!R1206,0)</f>
        <v>0</v>
      </c>
      <c r="T86" s="62">
        <f>IFERROR(aurora_data!S1206,0)</f>
        <v>0</v>
      </c>
      <c r="U86" s="63">
        <f>IFERROR(aurora_data!T1206,0)</f>
        <v>0</v>
      </c>
      <c r="V86" s="64" t="s">
        <v>95</v>
      </c>
      <c r="W86" s="36">
        <f>IFERROR(aurora_data!U1206,0)</f>
        <v>0</v>
      </c>
      <c r="X86" s="71">
        <f t="shared" si="9"/>
        <v>0</v>
      </c>
      <c r="Y86" s="2"/>
    </row>
    <row r="87" spans="1:25" customFormat="1">
      <c r="A87" s="2"/>
      <c r="B87" s="211"/>
      <c r="C87" s="213"/>
      <c r="D87" s="35" t="s">
        <v>97</v>
      </c>
      <c r="E87" s="36">
        <f>IFERROR(aurora_data!D1207,0)</f>
        <v>0</v>
      </c>
      <c r="F87" s="62">
        <f>IFERROR(aurora_data!E1207,0)</f>
        <v>0</v>
      </c>
      <c r="G87" s="62">
        <f>IFERROR(aurora_data!F1207,0)</f>
        <v>0</v>
      </c>
      <c r="H87" s="62">
        <f>IFERROR(aurora_data!G1207,0)</f>
        <v>0</v>
      </c>
      <c r="I87" s="63">
        <f>IFERROR(aurora_data!H1207,0)</f>
        <v>0</v>
      </c>
      <c r="J87" s="36">
        <f>IFERROR(aurora_data!I1207,0)</f>
        <v>0</v>
      </c>
      <c r="K87" s="62">
        <f>IFERROR(aurora_data!J1207,0)</f>
        <v>0</v>
      </c>
      <c r="L87" s="62">
        <f>IFERROR(aurora_data!K1207,0)</f>
        <v>0</v>
      </c>
      <c r="M87" s="62">
        <f>IFERROR(aurora_data!L1207,0)</f>
        <v>0</v>
      </c>
      <c r="N87" s="63">
        <f>IFERROR(aurora_data!M1207,0)</f>
        <v>0</v>
      </c>
      <c r="O87" s="36">
        <f>IFERROR(aurora_data!N1207,0)</f>
        <v>0</v>
      </c>
      <c r="P87" s="62">
        <f>IFERROR(aurora_data!O1207,0)</f>
        <v>0</v>
      </c>
      <c r="Q87" s="62">
        <f>IFERROR(aurora_data!P1207,0)</f>
        <v>0</v>
      </c>
      <c r="R87" s="63">
        <f>IFERROR(aurora_data!Q1207,0)</f>
        <v>0</v>
      </c>
      <c r="S87" s="62">
        <f>IFERROR(aurora_data!R1207,0)</f>
        <v>0</v>
      </c>
      <c r="T87" s="62">
        <f>IFERROR(aurora_data!S1207,0)</f>
        <v>0</v>
      </c>
      <c r="U87" s="63">
        <f>IFERROR(aurora_data!T1207,0)</f>
        <v>0</v>
      </c>
      <c r="V87" s="64" t="s">
        <v>95</v>
      </c>
      <c r="W87" s="36">
        <f>IFERROR(aurora_data!U1207,0)</f>
        <v>0</v>
      </c>
      <c r="X87" s="71">
        <f t="shared" si="9"/>
        <v>0</v>
      </c>
      <c r="Y87" s="2"/>
    </row>
    <row r="88" spans="1:25" customFormat="1">
      <c r="A88" s="2"/>
      <c r="B88" s="211"/>
      <c r="C88" s="213"/>
      <c r="D88" s="35" t="s">
        <v>98</v>
      </c>
      <c r="E88" s="36">
        <f>IFERROR(aurora_data!D1208,0)</f>
        <v>0</v>
      </c>
      <c r="F88" s="62">
        <f>IFERROR(aurora_data!E1208,0)</f>
        <v>0</v>
      </c>
      <c r="G88" s="62">
        <f>IFERROR(aurora_data!F1208,0)</f>
        <v>0</v>
      </c>
      <c r="H88" s="62">
        <f>IFERROR(aurora_data!G1208,0)</f>
        <v>0</v>
      </c>
      <c r="I88" s="63">
        <f>IFERROR(aurora_data!H1208,0)</f>
        <v>0</v>
      </c>
      <c r="J88" s="36">
        <f>IFERROR(aurora_data!I1208,0)</f>
        <v>0</v>
      </c>
      <c r="K88" s="62">
        <f>IFERROR(aurora_data!J1208,0)</f>
        <v>0</v>
      </c>
      <c r="L88" s="62">
        <f>IFERROR(aurora_data!K1208,0)</f>
        <v>0</v>
      </c>
      <c r="M88" s="62">
        <f>IFERROR(aurora_data!L1208,0)</f>
        <v>0</v>
      </c>
      <c r="N88" s="63">
        <f>IFERROR(aurora_data!M1208,0)</f>
        <v>0</v>
      </c>
      <c r="O88" s="36">
        <f>IFERROR(aurora_data!N1208,0)</f>
        <v>0</v>
      </c>
      <c r="P88" s="62">
        <f>IFERROR(aurora_data!O1208,0)</f>
        <v>0</v>
      </c>
      <c r="Q88" s="62">
        <f>IFERROR(aurora_data!P1208,0)</f>
        <v>0</v>
      </c>
      <c r="R88" s="63">
        <f>IFERROR(aurora_data!Q1208,0)</f>
        <v>0</v>
      </c>
      <c r="S88" s="62">
        <f>IFERROR(aurora_data!R1208,0)</f>
        <v>0</v>
      </c>
      <c r="T88" s="62">
        <f>IFERROR(aurora_data!S1208,0)</f>
        <v>0</v>
      </c>
      <c r="U88" s="63">
        <f>IFERROR(aurora_data!T1208,0)</f>
        <v>0</v>
      </c>
      <c r="V88" s="64" t="s">
        <v>95</v>
      </c>
      <c r="W88" s="36">
        <f>IFERROR(aurora_data!U1208,0)</f>
        <v>0</v>
      </c>
      <c r="X88" s="71">
        <f t="shared" si="9"/>
        <v>0</v>
      </c>
      <c r="Y88" s="2"/>
    </row>
    <row r="89" spans="1:25" customFormat="1" ht="16.5" thickBot="1">
      <c r="A89" s="2"/>
      <c r="B89" s="211"/>
      <c r="C89" s="213"/>
      <c r="D89" s="35" t="s">
        <v>99</v>
      </c>
      <c r="E89" s="36">
        <f>IFERROR(aurora_data!D1209,0)</f>
        <v>0</v>
      </c>
      <c r="F89" s="62">
        <f>IFERROR(aurora_data!E1209,0)</f>
        <v>0</v>
      </c>
      <c r="G89" s="62">
        <f>IFERROR(aurora_data!F1209,0)</f>
        <v>0</v>
      </c>
      <c r="H89" s="62">
        <f>IFERROR(aurora_data!G1209,0)</f>
        <v>0</v>
      </c>
      <c r="I89" s="63">
        <f>IFERROR(aurora_data!H1209,0)</f>
        <v>0</v>
      </c>
      <c r="J89" s="36">
        <f>IFERROR(aurora_data!I1209,0)</f>
        <v>0</v>
      </c>
      <c r="K89" s="62">
        <f>IFERROR(aurora_data!J1209,0)</f>
        <v>0</v>
      </c>
      <c r="L89" s="62">
        <f>IFERROR(aurora_data!K1209,0)</f>
        <v>0</v>
      </c>
      <c r="M89" s="62">
        <f>IFERROR(aurora_data!L1209,0)</f>
        <v>0</v>
      </c>
      <c r="N89" s="63">
        <f>IFERROR(aurora_data!M1209,0)</f>
        <v>0</v>
      </c>
      <c r="O89" s="36">
        <f>IFERROR(aurora_data!N1209,0)</f>
        <v>0</v>
      </c>
      <c r="P89" s="62">
        <f>IFERROR(aurora_data!O1209,0)</f>
        <v>0</v>
      </c>
      <c r="Q89" s="62">
        <f>IFERROR(aurora_data!P1209,0)</f>
        <v>0</v>
      </c>
      <c r="R89" s="63">
        <f>IFERROR(aurora_data!Q1209,0)</f>
        <v>0</v>
      </c>
      <c r="S89" s="62">
        <f>IFERROR(aurora_data!R1209,0)</f>
        <v>0</v>
      </c>
      <c r="T89" s="62">
        <f>IFERROR(aurora_data!S1209,0)</f>
        <v>0</v>
      </c>
      <c r="U89" s="63">
        <f>IFERROR(aurora_data!T1209,0)</f>
        <v>0</v>
      </c>
      <c r="V89" s="64" t="s">
        <v>95</v>
      </c>
      <c r="W89" s="36">
        <f>IFERROR(aurora_data!U1209,0)</f>
        <v>0</v>
      </c>
      <c r="X89" s="71">
        <f t="shared" si="9"/>
        <v>0</v>
      </c>
      <c r="Y89" s="2"/>
    </row>
    <row r="90" spans="1:25" customFormat="1" ht="16.5" thickBot="1">
      <c r="A90" s="2"/>
      <c r="B90" s="211"/>
      <c r="C90" s="213"/>
      <c r="D90" s="37" t="s">
        <v>64</v>
      </c>
      <c r="E90" s="59">
        <f>IFERROR(aurora_data!D1210,0)</f>
        <v>0</v>
      </c>
      <c r="F90" s="65">
        <f>IFERROR(aurora_data!E1210,0)</f>
        <v>0</v>
      </c>
      <c r="G90" s="65">
        <f>IFERROR(aurora_data!F1210,0)</f>
        <v>0</v>
      </c>
      <c r="H90" s="65">
        <f>IFERROR(aurora_data!G1210,0)</f>
        <v>0</v>
      </c>
      <c r="I90" s="66">
        <f>IFERROR(aurora_data!H1210,0)</f>
        <v>0</v>
      </c>
      <c r="J90" s="59">
        <f>IFERROR(aurora_data!I1210,0)</f>
        <v>0</v>
      </c>
      <c r="K90" s="65">
        <f>IFERROR(aurora_data!J1210,0)</f>
        <v>0</v>
      </c>
      <c r="L90" s="65">
        <f>IFERROR(aurora_data!K1210,0)</f>
        <v>0</v>
      </c>
      <c r="M90" s="65">
        <f>IFERROR(aurora_data!L1210,0)</f>
        <v>0</v>
      </c>
      <c r="N90" s="66">
        <f>IFERROR(aurora_data!M1210,0)</f>
        <v>0</v>
      </c>
      <c r="O90" s="59">
        <f>IFERROR(aurora_data!N1210,0)</f>
        <v>0</v>
      </c>
      <c r="P90" s="65">
        <f>IFERROR(aurora_data!O1210,0)</f>
        <v>0</v>
      </c>
      <c r="Q90" s="65">
        <f>IFERROR(aurora_data!P1210,0)</f>
        <v>0</v>
      </c>
      <c r="R90" s="66">
        <f>IFERROR(aurora_data!Q1210,0)</f>
        <v>0</v>
      </c>
      <c r="S90" s="65">
        <f>IFERROR(aurora_data!R1210,0)</f>
        <v>0</v>
      </c>
      <c r="T90" s="65">
        <f>IFERROR(aurora_data!S1210,0)</f>
        <v>0</v>
      </c>
      <c r="U90" s="66">
        <f>IFERROR(aurora_data!T1210,0)</f>
        <v>0</v>
      </c>
      <c r="V90" s="67" t="s">
        <v>95</v>
      </c>
      <c r="W90" s="59">
        <f>IFERROR(aurora_data!U1210,0)</f>
        <v>0</v>
      </c>
      <c r="X90" s="72">
        <f t="shared" si="9"/>
        <v>0</v>
      </c>
      <c r="Y90" s="2"/>
    </row>
    <row r="91" spans="1:25" customFormat="1" ht="16.5" thickBot="1">
      <c r="A91" s="2"/>
      <c r="B91" s="211"/>
      <c r="C91" s="213"/>
      <c r="D91" s="38" t="s">
        <v>100</v>
      </c>
      <c r="E91" s="60">
        <f>IFERROR(aurora_data!D1211,0)</f>
        <v>0</v>
      </c>
      <c r="F91" s="68">
        <f>IFERROR(aurora_data!E1211,0)</f>
        <v>0</v>
      </c>
      <c r="G91" s="68">
        <f>IFERROR(aurora_data!F1211,0)</f>
        <v>0</v>
      </c>
      <c r="H91" s="68">
        <f>IFERROR(aurora_data!G1211,0)</f>
        <v>0</v>
      </c>
      <c r="I91" s="69">
        <f>IFERROR(aurora_data!H1211,0)</f>
        <v>0</v>
      </c>
      <c r="J91" s="60">
        <f>IFERROR(aurora_data!I1211,0)</f>
        <v>0</v>
      </c>
      <c r="K91" s="68">
        <f>IFERROR(aurora_data!J1211,0)</f>
        <v>0</v>
      </c>
      <c r="L91" s="68">
        <f>IFERROR(aurora_data!K1211,0)</f>
        <v>0</v>
      </c>
      <c r="M91" s="68">
        <f>IFERROR(aurora_data!L1211,0)</f>
        <v>0</v>
      </c>
      <c r="N91" s="69">
        <f>IFERROR(aurora_data!M1211,0)</f>
        <v>0</v>
      </c>
      <c r="O91" s="60">
        <f>IFERROR(aurora_data!N1211,0)</f>
        <v>0</v>
      </c>
      <c r="P91" s="68">
        <f>IFERROR(aurora_data!O1211,0)</f>
        <v>0</v>
      </c>
      <c r="Q91" s="68">
        <f>IFERROR(aurora_data!P1211,0)</f>
        <v>0</v>
      </c>
      <c r="R91" s="69">
        <f>IFERROR(aurora_data!Q1211,0)</f>
        <v>0</v>
      </c>
      <c r="S91" s="68">
        <f>IFERROR(aurora_data!R1211,0)</f>
        <v>0</v>
      </c>
      <c r="T91" s="68">
        <f>IFERROR(aurora_data!S1211,0)</f>
        <v>0</v>
      </c>
      <c r="U91" s="74">
        <f>IFERROR(aurora_data!T1211,0)</f>
        <v>0</v>
      </c>
      <c r="V91" s="75" t="s">
        <v>95</v>
      </c>
      <c r="W91" s="60">
        <f>IFERROR(aurora_data!U1211,0)</f>
        <v>0</v>
      </c>
      <c r="X91" s="73">
        <f t="shared" si="9"/>
        <v>0</v>
      </c>
      <c r="Y91" s="2"/>
    </row>
    <row r="92" spans="1:25" customFormat="1">
      <c r="A92" s="2"/>
      <c r="B92" s="210" t="s">
        <v>94</v>
      </c>
      <c r="C92" s="212" t="str">
        <f>aurora_data!A1212</f>
        <v>16.00.00-16.11.30</v>
      </c>
      <c r="D92" s="34" t="s">
        <v>71</v>
      </c>
      <c r="E92" s="39">
        <f>IFERROR(aurora_data!D1212,0)</f>
        <v>0</v>
      </c>
      <c r="F92" s="40">
        <f>IFERROR(aurora_data!E1212,0)</f>
        <v>0</v>
      </c>
      <c r="G92" s="40">
        <f>IFERROR(aurora_data!F1212,0)</f>
        <v>0</v>
      </c>
      <c r="H92" s="40">
        <f>IFERROR(aurora_data!G1212,0)</f>
        <v>0</v>
      </c>
      <c r="I92" s="41">
        <f>IFERROR(aurora_data!H1212,0)</f>
        <v>0</v>
      </c>
      <c r="J92" s="39">
        <f>IFERROR(aurora_data!I1212,0)</f>
        <v>0</v>
      </c>
      <c r="K92" s="40">
        <f>IFERROR(aurora_data!J1212,0)</f>
        <v>0</v>
      </c>
      <c r="L92" s="40">
        <f>IFERROR(aurora_data!K1212,0)</f>
        <v>0</v>
      </c>
      <c r="M92" s="40">
        <f>IFERROR(aurora_data!L1212,0)</f>
        <v>0</v>
      </c>
      <c r="N92" s="41">
        <f>IFERROR(aurora_data!M1212,0)</f>
        <v>0</v>
      </c>
      <c r="O92" s="39">
        <f>IFERROR(aurora_data!N1212,0)</f>
        <v>0</v>
      </c>
      <c r="P92" s="40">
        <f>IFERROR(aurora_data!O1212,0)</f>
        <v>0</v>
      </c>
      <c r="Q92" s="40">
        <f>IFERROR(aurora_data!P1212,0)</f>
        <v>0</v>
      </c>
      <c r="R92" s="41">
        <f>IFERROR(aurora_data!Q1212,0)</f>
        <v>0</v>
      </c>
      <c r="S92" s="40">
        <f>IFERROR(aurora_data!R1212,0)</f>
        <v>0</v>
      </c>
      <c r="T92" s="40">
        <f>IFERROR(aurora_data!S1212,0)</f>
        <v>0</v>
      </c>
      <c r="U92" s="76">
        <f>IFERROR(aurora_data!T1212,0)</f>
        <v>0</v>
      </c>
      <c r="V92" s="61" t="s">
        <v>95</v>
      </c>
      <c r="W92" s="39">
        <f>IFERROR(aurora_data!U1212,0)</f>
        <v>4</v>
      </c>
      <c r="X92" s="70">
        <f>IFERROR(W92/$W$12,0)</f>
        <v>0.8</v>
      </c>
      <c r="Y92" s="2"/>
    </row>
    <row r="93" spans="1:25" customFormat="1">
      <c r="A93" s="2"/>
      <c r="B93" s="211"/>
      <c r="C93" s="213"/>
      <c r="D93" s="35" t="s">
        <v>96</v>
      </c>
      <c r="E93" s="110">
        <f>IFERROR(aurora_data!D1213,0)</f>
        <v>0</v>
      </c>
      <c r="F93" s="62">
        <f>IFERROR(aurora_data!E1213,0)</f>
        <v>0</v>
      </c>
      <c r="G93" s="62">
        <f>IFERROR(aurora_data!F1213,0)</f>
        <v>0</v>
      </c>
      <c r="H93" s="62">
        <f>IFERROR(aurora_data!G1213,0)</f>
        <v>0</v>
      </c>
      <c r="I93" s="63">
        <f>IFERROR(aurora_data!H1213,0)</f>
        <v>0</v>
      </c>
      <c r="J93" s="36">
        <f>IFERROR(aurora_data!I1213,0)</f>
        <v>0</v>
      </c>
      <c r="K93" s="62">
        <f>IFERROR(aurora_data!J1213,0)</f>
        <v>0</v>
      </c>
      <c r="L93" s="62">
        <f>IFERROR(aurora_data!K1213,0)</f>
        <v>0</v>
      </c>
      <c r="M93" s="62">
        <f>IFERROR(aurora_data!L1213,0)</f>
        <v>0</v>
      </c>
      <c r="N93" s="63">
        <f>IFERROR(aurora_data!M1213,0)</f>
        <v>0</v>
      </c>
      <c r="O93" s="36">
        <f>IFERROR(aurora_data!N1213,0)</f>
        <v>0</v>
      </c>
      <c r="P93" s="62">
        <f>IFERROR(aurora_data!O1213,0)</f>
        <v>0</v>
      </c>
      <c r="Q93" s="62">
        <f>IFERROR(aurora_data!P1213,0)</f>
        <v>0</v>
      </c>
      <c r="R93" s="63">
        <f>IFERROR(aurora_data!Q1213,0)</f>
        <v>0</v>
      </c>
      <c r="S93" s="62">
        <f>IFERROR(aurora_data!R1213,0)</f>
        <v>0</v>
      </c>
      <c r="T93" s="62">
        <f>IFERROR(aurora_data!S1213,0)</f>
        <v>0</v>
      </c>
      <c r="U93" s="63">
        <f>IFERROR(aurora_data!T1213,0)</f>
        <v>0</v>
      </c>
      <c r="V93" s="64" t="s">
        <v>95</v>
      </c>
      <c r="W93" s="36">
        <f>IFERROR(aurora_data!U1213,0)</f>
        <v>0</v>
      </c>
      <c r="X93" s="71">
        <f t="shared" ref="X93:X99" si="10">IFERROR(W93/$W$12,0)</f>
        <v>0</v>
      </c>
      <c r="Y93" s="2"/>
    </row>
    <row r="94" spans="1:25" customFormat="1">
      <c r="A94" s="2"/>
      <c r="B94" s="211"/>
      <c r="C94" s="213"/>
      <c r="D94" s="35" t="s">
        <v>60</v>
      </c>
      <c r="E94" s="110">
        <f>IFERROR(aurora_data!D1214,0)</f>
        <v>0</v>
      </c>
      <c r="F94" s="62">
        <f>IFERROR(aurora_data!E1214,0)</f>
        <v>0</v>
      </c>
      <c r="G94" s="62">
        <f>IFERROR(aurora_data!F1214,0)</f>
        <v>0</v>
      </c>
      <c r="H94" s="62">
        <f>IFERROR(aurora_data!G1214,0)</f>
        <v>0</v>
      </c>
      <c r="I94" s="63">
        <f>IFERROR(aurora_data!H1214,0)</f>
        <v>0</v>
      </c>
      <c r="J94" s="36">
        <f>IFERROR(aurora_data!I1214,0)</f>
        <v>0</v>
      </c>
      <c r="K94" s="62">
        <f>IFERROR(aurora_data!J1214,0)</f>
        <v>0</v>
      </c>
      <c r="L94" s="62">
        <f>IFERROR(aurora_data!K1214,0)</f>
        <v>0</v>
      </c>
      <c r="M94" s="62">
        <f>IFERROR(aurora_data!L1214,0)</f>
        <v>0</v>
      </c>
      <c r="N94" s="63">
        <f>IFERROR(aurora_data!M1214,0)</f>
        <v>0</v>
      </c>
      <c r="O94" s="36">
        <f>IFERROR(aurora_data!N1214,0)</f>
        <v>0</v>
      </c>
      <c r="P94" s="62">
        <f>IFERROR(aurora_data!O1214,0)</f>
        <v>0</v>
      </c>
      <c r="Q94" s="62">
        <f>IFERROR(aurora_data!P1214,0)</f>
        <v>0</v>
      </c>
      <c r="R94" s="63">
        <f>IFERROR(aurora_data!Q1214,0)</f>
        <v>0</v>
      </c>
      <c r="S94" s="62">
        <f>IFERROR(aurora_data!R1214,0)</f>
        <v>0</v>
      </c>
      <c r="T94" s="62">
        <f>IFERROR(aurora_data!S1214,0)</f>
        <v>0</v>
      </c>
      <c r="U94" s="63">
        <f>IFERROR(aurora_data!T1214,0)</f>
        <v>0</v>
      </c>
      <c r="V94" s="64" t="s">
        <v>95</v>
      </c>
      <c r="W94" s="36">
        <f>IFERROR(aurora_data!U1214,0)</f>
        <v>0</v>
      </c>
      <c r="X94" s="71">
        <f t="shared" si="10"/>
        <v>0</v>
      </c>
      <c r="Y94" s="2"/>
    </row>
    <row r="95" spans="1:25" customFormat="1">
      <c r="A95" s="2"/>
      <c r="B95" s="211"/>
      <c r="C95" s="213"/>
      <c r="D95" s="35" t="s">
        <v>97</v>
      </c>
      <c r="E95" s="36">
        <f>IFERROR(aurora_data!D1215,0)</f>
        <v>0</v>
      </c>
      <c r="F95" s="62">
        <f>IFERROR(aurora_data!E1215,0)</f>
        <v>0</v>
      </c>
      <c r="G95" s="62">
        <f>IFERROR(aurora_data!F1215,0)</f>
        <v>0</v>
      </c>
      <c r="H95" s="62">
        <f>IFERROR(aurora_data!G1215,0)</f>
        <v>0</v>
      </c>
      <c r="I95" s="63">
        <f>IFERROR(aurora_data!H1215,0)</f>
        <v>0</v>
      </c>
      <c r="J95" s="36">
        <f>IFERROR(aurora_data!I1215,0)</f>
        <v>0</v>
      </c>
      <c r="K95" s="62">
        <f>IFERROR(aurora_data!J1215,0)</f>
        <v>0</v>
      </c>
      <c r="L95" s="62">
        <f>IFERROR(aurora_data!K1215,0)</f>
        <v>0</v>
      </c>
      <c r="M95" s="62">
        <f>IFERROR(aurora_data!L1215,0)</f>
        <v>0</v>
      </c>
      <c r="N95" s="63">
        <f>IFERROR(aurora_data!M1215,0)</f>
        <v>0</v>
      </c>
      <c r="O95" s="36">
        <f>IFERROR(aurora_data!N1215,0)</f>
        <v>0</v>
      </c>
      <c r="P95" s="62">
        <f>IFERROR(aurora_data!O1215,0)</f>
        <v>0</v>
      </c>
      <c r="Q95" s="62">
        <f>IFERROR(aurora_data!P1215,0)</f>
        <v>0</v>
      </c>
      <c r="R95" s="63">
        <f>IFERROR(aurora_data!Q1215,0)</f>
        <v>0</v>
      </c>
      <c r="S95" s="62">
        <f>IFERROR(aurora_data!R1215,0)</f>
        <v>0</v>
      </c>
      <c r="T95" s="62">
        <f>IFERROR(aurora_data!S1215,0)</f>
        <v>0</v>
      </c>
      <c r="U95" s="63">
        <f>IFERROR(aurora_data!T1215,0)</f>
        <v>0</v>
      </c>
      <c r="V95" s="64" t="s">
        <v>95</v>
      </c>
      <c r="W95" s="36">
        <f>IFERROR(aurora_data!U1215,0)</f>
        <v>0</v>
      </c>
      <c r="X95" s="71">
        <f t="shared" si="10"/>
        <v>0</v>
      </c>
      <c r="Y95" s="2"/>
    </row>
    <row r="96" spans="1:25" customFormat="1">
      <c r="A96" s="2"/>
      <c r="B96" s="211"/>
      <c r="C96" s="213"/>
      <c r="D96" s="35" t="s">
        <v>98</v>
      </c>
      <c r="E96" s="36">
        <f>IFERROR(aurora_data!D1216,0)</f>
        <v>0</v>
      </c>
      <c r="F96" s="62">
        <f>IFERROR(aurora_data!E1216,0)</f>
        <v>0</v>
      </c>
      <c r="G96" s="62">
        <f>IFERROR(aurora_data!F1216,0)</f>
        <v>0</v>
      </c>
      <c r="H96" s="62">
        <f>IFERROR(aurora_data!G1216,0)</f>
        <v>0</v>
      </c>
      <c r="I96" s="63">
        <f>IFERROR(aurora_data!H1216,0)</f>
        <v>0</v>
      </c>
      <c r="J96" s="36">
        <f>IFERROR(aurora_data!I1216,0)</f>
        <v>0</v>
      </c>
      <c r="K96" s="62">
        <f>IFERROR(aurora_data!J1216,0)</f>
        <v>0</v>
      </c>
      <c r="L96" s="62">
        <f>IFERROR(aurora_data!K1216,0)</f>
        <v>0</v>
      </c>
      <c r="M96" s="62">
        <f>IFERROR(aurora_data!L1216,0)</f>
        <v>0</v>
      </c>
      <c r="N96" s="63">
        <f>IFERROR(aurora_data!M1216,0)</f>
        <v>0</v>
      </c>
      <c r="O96" s="36">
        <f>IFERROR(aurora_data!N1216,0)</f>
        <v>0</v>
      </c>
      <c r="P96" s="62">
        <f>IFERROR(aurora_data!O1216,0)</f>
        <v>0</v>
      </c>
      <c r="Q96" s="62">
        <f>IFERROR(aurora_data!P1216,0)</f>
        <v>0</v>
      </c>
      <c r="R96" s="63">
        <f>IFERROR(aurora_data!Q1216,0)</f>
        <v>0</v>
      </c>
      <c r="S96" s="62">
        <f>IFERROR(aurora_data!R1216,0)</f>
        <v>0</v>
      </c>
      <c r="T96" s="62">
        <f>IFERROR(aurora_data!S1216,0)</f>
        <v>0</v>
      </c>
      <c r="U96" s="63">
        <f>IFERROR(aurora_data!T1216,0)</f>
        <v>0</v>
      </c>
      <c r="V96" s="64" t="s">
        <v>95</v>
      </c>
      <c r="W96" s="36">
        <f>IFERROR(aurora_data!U1216,0)</f>
        <v>0</v>
      </c>
      <c r="X96" s="71">
        <f t="shared" si="10"/>
        <v>0</v>
      </c>
      <c r="Y96" s="2"/>
    </row>
    <row r="97" spans="1:25" customFormat="1" ht="16.5" thickBot="1">
      <c r="A97" s="2"/>
      <c r="B97" s="211"/>
      <c r="C97" s="213"/>
      <c r="D97" s="35" t="s">
        <v>99</v>
      </c>
      <c r="E97" s="36">
        <f>IFERROR(aurora_data!D1217,0)</f>
        <v>0</v>
      </c>
      <c r="F97" s="62">
        <f>IFERROR(aurora_data!E1217,0)</f>
        <v>0</v>
      </c>
      <c r="G97" s="62">
        <f>IFERROR(aurora_data!F1217,0)</f>
        <v>0</v>
      </c>
      <c r="H97" s="62">
        <f>IFERROR(aurora_data!G1217,0)</f>
        <v>0</v>
      </c>
      <c r="I97" s="63">
        <f>IFERROR(aurora_data!H1217,0)</f>
        <v>0</v>
      </c>
      <c r="J97" s="36">
        <f>IFERROR(aurora_data!I1217,0)</f>
        <v>0</v>
      </c>
      <c r="K97" s="62">
        <f>IFERROR(aurora_data!J1217,0)</f>
        <v>0</v>
      </c>
      <c r="L97" s="62">
        <f>IFERROR(aurora_data!K1217,0)</f>
        <v>0</v>
      </c>
      <c r="M97" s="62">
        <f>IFERROR(aurora_data!L1217,0)</f>
        <v>0</v>
      </c>
      <c r="N97" s="63">
        <f>IFERROR(aurora_data!M1217,0)</f>
        <v>0</v>
      </c>
      <c r="O97" s="36">
        <f>IFERROR(aurora_data!N1217,0)</f>
        <v>0</v>
      </c>
      <c r="P97" s="62">
        <f>IFERROR(aurora_data!O1217,0)</f>
        <v>0</v>
      </c>
      <c r="Q97" s="62">
        <f>IFERROR(aurora_data!P1217,0)</f>
        <v>0</v>
      </c>
      <c r="R97" s="63">
        <f>IFERROR(aurora_data!Q1217,0)</f>
        <v>0</v>
      </c>
      <c r="S97" s="62">
        <f>IFERROR(aurora_data!R1217,0)</f>
        <v>0</v>
      </c>
      <c r="T97" s="62">
        <f>IFERROR(aurora_data!S1217,0)</f>
        <v>0</v>
      </c>
      <c r="U97" s="63">
        <f>IFERROR(aurora_data!T1217,0)</f>
        <v>0</v>
      </c>
      <c r="V97" s="64" t="s">
        <v>95</v>
      </c>
      <c r="W97" s="36">
        <f>IFERROR(aurora_data!U1217,0)</f>
        <v>0</v>
      </c>
      <c r="X97" s="71">
        <f t="shared" si="10"/>
        <v>0</v>
      </c>
      <c r="Y97" s="2"/>
    </row>
    <row r="98" spans="1:25" customFormat="1" ht="16.5" thickBot="1">
      <c r="A98" s="2"/>
      <c r="B98" s="211"/>
      <c r="C98" s="213"/>
      <c r="D98" s="37" t="s">
        <v>64</v>
      </c>
      <c r="E98" s="59">
        <f>IFERROR(aurora_data!D1218,0)</f>
        <v>0</v>
      </c>
      <c r="F98" s="65">
        <f>IFERROR(aurora_data!E1218,0)</f>
        <v>0</v>
      </c>
      <c r="G98" s="65">
        <f>IFERROR(aurora_data!F1218,0)</f>
        <v>0</v>
      </c>
      <c r="H98" s="65">
        <f>IFERROR(aurora_data!G1218,0)</f>
        <v>0</v>
      </c>
      <c r="I98" s="66">
        <f>IFERROR(aurora_data!H1218,0)</f>
        <v>0</v>
      </c>
      <c r="J98" s="59">
        <f>IFERROR(aurora_data!I1218,0)</f>
        <v>0</v>
      </c>
      <c r="K98" s="65">
        <f>IFERROR(aurora_data!J1218,0)</f>
        <v>0</v>
      </c>
      <c r="L98" s="65">
        <f>IFERROR(aurora_data!K1218,0)</f>
        <v>0</v>
      </c>
      <c r="M98" s="65">
        <f>IFERROR(aurora_data!L1218,0)</f>
        <v>0</v>
      </c>
      <c r="N98" s="66">
        <f>IFERROR(aurora_data!M1218,0)</f>
        <v>0</v>
      </c>
      <c r="O98" s="59">
        <f>IFERROR(aurora_data!N1218,0)</f>
        <v>0</v>
      </c>
      <c r="P98" s="65">
        <f>IFERROR(aurora_data!O1218,0)</f>
        <v>0</v>
      </c>
      <c r="Q98" s="65">
        <f>IFERROR(aurora_data!P1218,0)</f>
        <v>0</v>
      </c>
      <c r="R98" s="66">
        <f>IFERROR(aurora_data!Q1218,0)</f>
        <v>0</v>
      </c>
      <c r="S98" s="65">
        <f>IFERROR(aurora_data!R1218,0)</f>
        <v>0</v>
      </c>
      <c r="T98" s="65">
        <f>IFERROR(aurora_data!S1218,0)</f>
        <v>0</v>
      </c>
      <c r="U98" s="66">
        <f>IFERROR(aurora_data!T1218,0)</f>
        <v>0</v>
      </c>
      <c r="V98" s="67" t="s">
        <v>95</v>
      </c>
      <c r="W98" s="59">
        <f>IFERROR(aurora_data!U1218,0)</f>
        <v>0</v>
      </c>
      <c r="X98" s="72">
        <f t="shared" si="10"/>
        <v>0</v>
      </c>
      <c r="Y98" s="2"/>
    </row>
    <row r="99" spans="1:25" customFormat="1" ht="16.5" thickBot="1">
      <c r="A99" s="2"/>
      <c r="B99" s="211"/>
      <c r="C99" s="213"/>
      <c r="D99" s="38" t="s">
        <v>100</v>
      </c>
      <c r="E99" s="60">
        <f>IFERROR(aurora_data!D1219,0)</f>
        <v>0</v>
      </c>
      <c r="F99" s="68">
        <f>IFERROR(aurora_data!E1219,0)</f>
        <v>0</v>
      </c>
      <c r="G99" s="68">
        <f>IFERROR(aurora_data!F1219,0)</f>
        <v>0</v>
      </c>
      <c r="H99" s="68">
        <f>IFERROR(aurora_data!G1219,0)</f>
        <v>0</v>
      </c>
      <c r="I99" s="69">
        <f>IFERROR(aurora_data!H1219,0)</f>
        <v>0</v>
      </c>
      <c r="J99" s="60">
        <f>IFERROR(aurora_data!I1219,0)</f>
        <v>0</v>
      </c>
      <c r="K99" s="68">
        <f>IFERROR(aurora_data!J1219,0)</f>
        <v>0</v>
      </c>
      <c r="L99" s="68">
        <f>IFERROR(aurora_data!K1219,0)</f>
        <v>0</v>
      </c>
      <c r="M99" s="68">
        <f>IFERROR(aurora_data!L1219,0)</f>
        <v>0</v>
      </c>
      <c r="N99" s="69">
        <f>IFERROR(aurora_data!M1219,0)</f>
        <v>0</v>
      </c>
      <c r="O99" s="60">
        <f>IFERROR(aurora_data!N1219,0)</f>
        <v>0</v>
      </c>
      <c r="P99" s="68">
        <f>IFERROR(aurora_data!O1219,0)</f>
        <v>0</v>
      </c>
      <c r="Q99" s="68">
        <f>IFERROR(aurora_data!P1219,0)</f>
        <v>0</v>
      </c>
      <c r="R99" s="69">
        <f>IFERROR(aurora_data!Q1219,0)</f>
        <v>0</v>
      </c>
      <c r="S99" s="68">
        <f>IFERROR(aurora_data!R1219,0)</f>
        <v>0</v>
      </c>
      <c r="T99" s="68">
        <f>IFERROR(aurora_data!S1219,0)</f>
        <v>0</v>
      </c>
      <c r="U99" s="74">
        <f>IFERROR(aurora_data!T1219,0)</f>
        <v>0</v>
      </c>
      <c r="V99" s="75" t="s">
        <v>95</v>
      </c>
      <c r="W99" s="60">
        <f>IFERROR(aurora_data!U1219,0)</f>
        <v>0</v>
      </c>
      <c r="X99" s="73">
        <f t="shared" si="10"/>
        <v>0</v>
      </c>
      <c r="Y99" s="2"/>
    </row>
    <row r="100" spans="1:25" customFormat="1" ht="15.75" customHeight="1">
      <c r="A100" s="2"/>
      <c r="B100" s="206" t="s">
        <v>94</v>
      </c>
      <c r="C100" s="208" t="s">
        <v>55</v>
      </c>
      <c r="D100" s="34" t="s">
        <v>71</v>
      </c>
      <c r="E100" s="39">
        <f>IFERROR(aurora_data!D1220,0)</f>
        <v>0</v>
      </c>
      <c r="F100" s="40">
        <f>IFERROR(aurora_data!E1220,0)</f>
        <v>0</v>
      </c>
      <c r="G100" s="40">
        <f>IFERROR(aurora_data!F1220,0)</f>
        <v>0</v>
      </c>
      <c r="H100" s="40">
        <f>IFERROR(aurora_data!G1220,0)</f>
        <v>0</v>
      </c>
      <c r="I100" s="41">
        <f>IFERROR(aurora_data!H1220,0)</f>
        <v>0</v>
      </c>
      <c r="J100" s="39">
        <f>IFERROR(aurora_data!I1220,0)</f>
        <v>0</v>
      </c>
      <c r="K100" s="40">
        <f>IFERROR(aurora_data!J1220,0)</f>
        <v>0</v>
      </c>
      <c r="L100" s="40">
        <f>IFERROR(aurora_data!K1220,0)</f>
        <v>0</v>
      </c>
      <c r="M100" s="40">
        <f>IFERROR(aurora_data!L1220,0)</f>
        <v>0</v>
      </c>
      <c r="N100" s="41">
        <f>IFERROR(aurora_data!M1220,0)</f>
        <v>0</v>
      </c>
      <c r="O100" s="39">
        <f>IFERROR(aurora_data!N1220,0)</f>
        <v>0</v>
      </c>
      <c r="P100" s="40">
        <f>IFERROR(aurora_data!O1220,0)</f>
        <v>0</v>
      </c>
      <c r="Q100" s="40">
        <f>IFERROR(aurora_data!P1220,0)</f>
        <v>0</v>
      </c>
      <c r="R100" s="41">
        <f>IFERROR(aurora_data!Q1220,0)</f>
        <v>0</v>
      </c>
      <c r="S100" s="40">
        <f>IFERROR(aurora_data!R1220,0)</f>
        <v>0</v>
      </c>
      <c r="T100" s="40">
        <f>IFERROR(aurora_data!S1220,0)</f>
        <v>0</v>
      </c>
      <c r="U100" s="41">
        <f>IFERROR(aurora_data!T1220,0)</f>
        <v>0</v>
      </c>
      <c r="V100" s="61" t="s">
        <v>95</v>
      </c>
      <c r="W100" s="39">
        <f>IFERROR(aurora_data!U1220,0)</f>
        <v>51</v>
      </c>
      <c r="X100" s="70">
        <f>IFERROR(W100/$W$100,0)</f>
        <v>1</v>
      </c>
      <c r="Y100" s="2"/>
    </row>
    <row r="101" spans="1:25" customFormat="1" ht="15.75" customHeight="1">
      <c r="A101" s="2"/>
      <c r="B101" s="207"/>
      <c r="C101" s="209"/>
      <c r="D101" s="35" t="s">
        <v>96</v>
      </c>
      <c r="E101" s="36">
        <f>IFERROR(aurora_data!D1221,0)</f>
        <v>0</v>
      </c>
      <c r="F101" s="62">
        <f>IFERROR(aurora_data!E1221,0)</f>
        <v>0</v>
      </c>
      <c r="G101" s="62">
        <f>IFERROR(aurora_data!F1221,0)</f>
        <v>0</v>
      </c>
      <c r="H101" s="62">
        <f>IFERROR(aurora_data!G1221,0)</f>
        <v>0</v>
      </c>
      <c r="I101" s="63">
        <f>IFERROR(aurora_data!H1221,0)</f>
        <v>0</v>
      </c>
      <c r="J101" s="36">
        <f>IFERROR(aurora_data!I1221,0)</f>
        <v>0</v>
      </c>
      <c r="K101" s="62">
        <f>IFERROR(aurora_data!J1221,0)</f>
        <v>0</v>
      </c>
      <c r="L101" s="62">
        <f>IFERROR(aurora_data!K1221,0)</f>
        <v>0</v>
      </c>
      <c r="M101" s="62">
        <f>IFERROR(aurora_data!L1221,0)</f>
        <v>0</v>
      </c>
      <c r="N101" s="63">
        <f>IFERROR(aurora_data!M1221,0)</f>
        <v>0</v>
      </c>
      <c r="O101" s="36">
        <f>IFERROR(aurora_data!N1221,0)</f>
        <v>0</v>
      </c>
      <c r="P101" s="62">
        <f>IFERROR(aurora_data!O1221,0)</f>
        <v>0</v>
      </c>
      <c r="Q101" s="62">
        <f>IFERROR(aurora_data!P1221,0)</f>
        <v>0</v>
      </c>
      <c r="R101" s="63">
        <f>IFERROR(aurora_data!Q1221,0)</f>
        <v>0</v>
      </c>
      <c r="S101" s="62">
        <f>IFERROR(aurora_data!R1221,0)</f>
        <v>0</v>
      </c>
      <c r="T101" s="62">
        <f>IFERROR(aurora_data!S1221,0)</f>
        <v>0</v>
      </c>
      <c r="U101" s="63">
        <f>IFERROR(aurora_data!T1221,0)</f>
        <v>0</v>
      </c>
      <c r="V101" s="64" t="s">
        <v>95</v>
      </c>
      <c r="W101" s="36">
        <f>IFERROR(aurora_data!U1221,0)</f>
        <v>0</v>
      </c>
      <c r="X101" s="71">
        <f t="shared" ref="X101:X107" si="11">IFERROR(W101/$W$100,0)</f>
        <v>0</v>
      </c>
      <c r="Y101" s="2"/>
    </row>
    <row r="102" spans="1:25" customFormat="1" ht="15.75" customHeight="1">
      <c r="A102" s="2"/>
      <c r="B102" s="207"/>
      <c r="C102" s="209"/>
      <c r="D102" s="35" t="s">
        <v>60</v>
      </c>
      <c r="E102" s="36">
        <f>IFERROR(aurora_data!D1222,0)</f>
        <v>0</v>
      </c>
      <c r="F102" s="62">
        <f>IFERROR(aurora_data!E1222,0)</f>
        <v>0</v>
      </c>
      <c r="G102" s="62">
        <f>IFERROR(aurora_data!F1222,0)</f>
        <v>0</v>
      </c>
      <c r="H102" s="62">
        <f>IFERROR(aurora_data!G1222,0)</f>
        <v>0</v>
      </c>
      <c r="I102" s="63">
        <f>IFERROR(aurora_data!H1222,0)</f>
        <v>0</v>
      </c>
      <c r="J102" s="36">
        <f>IFERROR(aurora_data!I1222,0)</f>
        <v>0</v>
      </c>
      <c r="K102" s="62">
        <f>IFERROR(aurora_data!J1222,0)</f>
        <v>0</v>
      </c>
      <c r="L102" s="62">
        <f>IFERROR(aurora_data!K1222,0)</f>
        <v>0</v>
      </c>
      <c r="M102" s="62">
        <f>IFERROR(aurora_data!L1222,0)</f>
        <v>0</v>
      </c>
      <c r="N102" s="63">
        <f>IFERROR(aurora_data!M1222,0)</f>
        <v>0</v>
      </c>
      <c r="O102" s="36">
        <f>IFERROR(aurora_data!N1222,0)</f>
        <v>0</v>
      </c>
      <c r="P102" s="62">
        <f>IFERROR(aurora_data!O1222,0)</f>
        <v>0</v>
      </c>
      <c r="Q102" s="62">
        <f>IFERROR(aurora_data!P1222,0)</f>
        <v>0</v>
      </c>
      <c r="R102" s="63">
        <f>IFERROR(aurora_data!Q1222,0)</f>
        <v>0</v>
      </c>
      <c r="S102" s="62">
        <f>IFERROR(aurora_data!R1222,0)</f>
        <v>0</v>
      </c>
      <c r="T102" s="62">
        <f>IFERROR(aurora_data!S1222,0)</f>
        <v>0</v>
      </c>
      <c r="U102" s="63">
        <f>IFERROR(aurora_data!T1222,0)</f>
        <v>0</v>
      </c>
      <c r="V102" s="64" t="s">
        <v>95</v>
      </c>
      <c r="W102" s="36">
        <f>IFERROR(aurora_data!U1222,0)</f>
        <v>0</v>
      </c>
      <c r="X102" s="71">
        <f t="shared" si="11"/>
        <v>0</v>
      </c>
      <c r="Y102" s="2"/>
    </row>
    <row r="103" spans="1:25" customFormat="1" ht="15.75" customHeight="1">
      <c r="A103" s="2"/>
      <c r="B103" s="207"/>
      <c r="C103" s="209"/>
      <c r="D103" s="35" t="s">
        <v>97</v>
      </c>
      <c r="E103" s="36">
        <f>IFERROR(aurora_data!D1223,0)</f>
        <v>0</v>
      </c>
      <c r="F103" s="62">
        <f>IFERROR(aurora_data!E1223,0)</f>
        <v>0</v>
      </c>
      <c r="G103" s="62">
        <f>IFERROR(aurora_data!F1223,0)</f>
        <v>0</v>
      </c>
      <c r="H103" s="62">
        <f>IFERROR(aurora_data!G1223,0)</f>
        <v>0</v>
      </c>
      <c r="I103" s="63">
        <f>IFERROR(aurora_data!H1223,0)</f>
        <v>0</v>
      </c>
      <c r="J103" s="36">
        <f>IFERROR(aurora_data!I1223,0)</f>
        <v>0</v>
      </c>
      <c r="K103" s="62">
        <f>IFERROR(aurora_data!J1223,0)</f>
        <v>0</v>
      </c>
      <c r="L103" s="62">
        <f>IFERROR(aurora_data!K1223,0)</f>
        <v>0</v>
      </c>
      <c r="M103" s="62">
        <f>IFERROR(aurora_data!L1223,0)</f>
        <v>0</v>
      </c>
      <c r="N103" s="63">
        <f>IFERROR(aurora_data!M1223,0)</f>
        <v>0</v>
      </c>
      <c r="O103" s="36">
        <f>IFERROR(aurora_data!N1223,0)</f>
        <v>0</v>
      </c>
      <c r="P103" s="62">
        <f>IFERROR(aurora_data!O1223,0)</f>
        <v>0</v>
      </c>
      <c r="Q103" s="62">
        <f>IFERROR(aurora_data!P1223,0)</f>
        <v>0</v>
      </c>
      <c r="R103" s="63">
        <f>IFERROR(aurora_data!Q1223,0)</f>
        <v>0</v>
      </c>
      <c r="S103" s="62">
        <f>IFERROR(aurora_data!R1223,0)</f>
        <v>0</v>
      </c>
      <c r="T103" s="62">
        <f>IFERROR(aurora_data!S1223,0)</f>
        <v>0</v>
      </c>
      <c r="U103" s="63">
        <f>IFERROR(aurora_data!T1223,0)</f>
        <v>0</v>
      </c>
      <c r="V103" s="64" t="s">
        <v>95</v>
      </c>
      <c r="W103" s="36">
        <f>IFERROR(aurora_data!U1223,0)</f>
        <v>0</v>
      </c>
      <c r="X103" s="71">
        <f t="shared" si="11"/>
        <v>0</v>
      </c>
      <c r="Y103" s="2"/>
    </row>
    <row r="104" spans="1:25" customFormat="1" ht="16.5" customHeight="1">
      <c r="A104" s="2"/>
      <c r="B104" s="207"/>
      <c r="C104" s="209"/>
      <c r="D104" s="35" t="s">
        <v>98</v>
      </c>
      <c r="E104" s="36">
        <f>IFERROR(aurora_data!D1224,0)</f>
        <v>0</v>
      </c>
      <c r="F104" s="62">
        <f>IFERROR(aurora_data!E1224,0)</f>
        <v>0</v>
      </c>
      <c r="G104" s="62">
        <f>IFERROR(aurora_data!F1224,0)</f>
        <v>0</v>
      </c>
      <c r="H104" s="62">
        <f>IFERROR(aurora_data!G1224,0)</f>
        <v>0</v>
      </c>
      <c r="I104" s="63">
        <f>IFERROR(aurora_data!H1224,0)</f>
        <v>0</v>
      </c>
      <c r="J104" s="36">
        <f>IFERROR(aurora_data!I1224,0)</f>
        <v>0</v>
      </c>
      <c r="K104" s="62">
        <f>IFERROR(aurora_data!J1224,0)</f>
        <v>0</v>
      </c>
      <c r="L104" s="62">
        <f>IFERROR(aurora_data!K1224,0)</f>
        <v>0</v>
      </c>
      <c r="M104" s="62">
        <f>IFERROR(aurora_data!L1224,0)</f>
        <v>0</v>
      </c>
      <c r="N104" s="63">
        <f>IFERROR(aurora_data!M1224,0)</f>
        <v>0</v>
      </c>
      <c r="O104" s="36">
        <f>IFERROR(aurora_data!N1224,0)</f>
        <v>0</v>
      </c>
      <c r="P104" s="62">
        <f>IFERROR(aurora_data!O1224,0)</f>
        <v>0</v>
      </c>
      <c r="Q104" s="62">
        <f>IFERROR(aurora_data!P1224,0)</f>
        <v>0</v>
      </c>
      <c r="R104" s="63">
        <f>IFERROR(aurora_data!Q1224,0)</f>
        <v>0</v>
      </c>
      <c r="S104" s="62">
        <f>IFERROR(aurora_data!R1224,0)</f>
        <v>0</v>
      </c>
      <c r="T104" s="62">
        <f>IFERROR(aurora_data!S1224,0)</f>
        <v>0</v>
      </c>
      <c r="U104" s="63">
        <f>IFERROR(aurora_data!T1224,0)</f>
        <v>0</v>
      </c>
      <c r="V104" s="64" t="s">
        <v>95</v>
      </c>
      <c r="W104" s="36">
        <f>IFERROR(aurora_data!U1224,0)</f>
        <v>0</v>
      </c>
      <c r="X104" s="71">
        <f t="shared" si="11"/>
        <v>0</v>
      </c>
      <c r="Y104" s="2"/>
    </row>
    <row r="105" spans="1:25" customFormat="1" ht="16.5" customHeight="1" thickBot="1">
      <c r="A105" s="2"/>
      <c r="B105" s="207"/>
      <c r="C105" s="209"/>
      <c r="D105" s="35" t="s">
        <v>99</v>
      </c>
      <c r="E105" s="36">
        <f>IFERROR(aurora_data!D1225,0)</f>
        <v>0</v>
      </c>
      <c r="F105" s="62">
        <f>IFERROR(aurora_data!E1225,0)</f>
        <v>0</v>
      </c>
      <c r="G105" s="62">
        <f>IFERROR(aurora_data!F1225,0)</f>
        <v>0</v>
      </c>
      <c r="H105" s="62">
        <f>IFERROR(aurora_data!G1225,0)</f>
        <v>0</v>
      </c>
      <c r="I105" s="63">
        <f>IFERROR(aurora_data!H1225,0)</f>
        <v>0</v>
      </c>
      <c r="J105" s="36">
        <f>IFERROR(aurora_data!I1225,0)</f>
        <v>0</v>
      </c>
      <c r="K105" s="62">
        <f>IFERROR(aurora_data!J1225,0)</f>
        <v>0</v>
      </c>
      <c r="L105" s="62">
        <f>IFERROR(aurora_data!K1225,0)</f>
        <v>0</v>
      </c>
      <c r="M105" s="62">
        <f>IFERROR(aurora_data!L1225,0)</f>
        <v>0</v>
      </c>
      <c r="N105" s="63">
        <f>IFERROR(aurora_data!M1225,0)</f>
        <v>0</v>
      </c>
      <c r="O105" s="36">
        <f>IFERROR(aurora_data!N1225,0)</f>
        <v>0</v>
      </c>
      <c r="P105" s="62">
        <f>IFERROR(aurora_data!O1225,0)</f>
        <v>0</v>
      </c>
      <c r="Q105" s="62">
        <f>IFERROR(aurora_data!P1225,0)</f>
        <v>0</v>
      </c>
      <c r="R105" s="63">
        <f>IFERROR(aurora_data!Q1225,0)</f>
        <v>0</v>
      </c>
      <c r="S105" s="62">
        <f>IFERROR(aurora_data!R1225,0)</f>
        <v>0</v>
      </c>
      <c r="T105" s="62">
        <f>IFERROR(aurora_data!S1225,0)</f>
        <v>0</v>
      </c>
      <c r="U105" s="63">
        <f>IFERROR(aurora_data!T1225,0)</f>
        <v>0</v>
      </c>
      <c r="V105" s="64" t="s">
        <v>95</v>
      </c>
      <c r="W105" s="36">
        <f>IFERROR(aurora_data!U1225,0)</f>
        <v>0</v>
      </c>
      <c r="X105" s="71">
        <f t="shared" si="11"/>
        <v>0</v>
      </c>
      <c r="Y105" s="2"/>
    </row>
    <row r="106" spans="1:25" customFormat="1" ht="16.5" customHeight="1" thickBot="1">
      <c r="A106" s="2"/>
      <c r="B106" s="207"/>
      <c r="C106" s="209"/>
      <c r="D106" s="37" t="s">
        <v>64</v>
      </c>
      <c r="E106" s="59">
        <f>IFERROR(aurora_data!D1226,0)</f>
        <v>0</v>
      </c>
      <c r="F106" s="65">
        <f>IFERROR(aurora_data!E1226,0)</f>
        <v>0</v>
      </c>
      <c r="G106" s="65">
        <f>IFERROR(aurora_data!F1226,0)</f>
        <v>0</v>
      </c>
      <c r="H106" s="65">
        <f>IFERROR(aurora_data!G1226,0)</f>
        <v>0</v>
      </c>
      <c r="I106" s="66">
        <f>IFERROR(aurora_data!H1226,0)</f>
        <v>0</v>
      </c>
      <c r="J106" s="59">
        <f>IFERROR(aurora_data!I1226,0)</f>
        <v>0</v>
      </c>
      <c r="K106" s="65">
        <f>IFERROR(aurora_data!J1226,0)</f>
        <v>0</v>
      </c>
      <c r="L106" s="65">
        <f>IFERROR(aurora_data!K1226,0)</f>
        <v>0</v>
      </c>
      <c r="M106" s="65">
        <f>IFERROR(aurora_data!L1226,0)</f>
        <v>0</v>
      </c>
      <c r="N106" s="66">
        <f>IFERROR(aurora_data!M1226,0)</f>
        <v>0</v>
      </c>
      <c r="O106" s="59">
        <f>IFERROR(aurora_data!N1226,0)</f>
        <v>0</v>
      </c>
      <c r="P106" s="65">
        <f>IFERROR(aurora_data!O1226,0)</f>
        <v>0</v>
      </c>
      <c r="Q106" s="65">
        <f>IFERROR(aurora_data!P1226,0)</f>
        <v>0</v>
      </c>
      <c r="R106" s="66">
        <f>IFERROR(aurora_data!Q1226,0)</f>
        <v>0</v>
      </c>
      <c r="S106" s="65">
        <f>IFERROR(aurora_data!R1226,0)</f>
        <v>0</v>
      </c>
      <c r="T106" s="65">
        <f>IFERROR(aurora_data!S1226,0)</f>
        <v>0</v>
      </c>
      <c r="U106" s="66">
        <f>IFERROR(aurora_data!T1226,0)</f>
        <v>0</v>
      </c>
      <c r="V106" s="67" t="s">
        <v>95</v>
      </c>
      <c r="W106" s="59">
        <f>IFERROR(aurora_data!U1226,0)</f>
        <v>0</v>
      </c>
      <c r="X106" s="72">
        <f t="shared" si="11"/>
        <v>0</v>
      </c>
      <c r="Y106" s="2"/>
    </row>
    <row r="107" spans="1:25" customFormat="1" ht="16.5" customHeight="1" thickBot="1">
      <c r="A107" s="2"/>
      <c r="B107" s="207"/>
      <c r="C107" s="209"/>
      <c r="D107" s="38" t="s">
        <v>100</v>
      </c>
      <c r="E107" s="60">
        <f>IFERROR(aurora_data!D1227,0)</f>
        <v>0</v>
      </c>
      <c r="F107" s="68">
        <f>IFERROR(aurora_data!E1227,0)</f>
        <v>0</v>
      </c>
      <c r="G107" s="68">
        <f>IFERROR(aurora_data!F1227,0)</f>
        <v>0</v>
      </c>
      <c r="H107" s="68">
        <f>IFERROR(aurora_data!G1227,0)</f>
        <v>0</v>
      </c>
      <c r="I107" s="69">
        <f>IFERROR(aurora_data!H1227,0)</f>
        <v>0</v>
      </c>
      <c r="J107" s="60">
        <f>IFERROR(aurora_data!I1227,0)</f>
        <v>0</v>
      </c>
      <c r="K107" s="68">
        <f>IFERROR(aurora_data!J1227,0)</f>
        <v>0</v>
      </c>
      <c r="L107" s="68">
        <f>IFERROR(aurora_data!K1227,0)</f>
        <v>0</v>
      </c>
      <c r="M107" s="68">
        <f>IFERROR(aurora_data!L1227,0)</f>
        <v>0</v>
      </c>
      <c r="N107" s="69">
        <f>IFERROR(aurora_data!M1227,0)</f>
        <v>0</v>
      </c>
      <c r="O107" s="60">
        <f>IFERROR(aurora_data!N1227,0)</f>
        <v>0</v>
      </c>
      <c r="P107" s="68">
        <f>IFERROR(aurora_data!O1227,0)</f>
        <v>0</v>
      </c>
      <c r="Q107" s="68">
        <f>IFERROR(aurora_data!P1227,0)</f>
        <v>0</v>
      </c>
      <c r="R107" s="69">
        <f>IFERROR(aurora_data!Q1227,0)</f>
        <v>0</v>
      </c>
      <c r="S107" s="68">
        <f>IFERROR(aurora_data!R1227,0)</f>
        <v>0</v>
      </c>
      <c r="T107" s="68">
        <f>IFERROR(aurora_data!S1227,0)</f>
        <v>0</v>
      </c>
      <c r="U107" s="74">
        <f>IFERROR(aurora_data!T1227,0)</f>
        <v>0</v>
      </c>
      <c r="V107" s="75" t="s">
        <v>95</v>
      </c>
      <c r="W107" s="60">
        <f>IFERROR(aurora_data!U1227,0)</f>
        <v>0</v>
      </c>
      <c r="X107" s="73">
        <f t="shared" si="11"/>
        <v>0</v>
      </c>
      <c r="Y107" s="2"/>
    </row>
    <row r="108" spans="1:25" ht="16.5" customHeight="1">
      <c r="B108" s="97"/>
      <c r="C108" s="97"/>
    </row>
  </sheetData>
  <mergeCells count="46">
    <mergeCell ref="C68:C75"/>
    <mergeCell ref="B76:B83"/>
    <mergeCell ref="C76:C83"/>
    <mergeCell ref="B12:B19"/>
    <mergeCell ref="C12:C19"/>
    <mergeCell ref="C28:C35"/>
    <mergeCell ref="B36:B43"/>
    <mergeCell ref="C36:C43"/>
    <mergeCell ref="B100:B107"/>
    <mergeCell ref="C100:C107"/>
    <mergeCell ref="B20:B27"/>
    <mergeCell ref="C20:C27"/>
    <mergeCell ref="B28:B35"/>
    <mergeCell ref="B52:B59"/>
    <mergeCell ref="C52:C59"/>
    <mergeCell ref="B44:B51"/>
    <mergeCell ref="C44:C51"/>
    <mergeCell ref="B84:B91"/>
    <mergeCell ref="C84:C91"/>
    <mergeCell ref="B92:B99"/>
    <mergeCell ref="C92:C99"/>
    <mergeCell ref="B60:B67"/>
    <mergeCell ref="C60:C67"/>
    <mergeCell ref="B68:B75"/>
    <mergeCell ref="B8:D8"/>
    <mergeCell ref="E8:U8"/>
    <mergeCell ref="W8:X11"/>
    <mergeCell ref="B9:C9"/>
    <mergeCell ref="E9:I9"/>
    <mergeCell ref="J9:N9"/>
    <mergeCell ref="O9:R9"/>
    <mergeCell ref="S9:U9"/>
    <mergeCell ref="B10:B11"/>
    <mergeCell ref="E10:I10"/>
    <mergeCell ref="J10:N10"/>
    <mergeCell ref="O10:R10"/>
    <mergeCell ref="S10:U10"/>
    <mergeCell ref="A1:C1"/>
    <mergeCell ref="D1:H1"/>
    <mergeCell ref="A2:C2"/>
    <mergeCell ref="D2:H2"/>
    <mergeCell ref="K2:X6"/>
    <mergeCell ref="D3:E3"/>
    <mergeCell ref="F3:H3"/>
    <mergeCell ref="D5:G5"/>
    <mergeCell ref="D6:H6"/>
  </mergeCells>
  <conditionalFormatting sqref="E13:W13">
    <cfRule type="expression" dxfId="199" priority="22">
      <formula>ROUND(E$13,0) &gt;= ROUND(E$12,0)</formula>
    </cfRule>
  </conditionalFormatting>
  <conditionalFormatting sqref="E18:W18">
    <cfRule type="expression" dxfId="198" priority="23">
      <formula>ROUND(E$18,0) &lt; ROUND(E$12,0)</formula>
    </cfRule>
  </conditionalFormatting>
  <conditionalFormatting sqref="E21:W21">
    <cfRule type="expression" dxfId="197" priority="19">
      <formula>ROUND(E$13,0) &gt;= ROUND(E$12,0)</formula>
    </cfRule>
  </conditionalFormatting>
  <conditionalFormatting sqref="E26:W26">
    <cfRule type="expression" dxfId="196" priority="20">
      <formula>ROUND(E$18,0) &lt; ROUND(E$12,0)</formula>
    </cfRule>
  </conditionalFormatting>
  <conditionalFormatting sqref="E29:W29">
    <cfRule type="expression" dxfId="195" priority="17">
      <formula>ROUND(E$13,0) &gt;= ROUND(E$12,0)</formula>
    </cfRule>
  </conditionalFormatting>
  <conditionalFormatting sqref="E34:W34">
    <cfRule type="expression" dxfId="194" priority="18">
      <formula>ROUND(E$18,0) &lt; ROUND(E$12,0)</formula>
    </cfRule>
  </conditionalFormatting>
  <conditionalFormatting sqref="E37:W37">
    <cfRule type="expression" dxfId="193" priority="15">
      <formula>ROUND(E$13,0) &gt;= ROUND(E$12,0)</formula>
    </cfRule>
  </conditionalFormatting>
  <conditionalFormatting sqref="E42:W42">
    <cfRule type="expression" dxfId="192" priority="16">
      <formula>ROUND(E$18,0) &lt; ROUND(E$12,0)</formula>
    </cfRule>
  </conditionalFormatting>
  <conditionalFormatting sqref="E45:W45">
    <cfRule type="expression" dxfId="191" priority="13">
      <formula>ROUND(E$13,0) &gt;= ROUND(E$12,0)</formula>
    </cfRule>
  </conditionalFormatting>
  <conditionalFormatting sqref="E50:W50">
    <cfRule type="expression" dxfId="190" priority="14">
      <formula>ROUND(E$18,0) &lt; ROUND(E$12,0)</formula>
    </cfRule>
  </conditionalFormatting>
  <conditionalFormatting sqref="E53:W53">
    <cfRule type="expression" dxfId="189" priority="11">
      <formula>ROUND(E$13,0) &gt;= ROUND(E$12,0)</formula>
    </cfRule>
  </conditionalFormatting>
  <conditionalFormatting sqref="E58:W58">
    <cfRule type="expression" dxfId="188" priority="12">
      <formula>ROUND(E$18,0) &lt; ROUND(E$12,0)</formula>
    </cfRule>
  </conditionalFormatting>
  <conditionalFormatting sqref="E61:W61">
    <cfRule type="expression" dxfId="187" priority="9">
      <formula>ROUND(E$13,0) &gt;= ROUND(E$12,0)</formula>
    </cfRule>
  </conditionalFormatting>
  <conditionalFormatting sqref="E66:W66">
    <cfRule type="expression" dxfId="186" priority="10">
      <formula>ROUND(E$18,0) &lt; ROUND(E$12,0)</formula>
    </cfRule>
  </conditionalFormatting>
  <conditionalFormatting sqref="E69:W69">
    <cfRule type="expression" dxfId="185" priority="7">
      <formula>ROUND(E$13,0) &gt;= ROUND(E$12,0)</formula>
    </cfRule>
  </conditionalFormatting>
  <conditionalFormatting sqref="E74:W74">
    <cfRule type="expression" dxfId="184" priority="8">
      <formula>ROUND(E$18,0) &lt; ROUND(E$12,0)</formula>
    </cfRule>
  </conditionalFormatting>
  <conditionalFormatting sqref="E77:W77">
    <cfRule type="expression" dxfId="183" priority="5">
      <formula>ROUND(E$13,0) &gt;= ROUND(E$12,0)</formula>
    </cfRule>
  </conditionalFormatting>
  <conditionalFormatting sqref="E82:W82">
    <cfRule type="expression" dxfId="182" priority="6">
      <formula>ROUND(E$18,0) &lt; ROUND(E$12,0)</formula>
    </cfRule>
  </conditionalFormatting>
  <conditionalFormatting sqref="E85:W85">
    <cfRule type="expression" dxfId="181" priority="3">
      <formula>ROUND(E$13,0) &gt;= ROUND(E$12,0)</formula>
    </cfRule>
  </conditionalFormatting>
  <conditionalFormatting sqref="E90:W90">
    <cfRule type="expression" dxfId="180" priority="4">
      <formula>ROUND(E$18,0) &lt; ROUND(E$12,0)</formula>
    </cfRule>
  </conditionalFormatting>
  <conditionalFormatting sqref="E93:W93">
    <cfRule type="expression" dxfId="179" priority="1">
      <formula>ROUND(E$13,0) &gt;= ROUND(E$12,0)</formula>
    </cfRule>
  </conditionalFormatting>
  <conditionalFormatting sqref="E98:W98">
    <cfRule type="expression" dxfId="178" priority="2">
      <formula>ROUND(E$18,0) &lt; ROUND(E$12,0)</formula>
    </cfRule>
  </conditionalFormatting>
  <conditionalFormatting sqref="E101:W101">
    <cfRule type="expression" dxfId="177" priority="21">
      <formula>ROUND(E$101,0) &gt;= ROUND(E$100,0)</formula>
    </cfRule>
  </conditionalFormatting>
  <conditionalFormatting sqref="E106:W106">
    <cfRule type="expression" dxfId="176" priority="24">
      <formula>ROUND(E$106,0) &lt; ROUND(E$100,0)</formula>
    </cfRule>
  </conditionalFormatting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1F7190-13EF-46C2-AA2D-F16681FCD746}">
  <sheetPr>
    <tabColor theme="5" tint="0.39997558519241921"/>
  </sheetPr>
  <dimension ref="A1:Y108"/>
  <sheetViews>
    <sheetView zoomScale="85" zoomScaleNormal="85" workbookViewId="0">
      <selection sqref="A1:C1"/>
    </sheetView>
  </sheetViews>
  <sheetFormatPr defaultColWidth="2.625" defaultRowHeight="15.75"/>
  <cols>
    <col min="1" max="1" width="1.375" style="2" customWidth="1"/>
    <col min="2" max="2" width="10.875" style="2" customWidth="1"/>
    <col min="3" max="3" width="15.625" style="2" customWidth="1"/>
    <col min="4" max="4" width="22.625" style="4" customWidth="1"/>
    <col min="5" max="8" width="7.625" style="4" customWidth="1"/>
    <col min="9" max="9" width="6.625" style="4" hidden="1" customWidth="1"/>
    <col min="10" max="21" width="7.625" style="4" customWidth="1"/>
    <col min="22" max="22" width="0.625" style="2" customWidth="1"/>
    <col min="23" max="24" width="5.875" style="2" customWidth="1"/>
    <col min="25" max="25" width="12.5" style="2" customWidth="1"/>
    <col min="26" max="26" width="2.625" style="2" customWidth="1"/>
    <col min="27" max="64" width="7.625" style="2" customWidth="1"/>
    <col min="65" max="16323" width="2.625" style="2"/>
    <col min="16324" max="16324" width="1.375" style="2" customWidth="1"/>
    <col min="16325" max="16325" width="2.625" style="2" customWidth="1"/>
    <col min="16326" max="16326" width="3.5" style="2" customWidth="1"/>
    <col min="16327" max="16327" width="1" style="2" customWidth="1"/>
    <col min="16328" max="16328" width="0.875" style="2" customWidth="1"/>
    <col min="16329" max="16329" width="2.375" style="2" customWidth="1"/>
    <col min="16330" max="16384" width="20.375" style="2" customWidth="1"/>
  </cols>
  <sheetData>
    <row r="1" spans="1:25" customFormat="1" ht="25.5" customHeight="1">
      <c r="A1" s="151" t="s">
        <v>77</v>
      </c>
      <c r="B1" s="152"/>
      <c r="C1" s="153"/>
      <c r="D1" s="154" t="s">
        <v>78</v>
      </c>
      <c r="E1" s="155"/>
      <c r="F1" s="155"/>
      <c r="G1" s="155"/>
      <c r="H1" s="156"/>
      <c r="I1" s="98"/>
      <c r="J1" s="88"/>
      <c r="K1" s="100"/>
      <c r="L1" s="100"/>
      <c r="M1" s="100"/>
      <c r="N1" s="100" t="s">
        <v>79</v>
      </c>
      <c r="O1" s="100"/>
      <c r="P1" s="100"/>
      <c r="Q1" s="100"/>
      <c r="R1" s="100"/>
      <c r="S1" s="100"/>
      <c r="T1" s="100"/>
      <c r="U1" s="100"/>
      <c r="V1" s="100"/>
      <c r="W1" s="100"/>
      <c r="X1" s="106"/>
      <c r="Y1" s="108"/>
    </row>
    <row r="2" spans="1:25" customFormat="1" ht="31.5" customHeight="1">
      <c r="A2" s="157" t="s">
        <v>80</v>
      </c>
      <c r="B2" s="157"/>
      <c r="C2" s="158"/>
      <c r="D2" s="217" t="str">
        <f>_xlfn.CONCAT("Study Name: ","
OSEP – Other Health Impairment - Digital")</f>
        <v>Study Name: 
OSEP – Other Health Impairment - Digital</v>
      </c>
      <c r="E2" s="218"/>
      <c r="F2" s="218"/>
      <c r="G2" s="218"/>
      <c r="H2" s="219"/>
      <c r="I2" s="4"/>
      <c r="J2" s="4"/>
      <c r="K2" s="162" t="s">
        <v>81</v>
      </c>
      <c r="L2" s="163"/>
      <c r="M2" s="163"/>
      <c r="N2" s="163"/>
      <c r="O2" s="163"/>
      <c r="P2" s="163"/>
      <c r="Q2" s="163"/>
      <c r="R2" s="163"/>
      <c r="S2" s="163"/>
      <c r="T2" s="163"/>
      <c r="U2" s="163"/>
      <c r="V2" s="163"/>
      <c r="W2" s="163"/>
      <c r="X2" s="164"/>
      <c r="Y2" s="103"/>
    </row>
    <row r="3" spans="1:25" customFormat="1" ht="30.75" customHeight="1" thickBot="1">
      <c r="A3" s="2"/>
      <c r="B3" s="2"/>
      <c r="C3" s="2"/>
      <c r="D3" s="169" t="str">
        <f>_xlfn.CONCAT("Study Acronym: ","
OSEP_OHI_D")</f>
        <v>Study Acronym: 
OSEP_OHI_D</v>
      </c>
      <c r="E3" s="170"/>
      <c r="F3" s="171" t="s">
        <v>272</v>
      </c>
      <c r="G3" s="172"/>
      <c r="H3" s="173"/>
      <c r="I3" s="4"/>
      <c r="J3" s="4"/>
      <c r="K3" s="165"/>
      <c r="L3" s="163"/>
      <c r="M3" s="163"/>
      <c r="N3" s="163"/>
      <c r="O3" s="163"/>
      <c r="P3" s="163"/>
      <c r="Q3" s="163"/>
      <c r="R3" s="163"/>
      <c r="S3" s="163"/>
      <c r="T3" s="163"/>
      <c r="U3" s="163"/>
      <c r="V3" s="163"/>
      <c r="W3" s="163"/>
      <c r="X3" s="164"/>
      <c r="Y3" s="103"/>
    </row>
    <row r="4" spans="1:25" customFormat="1" ht="16.5" customHeight="1">
      <c r="A4" s="2"/>
      <c r="B4" s="24"/>
      <c r="C4" s="2"/>
      <c r="D4" s="2"/>
      <c r="E4" s="25"/>
      <c r="F4" s="25"/>
      <c r="G4" s="25"/>
      <c r="H4" s="25"/>
      <c r="I4" s="25"/>
      <c r="J4" s="25"/>
      <c r="K4" s="165"/>
      <c r="L4" s="163"/>
      <c r="M4" s="163"/>
      <c r="N4" s="163"/>
      <c r="O4" s="163"/>
      <c r="P4" s="163"/>
      <c r="Q4" s="163"/>
      <c r="R4" s="163"/>
      <c r="S4" s="163"/>
      <c r="T4" s="163"/>
      <c r="U4" s="163"/>
      <c r="V4" s="163"/>
      <c r="W4" s="163"/>
      <c r="X4" s="164"/>
      <c r="Y4" s="104"/>
    </row>
    <row r="5" spans="1:25" customFormat="1" ht="21.95" customHeight="1" thickBot="1">
      <c r="A5" s="2"/>
      <c r="B5" s="2"/>
      <c r="C5" s="102"/>
      <c r="D5" s="154" t="s">
        <v>82</v>
      </c>
      <c r="E5" s="155"/>
      <c r="F5" s="155"/>
      <c r="G5" s="155"/>
      <c r="H5" s="101"/>
      <c r="I5" s="98"/>
      <c r="J5" s="98"/>
      <c r="K5" s="165"/>
      <c r="L5" s="163"/>
      <c r="M5" s="163"/>
      <c r="N5" s="163"/>
      <c r="O5" s="163"/>
      <c r="P5" s="163"/>
      <c r="Q5" s="163"/>
      <c r="R5" s="163"/>
      <c r="S5" s="163"/>
      <c r="T5" s="163"/>
      <c r="U5" s="163"/>
      <c r="V5" s="163"/>
      <c r="W5" s="163"/>
      <c r="X5" s="164"/>
      <c r="Y5" s="105"/>
    </row>
    <row r="6" spans="1:25" customFormat="1" ht="60.95" customHeight="1" thickBot="1">
      <c r="A6" s="2"/>
      <c r="B6" s="2"/>
      <c r="C6" s="99"/>
      <c r="D6" s="214" t="s">
        <v>101</v>
      </c>
      <c r="E6" s="215"/>
      <c r="F6" s="215"/>
      <c r="G6" s="215"/>
      <c r="H6" s="216"/>
      <c r="I6" s="124"/>
      <c r="J6" s="125"/>
      <c r="K6" s="166"/>
      <c r="L6" s="167"/>
      <c r="M6" s="167"/>
      <c r="N6" s="167"/>
      <c r="O6" s="167"/>
      <c r="P6" s="167"/>
      <c r="Q6" s="167"/>
      <c r="R6" s="167"/>
      <c r="S6" s="167"/>
      <c r="T6" s="167"/>
      <c r="U6" s="167"/>
      <c r="V6" s="167"/>
      <c r="W6" s="167"/>
      <c r="X6" s="168"/>
      <c r="Y6" s="107"/>
    </row>
    <row r="7" spans="1:25" customFormat="1" ht="16.5" customHeight="1" thickBot="1">
      <c r="A7" s="2"/>
      <c r="B7" s="3"/>
      <c r="C7" s="26"/>
      <c r="D7" s="27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8"/>
      <c r="W7" s="3"/>
      <c r="X7" s="3"/>
      <c r="Y7" s="2"/>
    </row>
    <row r="8" spans="1:25" customFormat="1">
      <c r="A8" s="2"/>
      <c r="B8" s="177" t="str">
        <f>_xlfn.CONCAT("Last Refreshed at: ",aurora_data!V1232)</f>
        <v>Last Refreshed at: 09/17/2026 @ 7:20 AM</v>
      </c>
      <c r="C8" s="178"/>
      <c r="D8" s="178"/>
      <c r="E8" s="179" t="s">
        <v>83</v>
      </c>
      <c r="F8" s="180"/>
      <c r="G8" s="180"/>
      <c r="H8" s="180"/>
      <c r="I8" s="180"/>
      <c r="J8" s="180"/>
      <c r="K8" s="180"/>
      <c r="L8" s="180"/>
      <c r="M8" s="180"/>
      <c r="N8" s="180"/>
      <c r="O8" s="180"/>
      <c r="P8" s="180"/>
      <c r="Q8" s="180"/>
      <c r="R8" s="180"/>
      <c r="S8" s="180"/>
      <c r="T8" s="180"/>
      <c r="U8" s="181"/>
      <c r="V8" s="44"/>
      <c r="W8" s="182" t="s">
        <v>84</v>
      </c>
      <c r="X8" s="183"/>
      <c r="Y8" s="2"/>
    </row>
    <row r="9" spans="1:25" customFormat="1" ht="16.5" customHeight="1" thickBot="1">
      <c r="A9" s="2"/>
      <c r="B9" s="188"/>
      <c r="C9" s="189"/>
      <c r="D9" s="29" t="s">
        <v>85</v>
      </c>
      <c r="E9" s="190" t="s">
        <v>86</v>
      </c>
      <c r="F9" s="191"/>
      <c r="G9" s="191"/>
      <c r="H9" s="191"/>
      <c r="I9" s="191"/>
      <c r="J9" s="192" t="s">
        <v>86</v>
      </c>
      <c r="K9" s="193"/>
      <c r="L9" s="193"/>
      <c r="M9" s="193"/>
      <c r="N9" s="193"/>
      <c r="O9" s="194" t="s">
        <v>86</v>
      </c>
      <c r="P9" s="195"/>
      <c r="Q9" s="195"/>
      <c r="R9" s="195"/>
      <c r="S9" s="196" t="s">
        <v>86</v>
      </c>
      <c r="T9" s="197"/>
      <c r="U9" s="197"/>
      <c r="V9" s="28"/>
      <c r="W9" s="184"/>
      <c r="X9" s="185"/>
      <c r="Y9" s="2"/>
    </row>
    <row r="10" spans="1:25" customFormat="1" ht="17.25" thickTop="1" thickBot="1">
      <c r="A10" s="2"/>
      <c r="B10" s="198" t="s">
        <v>87</v>
      </c>
      <c r="C10" s="30"/>
      <c r="D10" s="31"/>
      <c r="E10" s="199" t="s">
        <v>88</v>
      </c>
      <c r="F10" s="200"/>
      <c r="G10" s="200"/>
      <c r="H10" s="200"/>
      <c r="I10" s="201"/>
      <c r="J10" s="200" t="s">
        <v>89</v>
      </c>
      <c r="K10" s="200"/>
      <c r="L10" s="200"/>
      <c r="M10" s="200"/>
      <c r="N10" s="201"/>
      <c r="O10" s="202" t="s">
        <v>90</v>
      </c>
      <c r="P10" s="202"/>
      <c r="Q10" s="202"/>
      <c r="R10" s="202"/>
      <c r="S10" s="203" t="s">
        <v>91</v>
      </c>
      <c r="T10" s="204"/>
      <c r="U10" s="205"/>
      <c r="V10" s="32"/>
      <c r="W10" s="184"/>
      <c r="X10" s="185"/>
      <c r="Y10" s="2"/>
    </row>
    <row r="11" spans="1:25" customFormat="1" ht="17.25" thickTop="1" thickBot="1">
      <c r="A11" s="2"/>
      <c r="B11" s="198"/>
      <c r="C11" s="30" t="s">
        <v>35</v>
      </c>
      <c r="D11" s="33" t="s">
        <v>37</v>
      </c>
      <c r="E11" s="96">
        <v>1</v>
      </c>
      <c r="F11" s="94">
        <v>2</v>
      </c>
      <c r="G11" s="95" t="s">
        <v>40</v>
      </c>
      <c r="H11" s="95">
        <v>4</v>
      </c>
      <c r="I11" s="95">
        <v>5</v>
      </c>
      <c r="J11" s="89" t="s">
        <v>43</v>
      </c>
      <c r="K11" s="89" t="s">
        <v>44</v>
      </c>
      <c r="L11" s="89" t="s">
        <v>45</v>
      </c>
      <c r="M11" s="93" t="s">
        <v>92</v>
      </c>
      <c r="N11" s="93" t="s">
        <v>47</v>
      </c>
      <c r="O11" s="89" t="s">
        <v>48</v>
      </c>
      <c r="P11" s="89" t="s">
        <v>49</v>
      </c>
      <c r="Q11" s="89" t="s">
        <v>50</v>
      </c>
      <c r="R11" s="89" t="s">
        <v>51</v>
      </c>
      <c r="S11" s="90" t="s">
        <v>52</v>
      </c>
      <c r="T11" s="91" t="s">
        <v>53</v>
      </c>
      <c r="U11" s="92" t="s">
        <v>93</v>
      </c>
      <c r="V11" s="28"/>
      <c r="W11" s="186"/>
      <c r="X11" s="187"/>
      <c r="Y11" s="2"/>
    </row>
    <row r="12" spans="1:25" customFormat="1">
      <c r="A12" s="2"/>
      <c r="B12" s="210" t="s">
        <v>94</v>
      </c>
      <c r="C12" s="212" t="str">
        <f>aurora_data!A1232</f>
        <v>06.00.00-06.11.30</v>
      </c>
      <c r="D12" s="34" t="s">
        <v>71</v>
      </c>
      <c r="E12" s="39">
        <f>IFERROR(aurora_data!D1232,0)</f>
        <v>0</v>
      </c>
      <c r="F12" s="40">
        <f>IFERROR(aurora_data!E1232,0)</f>
        <v>0</v>
      </c>
      <c r="G12" s="40">
        <f>IFERROR(aurora_data!F1232,0)</f>
        <v>0</v>
      </c>
      <c r="H12" s="40">
        <f>IFERROR(aurora_data!G1232,0)</f>
        <v>0</v>
      </c>
      <c r="I12" s="41">
        <f>IFERROR(aurora_data!H1232,0)</f>
        <v>0</v>
      </c>
      <c r="J12" s="39">
        <f>IFERROR(aurora_data!I1232,0)</f>
        <v>0</v>
      </c>
      <c r="K12" s="40">
        <f>IFERROR(aurora_data!J1232,0)</f>
        <v>0</v>
      </c>
      <c r="L12" s="40">
        <f>IFERROR(aurora_data!K1232,0)</f>
        <v>0</v>
      </c>
      <c r="M12" s="40">
        <f>IFERROR(aurora_data!L1232,0)</f>
        <v>0</v>
      </c>
      <c r="N12" s="41">
        <f>IFERROR(aurora_data!M1232,0)</f>
        <v>0</v>
      </c>
      <c r="O12" s="39">
        <f>IFERROR(aurora_data!N1232,0)</f>
        <v>0</v>
      </c>
      <c r="P12" s="40">
        <f>IFERROR(aurora_data!O1232,0)</f>
        <v>0</v>
      </c>
      <c r="Q12" s="40">
        <f>IFERROR(aurora_data!P1232,0)</f>
        <v>0</v>
      </c>
      <c r="R12" s="41">
        <f>IFERROR(aurora_data!Q1232,0)</f>
        <v>0</v>
      </c>
      <c r="S12" s="40">
        <f>IFERROR(aurora_data!R1232,0)</f>
        <v>0</v>
      </c>
      <c r="T12" s="40">
        <f>IFERROR(aurora_data!S1232,0)</f>
        <v>0</v>
      </c>
      <c r="U12" s="76">
        <f>IFERROR(aurora_data!T1232,0)</f>
        <v>0</v>
      </c>
      <c r="V12" s="61" t="s">
        <v>95</v>
      </c>
      <c r="W12" s="39">
        <f>IFERROR(aurora_data!U1232,0)</f>
        <v>1</v>
      </c>
      <c r="X12" s="70">
        <f>IFERROR(W12/$W$12,0)</f>
        <v>1</v>
      </c>
      <c r="Y12" s="2"/>
    </row>
    <row r="13" spans="1:25" customFormat="1">
      <c r="A13" s="2"/>
      <c r="B13" s="211"/>
      <c r="C13" s="213"/>
      <c r="D13" s="35" t="s">
        <v>96</v>
      </c>
      <c r="E13" s="110">
        <f>IFERROR(aurora_data!D1233,0)</f>
        <v>0</v>
      </c>
      <c r="F13" s="62">
        <f>IFERROR(aurora_data!E1233,0)</f>
        <v>0</v>
      </c>
      <c r="G13" s="62">
        <f>IFERROR(aurora_data!F1233,0)</f>
        <v>0</v>
      </c>
      <c r="H13" s="62">
        <f>IFERROR(aurora_data!G1233,0)</f>
        <v>0</v>
      </c>
      <c r="I13" s="63">
        <f>IFERROR(aurora_data!H1233,0)</f>
        <v>0</v>
      </c>
      <c r="J13" s="36">
        <f>IFERROR(aurora_data!I1233,0)</f>
        <v>0</v>
      </c>
      <c r="K13" s="62">
        <f>IFERROR(aurora_data!J1233,0)</f>
        <v>0</v>
      </c>
      <c r="L13" s="62">
        <f>IFERROR(aurora_data!K1233,0)</f>
        <v>0</v>
      </c>
      <c r="M13" s="62">
        <f>IFERROR(aurora_data!L1233,0)</f>
        <v>0</v>
      </c>
      <c r="N13" s="63">
        <f>IFERROR(aurora_data!M1233,0)</f>
        <v>0</v>
      </c>
      <c r="O13" s="36">
        <f>IFERROR(aurora_data!N1233,0)</f>
        <v>0</v>
      </c>
      <c r="P13" s="62">
        <f>IFERROR(aurora_data!O1233,0)</f>
        <v>0</v>
      </c>
      <c r="Q13" s="62">
        <f>IFERROR(aurora_data!P1233,0)</f>
        <v>0</v>
      </c>
      <c r="R13" s="63">
        <f>IFERROR(aurora_data!Q1233,0)</f>
        <v>0</v>
      </c>
      <c r="S13" s="62">
        <f>IFERROR(aurora_data!R1233,0)</f>
        <v>0</v>
      </c>
      <c r="T13" s="62">
        <f>IFERROR(aurora_data!S1233,0)</f>
        <v>0</v>
      </c>
      <c r="U13" s="63">
        <f>IFERROR(aurora_data!T1233,0)</f>
        <v>0</v>
      </c>
      <c r="V13" s="64" t="s">
        <v>95</v>
      </c>
      <c r="W13" s="36">
        <f>IFERROR(aurora_data!U1233,0)</f>
        <v>0</v>
      </c>
      <c r="X13" s="71">
        <f t="shared" ref="X13:X19" si="0">IFERROR(W13/$W$12,0)</f>
        <v>0</v>
      </c>
      <c r="Y13" s="2"/>
    </row>
    <row r="14" spans="1:25" customFormat="1">
      <c r="A14" s="2"/>
      <c r="B14" s="211"/>
      <c r="C14" s="213"/>
      <c r="D14" s="35" t="s">
        <v>60</v>
      </c>
      <c r="E14" s="110">
        <f>IFERROR(aurora_data!D1234,0)</f>
        <v>0</v>
      </c>
      <c r="F14" s="62">
        <f>IFERROR(aurora_data!E1234,0)</f>
        <v>0</v>
      </c>
      <c r="G14" s="62">
        <f>IFERROR(aurora_data!F1234,0)</f>
        <v>0</v>
      </c>
      <c r="H14" s="62">
        <f>IFERROR(aurora_data!G1234,0)</f>
        <v>0</v>
      </c>
      <c r="I14" s="63">
        <f>IFERROR(aurora_data!H1234,0)</f>
        <v>0</v>
      </c>
      <c r="J14" s="36">
        <f>IFERROR(aurora_data!I1234,0)</f>
        <v>0</v>
      </c>
      <c r="K14" s="62">
        <f>IFERROR(aurora_data!J1234,0)</f>
        <v>0</v>
      </c>
      <c r="L14" s="62">
        <f>IFERROR(aurora_data!K1234,0)</f>
        <v>0</v>
      </c>
      <c r="M14" s="62">
        <f>IFERROR(aurora_data!L1234,0)</f>
        <v>0</v>
      </c>
      <c r="N14" s="63">
        <f>IFERROR(aurora_data!M1234,0)</f>
        <v>0</v>
      </c>
      <c r="O14" s="36">
        <f>IFERROR(aurora_data!N1234,0)</f>
        <v>0</v>
      </c>
      <c r="P14" s="62">
        <f>IFERROR(aurora_data!O1234,0)</f>
        <v>0</v>
      </c>
      <c r="Q14" s="62">
        <f>IFERROR(aurora_data!P1234,0)</f>
        <v>0</v>
      </c>
      <c r="R14" s="63">
        <f>IFERROR(aurora_data!Q1234,0)</f>
        <v>0</v>
      </c>
      <c r="S14" s="62">
        <f>IFERROR(aurora_data!R1234,0)</f>
        <v>0</v>
      </c>
      <c r="T14" s="62">
        <f>IFERROR(aurora_data!S1234,0)</f>
        <v>0</v>
      </c>
      <c r="U14" s="63">
        <f>IFERROR(aurora_data!T1234,0)</f>
        <v>0</v>
      </c>
      <c r="V14" s="64" t="s">
        <v>95</v>
      </c>
      <c r="W14" s="36">
        <f>IFERROR(aurora_data!U1234,0)</f>
        <v>0</v>
      </c>
      <c r="X14" s="71">
        <f t="shared" si="0"/>
        <v>0</v>
      </c>
      <c r="Y14" s="2"/>
    </row>
    <row r="15" spans="1:25" customFormat="1">
      <c r="A15" s="2"/>
      <c r="B15" s="211"/>
      <c r="C15" s="213"/>
      <c r="D15" s="35" t="s">
        <v>97</v>
      </c>
      <c r="E15" s="36">
        <f>IFERROR(aurora_data!D1235,0)</f>
        <v>0</v>
      </c>
      <c r="F15" s="62">
        <f>IFERROR(aurora_data!E1235,0)</f>
        <v>0</v>
      </c>
      <c r="G15" s="62">
        <f>IFERROR(aurora_data!F1235,0)</f>
        <v>0</v>
      </c>
      <c r="H15" s="62">
        <f>IFERROR(aurora_data!G1235,0)</f>
        <v>0</v>
      </c>
      <c r="I15" s="63">
        <f>IFERROR(aurora_data!H1235,0)</f>
        <v>0</v>
      </c>
      <c r="J15" s="36">
        <f>IFERROR(aurora_data!I1235,0)</f>
        <v>0</v>
      </c>
      <c r="K15" s="62">
        <f>IFERROR(aurora_data!J1235,0)</f>
        <v>0</v>
      </c>
      <c r="L15" s="62">
        <f>IFERROR(aurora_data!K1235,0)</f>
        <v>0</v>
      </c>
      <c r="M15" s="62">
        <f>IFERROR(aurora_data!L1235,0)</f>
        <v>0</v>
      </c>
      <c r="N15" s="63">
        <f>IFERROR(aurora_data!M1235,0)</f>
        <v>0</v>
      </c>
      <c r="O15" s="36">
        <f>IFERROR(aurora_data!N1235,0)</f>
        <v>0</v>
      </c>
      <c r="P15" s="62">
        <f>IFERROR(aurora_data!O1235,0)</f>
        <v>0</v>
      </c>
      <c r="Q15" s="62">
        <f>IFERROR(aurora_data!P1235,0)</f>
        <v>0</v>
      </c>
      <c r="R15" s="63">
        <f>IFERROR(aurora_data!Q1235,0)</f>
        <v>0</v>
      </c>
      <c r="S15" s="62">
        <f>IFERROR(aurora_data!R1235,0)</f>
        <v>0</v>
      </c>
      <c r="T15" s="62">
        <f>IFERROR(aurora_data!S1235,0)</f>
        <v>0</v>
      </c>
      <c r="U15" s="63">
        <f>IFERROR(aurora_data!T1235,0)</f>
        <v>0</v>
      </c>
      <c r="V15" s="64" t="s">
        <v>95</v>
      </c>
      <c r="W15" s="36">
        <f>IFERROR(aurora_data!U1235,0)</f>
        <v>0</v>
      </c>
      <c r="X15" s="71">
        <f t="shared" si="0"/>
        <v>0</v>
      </c>
      <c r="Y15" s="2"/>
    </row>
    <row r="16" spans="1:25" customFormat="1">
      <c r="A16" s="2"/>
      <c r="B16" s="211"/>
      <c r="C16" s="213"/>
      <c r="D16" s="35" t="s">
        <v>98</v>
      </c>
      <c r="E16" s="36">
        <f>IFERROR(aurora_data!D1236,0)</f>
        <v>0</v>
      </c>
      <c r="F16" s="62">
        <f>IFERROR(aurora_data!E1236,0)</f>
        <v>0</v>
      </c>
      <c r="G16" s="62">
        <f>IFERROR(aurora_data!F1236,0)</f>
        <v>0</v>
      </c>
      <c r="H16" s="62">
        <f>IFERROR(aurora_data!G1236,0)</f>
        <v>0</v>
      </c>
      <c r="I16" s="63">
        <f>IFERROR(aurora_data!H1236,0)</f>
        <v>0</v>
      </c>
      <c r="J16" s="36">
        <f>IFERROR(aurora_data!I1236,0)</f>
        <v>0</v>
      </c>
      <c r="K16" s="62">
        <f>IFERROR(aurora_data!J1236,0)</f>
        <v>0</v>
      </c>
      <c r="L16" s="62">
        <f>IFERROR(aurora_data!K1236,0)</f>
        <v>0</v>
      </c>
      <c r="M16" s="62">
        <f>IFERROR(aurora_data!L1236,0)</f>
        <v>0</v>
      </c>
      <c r="N16" s="63">
        <f>IFERROR(aurora_data!M1236,0)</f>
        <v>0</v>
      </c>
      <c r="O16" s="36">
        <f>IFERROR(aurora_data!N1236,0)</f>
        <v>0</v>
      </c>
      <c r="P16" s="62">
        <f>IFERROR(aurora_data!O1236,0)</f>
        <v>0</v>
      </c>
      <c r="Q16" s="62">
        <f>IFERROR(aurora_data!P1236,0)</f>
        <v>0</v>
      </c>
      <c r="R16" s="63">
        <f>IFERROR(aurora_data!Q1236,0)</f>
        <v>0</v>
      </c>
      <c r="S16" s="62">
        <f>IFERROR(aurora_data!R1236,0)</f>
        <v>0</v>
      </c>
      <c r="T16" s="62">
        <f>IFERROR(aurora_data!S1236,0)</f>
        <v>0</v>
      </c>
      <c r="U16" s="63">
        <f>IFERROR(aurora_data!T1236,0)</f>
        <v>0</v>
      </c>
      <c r="V16" s="64" t="s">
        <v>95</v>
      </c>
      <c r="W16" s="36">
        <f>IFERROR(aurora_data!U1236,0)</f>
        <v>0</v>
      </c>
      <c r="X16" s="71">
        <f t="shared" si="0"/>
        <v>0</v>
      </c>
      <c r="Y16" s="2"/>
    </row>
    <row r="17" spans="1:25" customFormat="1" ht="16.5" thickBot="1">
      <c r="A17" s="2"/>
      <c r="B17" s="211"/>
      <c r="C17" s="213"/>
      <c r="D17" s="35" t="s">
        <v>99</v>
      </c>
      <c r="E17" s="36">
        <f>IFERROR(aurora_data!D1237,0)</f>
        <v>0</v>
      </c>
      <c r="F17" s="62">
        <f>IFERROR(aurora_data!E1237,0)</f>
        <v>0</v>
      </c>
      <c r="G17" s="62">
        <f>IFERROR(aurora_data!F1237,0)</f>
        <v>0</v>
      </c>
      <c r="H17" s="62">
        <f>IFERROR(aurora_data!G1237,0)</f>
        <v>0</v>
      </c>
      <c r="I17" s="63">
        <f>IFERROR(aurora_data!H1237,0)</f>
        <v>0</v>
      </c>
      <c r="J17" s="36">
        <f>IFERROR(aurora_data!I1237,0)</f>
        <v>0</v>
      </c>
      <c r="K17" s="62">
        <f>IFERROR(aurora_data!J1237,0)</f>
        <v>0</v>
      </c>
      <c r="L17" s="62">
        <f>IFERROR(aurora_data!K1237,0)</f>
        <v>0</v>
      </c>
      <c r="M17" s="62">
        <f>IFERROR(aurora_data!L1237,0)</f>
        <v>0</v>
      </c>
      <c r="N17" s="63">
        <f>IFERROR(aurora_data!M1237,0)</f>
        <v>0</v>
      </c>
      <c r="O17" s="36">
        <f>IFERROR(aurora_data!N1237,0)</f>
        <v>0</v>
      </c>
      <c r="P17" s="62">
        <f>IFERROR(aurora_data!O1237,0)</f>
        <v>0</v>
      </c>
      <c r="Q17" s="62">
        <f>IFERROR(aurora_data!P1237,0)</f>
        <v>0</v>
      </c>
      <c r="R17" s="63">
        <f>IFERROR(aurora_data!Q1237,0)</f>
        <v>0</v>
      </c>
      <c r="S17" s="62">
        <f>IFERROR(aurora_data!R1237,0)</f>
        <v>0</v>
      </c>
      <c r="T17" s="62">
        <f>IFERROR(aurora_data!S1237,0)</f>
        <v>0</v>
      </c>
      <c r="U17" s="63">
        <f>IFERROR(aurora_data!T1237,0)</f>
        <v>0</v>
      </c>
      <c r="V17" s="64" t="s">
        <v>95</v>
      </c>
      <c r="W17" s="36">
        <f>IFERROR(aurora_data!U1237,0)</f>
        <v>0</v>
      </c>
      <c r="X17" s="71">
        <f t="shared" si="0"/>
        <v>0</v>
      </c>
      <c r="Y17" s="2"/>
    </row>
    <row r="18" spans="1:25" customFormat="1" ht="16.5" thickBot="1">
      <c r="A18" s="2"/>
      <c r="B18" s="211"/>
      <c r="C18" s="213"/>
      <c r="D18" s="37" t="s">
        <v>64</v>
      </c>
      <c r="E18" s="59">
        <f>IFERROR(aurora_data!D1238,0)</f>
        <v>0</v>
      </c>
      <c r="F18" s="65">
        <f>IFERROR(aurora_data!E1238,0)</f>
        <v>0</v>
      </c>
      <c r="G18" s="65">
        <f>IFERROR(aurora_data!F1238,0)</f>
        <v>0</v>
      </c>
      <c r="H18" s="65">
        <f>IFERROR(aurora_data!G1238,0)</f>
        <v>0</v>
      </c>
      <c r="I18" s="66">
        <f>IFERROR(aurora_data!H1238,0)</f>
        <v>0</v>
      </c>
      <c r="J18" s="59">
        <f>IFERROR(aurora_data!I1238,0)</f>
        <v>0</v>
      </c>
      <c r="K18" s="65">
        <f>IFERROR(aurora_data!J1238,0)</f>
        <v>0</v>
      </c>
      <c r="L18" s="65">
        <f>IFERROR(aurora_data!K1238,0)</f>
        <v>0</v>
      </c>
      <c r="M18" s="65">
        <f>IFERROR(aurora_data!L1238,0)</f>
        <v>0</v>
      </c>
      <c r="N18" s="66">
        <f>IFERROR(aurora_data!M1238,0)</f>
        <v>0</v>
      </c>
      <c r="O18" s="59">
        <f>IFERROR(aurora_data!N1238,0)</f>
        <v>0</v>
      </c>
      <c r="P18" s="65">
        <f>IFERROR(aurora_data!O1238,0)</f>
        <v>0</v>
      </c>
      <c r="Q18" s="65">
        <f>IFERROR(aurora_data!P1238,0)</f>
        <v>0</v>
      </c>
      <c r="R18" s="66">
        <f>IFERROR(aurora_data!Q1238,0)</f>
        <v>0</v>
      </c>
      <c r="S18" s="65">
        <f>IFERROR(aurora_data!R1238,0)</f>
        <v>0</v>
      </c>
      <c r="T18" s="65">
        <f>IFERROR(aurora_data!S1238,0)</f>
        <v>0</v>
      </c>
      <c r="U18" s="66">
        <f>IFERROR(aurora_data!T1238,0)</f>
        <v>0</v>
      </c>
      <c r="V18" s="67" t="s">
        <v>95</v>
      </c>
      <c r="W18" s="59">
        <f>IFERROR(aurora_data!U1238,0)</f>
        <v>0</v>
      </c>
      <c r="X18" s="72">
        <f t="shared" si="0"/>
        <v>0</v>
      </c>
      <c r="Y18" s="2"/>
    </row>
    <row r="19" spans="1:25" customFormat="1" ht="16.5" thickBot="1">
      <c r="A19" s="2"/>
      <c r="B19" s="211"/>
      <c r="C19" s="213"/>
      <c r="D19" s="38" t="s">
        <v>100</v>
      </c>
      <c r="E19" s="60">
        <f>IFERROR(aurora_data!D1239,0)</f>
        <v>0</v>
      </c>
      <c r="F19" s="68">
        <f>IFERROR(aurora_data!E1239,0)</f>
        <v>0</v>
      </c>
      <c r="G19" s="68">
        <f>IFERROR(aurora_data!F1239,0)</f>
        <v>0</v>
      </c>
      <c r="H19" s="68">
        <f>IFERROR(aurora_data!G1239,0)</f>
        <v>0</v>
      </c>
      <c r="I19" s="69">
        <f>IFERROR(aurora_data!H1239,0)</f>
        <v>0</v>
      </c>
      <c r="J19" s="60">
        <f>IFERROR(aurora_data!I1239,0)</f>
        <v>0</v>
      </c>
      <c r="K19" s="68">
        <f>IFERROR(aurora_data!J1239,0)</f>
        <v>0</v>
      </c>
      <c r="L19" s="68">
        <f>IFERROR(aurora_data!K1239,0)</f>
        <v>0</v>
      </c>
      <c r="M19" s="68">
        <f>IFERROR(aurora_data!L1239,0)</f>
        <v>0</v>
      </c>
      <c r="N19" s="69">
        <f>IFERROR(aurora_data!M1239,0)</f>
        <v>0</v>
      </c>
      <c r="O19" s="60">
        <f>IFERROR(aurora_data!N1239,0)</f>
        <v>0</v>
      </c>
      <c r="P19" s="68">
        <f>IFERROR(aurora_data!O1239,0)</f>
        <v>0</v>
      </c>
      <c r="Q19" s="68">
        <f>IFERROR(aurora_data!P1239,0)</f>
        <v>0</v>
      </c>
      <c r="R19" s="69">
        <f>IFERROR(aurora_data!Q1239,0)</f>
        <v>0</v>
      </c>
      <c r="S19" s="68">
        <f>IFERROR(aurora_data!R1239,0)</f>
        <v>0</v>
      </c>
      <c r="T19" s="68">
        <f>IFERROR(aurora_data!S1239,0)</f>
        <v>0</v>
      </c>
      <c r="U19" s="74">
        <f>IFERROR(aurora_data!T1239,0)</f>
        <v>0</v>
      </c>
      <c r="V19" s="75" t="s">
        <v>95</v>
      </c>
      <c r="W19" s="60">
        <f>IFERROR(aurora_data!U1239,0)</f>
        <v>0</v>
      </c>
      <c r="X19" s="73">
        <f t="shared" si="0"/>
        <v>0</v>
      </c>
      <c r="Y19" s="2"/>
    </row>
    <row r="20" spans="1:25" customFormat="1">
      <c r="A20" s="2"/>
      <c r="B20" s="210" t="s">
        <v>94</v>
      </c>
      <c r="C20" s="212" t="str">
        <f>aurora_data!A1240</f>
        <v>07.00.00-07.11.30</v>
      </c>
      <c r="D20" s="34" t="s">
        <v>71</v>
      </c>
      <c r="E20" s="39">
        <f>IFERROR(aurora_data!D1240,0)</f>
        <v>0</v>
      </c>
      <c r="F20" s="40">
        <f>IFERROR(aurora_data!E1240,0)</f>
        <v>0</v>
      </c>
      <c r="G20" s="40">
        <f>IFERROR(aurora_data!F1240,0)</f>
        <v>0</v>
      </c>
      <c r="H20" s="40">
        <f>IFERROR(aurora_data!G1240,0)</f>
        <v>0</v>
      </c>
      <c r="I20" s="41">
        <f>IFERROR(aurora_data!H1240,0)</f>
        <v>0</v>
      </c>
      <c r="J20" s="39">
        <f>IFERROR(aurora_data!I1240,0)</f>
        <v>0</v>
      </c>
      <c r="K20" s="40">
        <f>IFERROR(aurora_data!J1240,0)</f>
        <v>0</v>
      </c>
      <c r="L20" s="40">
        <f>IFERROR(aurora_data!K1240,0)</f>
        <v>0</v>
      </c>
      <c r="M20" s="40">
        <f>IFERROR(aurora_data!L1240,0)</f>
        <v>0</v>
      </c>
      <c r="N20" s="41">
        <f>IFERROR(aurora_data!M1240,0)</f>
        <v>0</v>
      </c>
      <c r="O20" s="39">
        <f>IFERROR(aurora_data!N1240,0)</f>
        <v>0</v>
      </c>
      <c r="P20" s="40">
        <f>IFERROR(aurora_data!O1240,0)</f>
        <v>0</v>
      </c>
      <c r="Q20" s="40">
        <f>IFERROR(aurora_data!P1240,0)</f>
        <v>0</v>
      </c>
      <c r="R20" s="41">
        <f>IFERROR(aurora_data!Q1240,0)</f>
        <v>0</v>
      </c>
      <c r="S20" s="40">
        <f>IFERROR(aurora_data!R1240,0)</f>
        <v>0</v>
      </c>
      <c r="T20" s="40">
        <f>IFERROR(aurora_data!S1240,0)</f>
        <v>0</v>
      </c>
      <c r="U20" s="76">
        <f>IFERROR(aurora_data!T1240,0)</f>
        <v>0</v>
      </c>
      <c r="V20" s="61" t="s">
        <v>95</v>
      </c>
      <c r="W20" s="39">
        <f>IFERROR(aurora_data!U1240,0)</f>
        <v>2</v>
      </c>
      <c r="X20" s="70">
        <f>IFERROR(W20/$W$12,0)</f>
        <v>2</v>
      </c>
      <c r="Y20" s="2"/>
    </row>
    <row r="21" spans="1:25" customFormat="1">
      <c r="A21" s="2"/>
      <c r="B21" s="211"/>
      <c r="C21" s="213"/>
      <c r="D21" s="35" t="s">
        <v>96</v>
      </c>
      <c r="E21" s="110">
        <f>IFERROR(aurora_data!D1241,0)</f>
        <v>0</v>
      </c>
      <c r="F21" s="62">
        <f>IFERROR(aurora_data!E1241,0)</f>
        <v>0</v>
      </c>
      <c r="G21" s="62">
        <f>IFERROR(aurora_data!F1241,0)</f>
        <v>0</v>
      </c>
      <c r="H21" s="62">
        <f>IFERROR(aurora_data!G1241,0)</f>
        <v>0</v>
      </c>
      <c r="I21" s="63">
        <f>IFERROR(aurora_data!H1241,0)</f>
        <v>0</v>
      </c>
      <c r="J21" s="36">
        <f>IFERROR(aurora_data!I1241,0)</f>
        <v>0</v>
      </c>
      <c r="K21" s="62">
        <f>IFERROR(aurora_data!J1241,0)</f>
        <v>0</v>
      </c>
      <c r="L21" s="62">
        <f>IFERROR(aurora_data!K1241,0)</f>
        <v>0</v>
      </c>
      <c r="M21" s="62">
        <f>IFERROR(aurora_data!L1241,0)</f>
        <v>0</v>
      </c>
      <c r="N21" s="63">
        <f>IFERROR(aurora_data!M1241,0)</f>
        <v>0</v>
      </c>
      <c r="O21" s="36">
        <f>IFERROR(aurora_data!N1241,0)</f>
        <v>0</v>
      </c>
      <c r="P21" s="62">
        <f>IFERROR(aurora_data!O1241,0)</f>
        <v>0</v>
      </c>
      <c r="Q21" s="62">
        <f>IFERROR(aurora_data!P1241,0)</f>
        <v>0</v>
      </c>
      <c r="R21" s="63">
        <f>IFERROR(aurora_data!Q1241,0)</f>
        <v>0</v>
      </c>
      <c r="S21" s="62">
        <f>IFERROR(aurora_data!R1241,0)</f>
        <v>0</v>
      </c>
      <c r="T21" s="62">
        <f>IFERROR(aurora_data!S1241,0)</f>
        <v>0</v>
      </c>
      <c r="U21" s="63">
        <f>IFERROR(aurora_data!T1241,0)</f>
        <v>0</v>
      </c>
      <c r="V21" s="64" t="s">
        <v>95</v>
      </c>
      <c r="W21" s="36">
        <f>IFERROR(aurora_data!U1241,0)</f>
        <v>0</v>
      </c>
      <c r="X21" s="71">
        <f t="shared" ref="X21:X27" si="1">IFERROR(W21/$W$12,0)</f>
        <v>0</v>
      </c>
      <c r="Y21" s="2"/>
    </row>
    <row r="22" spans="1:25" customFormat="1">
      <c r="A22" s="2"/>
      <c r="B22" s="211"/>
      <c r="C22" s="213"/>
      <c r="D22" s="35" t="s">
        <v>60</v>
      </c>
      <c r="E22" s="110">
        <f>IFERROR(aurora_data!D1242,0)</f>
        <v>0</v>
      </c>
      <c r="F22" s="62">
        <f>IFERROR(aurora_data!E1242,0)</f>
        <v>0</v>
      </c>
      <c r="G22" s="62">
        <f>IFERROR(aurora_data!F1242,0)</f>
        <v>0</v>
      </c>
      <c r="H22" s="62">
        <f>IFERROR(aurora_data!G1242,0)</f>
        <v>0</v>
      </c>
      <c r="I22" s="63">
        <f>IFERROR(aurora_data!H1242,0)</f>
        <v>0</v>
      </c>
      <c r="J22" s="36">
        <f>IFERROR(aurora_data!I1242,0)</f>
        <v>0</v>
      </c>
      <c r="K22" s="62">
        <f>IFERROR(aurora_data!J1242,0)</f>
        <v>0</v>
      </c>
      <c r="L22" s="62">
        <f>IFERROR(aurora_data!K1242,0)</f>
        <v>0</v>
      </c>
      <c r="M22" s="62">
        <f>IFERROR(aurora_data!L1242,0)</f>
        <v>0</v>
      </c>
      <c r="N22" s="63">
        <f>IFERROR(aurora_data!M1242,0)</f>
        <v>0</v>
      </c>
      <c r="O22" s="36">
        <f>IFERROR(aurora_data!N1242,0)</f>
        <v>0</v>
      </c>
      <c r="P22" s="62">
        <f>IFERROR(aurora_data!O1242,0)</f>
        <v>0</v>
      </c>
      <c r="Q22" s="62">
        <f>IFERROR(aurora_data!P1242,0)</f>
        <v>0</v>
      </c>
      <c r="R22" s="63">
        <f>IFERROR(aurora_data!Q1242,0)</f>
        <v>0</v>
      </c>
      <c r="S22" s="62">
        <f>IFERROR(aurora_data!R1242,0)</f>
        <v>0</v>
      </c>
      <c r="T22" s="62">
        <f>IFERROR(aurora_data!S1242,0)</f>
        <v>0</v>
      </c>
      <c r="U22" s="63">
        <f>IFERROR(aurora_data!T1242,0)</f>
        <v>0</v>
      </c>
      <c r="V22" s="64" t="s">
        <v>95</v>
      </c>
      <c r="W22" s="36">
        <f>IFERROR(aurora_data!U1242,0)</f>
        <v>0</v>
      </c>
      <c r="X22" s="71">
        <f t="shared" si="1"/>
        <v>0</v>
      </c>
      <c r="Y22" s="2"/>
    </row>
    <row r="23" spans="1:25" customFormat="1">
      <c r="A23" s="2"/>
      <c r="B23" s="211"/>
      <c r="C23" s="213"/>
      <c r="D23" s="35" t="s">
        <v>97</v>
      </c>
      <c r="E23" s="36">
        <f>IFERROR(aurora_data!D1243,0)</f>
        <v>0</v>
      </c>
      <c r="F23" s="62">
        <f>IFERROR(aurora_data!E1243,0)</f>
        <v>0</v>
      </c>
      <c r="G23" s="62">
        <f>IFERROR(aurora_data!F1243,0)</f>
        <v>0</v>
      </c>
      <c r="H23" s="62">
        <f>IFERROR(aurora_data!G1243,0)</f>
        <v>0</v>
      </c>
      <c r="I23" s="63">
        <f>IFERROR(aurora_data!H1243,0)</f>
        <v>0</v>
      </c>
      <c r="J23" s="36">
        <f>IFERROR(aurora_data!I1243,0)</f>
        <v>0</v>
      </c>
      <c r="K23" s="62">
        <f>IFERROR(aurora_data!J1243,0)</f>
        <v>0</v>
      </c>
      <c r="L23" s="62">
        <f>IFERROR(aurora_data!K1243,0)</f>
        <v>0</v>
      </c>
      <c r="M23" s="62">
        <f>IFERROR(aurora_data!L1243,0)</f>
        <v>0</v>
      </c>
      <c r="N23" s="63">
        <f>IFERROR(aurora_data!M1243,0)</f>
        <v>0</v>
      </c>
      <c r="O23" s="36">
        <f>IFERROR(aurora_data!N1243,0)</f>
        <v>0</v>
      </c>
      <c r="P23" s="62">
        <f>IFERROR(aurora_data!O1243,0)</f>
        <v>0</v>
      </c>
      <c r="Q23" s="62">
        <f>IFERROR(aurora_data!P1243,0)</f>
        <v>0</v>
      </c>
      <c r="R23" s="63">
        <f>IFERROR(aurora_data!Q1243,0)</f>
        <v>0</v>
      </c>
      <c r="S23" s="62">
        <f>IFERROR(aurora_data!R1243,0)</f>
        <v>0</v>
      </c>
      <c r="T23" s="62">
        <f>IFERROR(aurora_data!S1243,0)</f>
        <v>0</v>
      </c>
      <c r="U23" s="63">
        <f>IFERROR(aurora_data!T1243,0)</f>
        <v>0</v>
      </c>
      <c r="V23" s="64" t="s">
        <v>95</v>
      </c>
      <c r="W23" s="36">
        <f>IFERROR(aurora_data!U1243,0)</f>
        <v>0</v>
      </c>
      <c r="X23" s="71">
        <f t="shared" si="1"/>
        <v>0</v>
      </c>
      <c r="Y23" s="2"/>
    </row>
    <row r="24" spans="1:25" customFormat="1">
      <c r="A24" s="2"/>
      <c r="B24" s="211"/>
      <c r="C24" s="213"/>
      <c r="D24" s="35" t="s">
        <v>98</v>
      </c>
      <c r="E24" s="36">
        <f>IFERROR(aurora_data!D1244,0)</f>
        <v>0</v>
      </c>
      <c r="F24" s="62">
        <f>IFERROR(aurora_data!E1244,0)</f>
        <v>0</v>
      </c>
      <c r="G24" s="62">
        <f>IFERROR(aurora_data!F1244,0)</f>
        <v>0</v>
      </c>
      <c r="H24" s="62">
        <f>IFERROR(aurora_data!G1244,0)</f>
        <v>0</v>
      </c>
      <c r="I24" s="63">
        <f>IFERROR(aurora_data!H1244,0)</f>
        <v>0</v>
      </c>
      <c r="J24" s="36">
        <f>IFERROR(aurora_data!I1244,0)</f>
        <v>0</v>
      </c>
      <c r="K24" s="62">
        <f>IFERROR(aurora_data!J1244,0)</f>
        <v>0</v>
      </c>
      <c r="L24" s="62">
        <f>IFERROR(aurora_data!K1244,0)</f>
        <v>0</v>
      </c>
      <c r="M24" s="62">
        <f>IFERROR(aurora_data!L1244,0)</f>
        <v>0</v>
      </c>
      <c r="N24" s="63">
        <f>IFERROR(aurora_data!M1244,0)</f>
        <v>0</v>
      </c>
      <c r="O24" s="36">
        <f>IFERROR(aurora_data!N1244,0)</f>
        <v>0</v>
      </c>
      <c r="P24" s="62">
        <f>IFERROR(aurora_data!O1244,0)</f>
        <v>0</v>
      </c>
      <c r="Q24" s="62">
        <f>IFERROR(aurora_data!P1244,0)</f>
        <v>0</v>
      </c>
      <c r="R24" s="63">
        <f>IFERROR(aurora_data!Q1244,0)</f>
        <v>0</v>
      </c>
      <c r="S24" s="62">
        <f>IFERROR(aurora_data!R1244,0)</f>
        <v>0</v>
      </c>
      <c r="T24" s="62">
        <f>IFERROR(aurora_data!S1244,0)</f>
        <v>0</v>
      </c>
      <c r="U24" s="63">
        <f>IFERROR(aurora_data!T1244,0)</f>
        <v>0</v>
      </c>
      <c r="V24" s="64" t="s">
        <v>95</v>
      </c>
      <c r="W24" s="36">
        <f>IFERROR(aurora_data!U1244,0)</f>
        <v>0</v>
      </c>
      <c r="X24" s="71">
        <f t="shared" si="1"/>
        <v>0</v>
      </c>
      <c r="Y24" s="2"/>
    </row>
    <row r="25" spans="1:25" customFormat="1" ht="16.5" thickBot="1">
      <c r="A25" s="2"/>
      <c r="B25" s="211"/>
      <c r="C25" s="213"/>
      <c r="D25" s="35" t="s">
        <v>99</v>
      </c>
      <c r="E25" s="36">
        <f>IFERROR(aurora_data!D1245,0)</f>
        <v>0</v>
      </c>
      <c r="F25" s="62">
        <f>IFERROR(aurora_data!E1245,0)</f>
        <v>0</v>
      </c>
      <c r="G25" s="62">
        <f>IFERROR(aurora_data!F1245,0)</f>
        <v>0</v>
      </c>
      <c r="H25" s="62">
        <f>IFERROR(aurora_data!G1245,0)</f>
        <v>0</v>
      </c>
      <c r="I25" s="63">
        <f>IFERROR(aurora_data!H1245,0)</f>
        <v>0</v>
      </c>
      <c r="J25" s="36">
        <f>IFERROR(aurora_data!I1245,0)</f>
        <v>0</v>
      </c>
      <c r="K25" s="62">
        <f>IFERROR(aurora_data!J1245,0)</f>
        <v>0</v>
      </c>
      <c r="L25" s="62">
        <f>IFERROR(aurora_data!K1245,0)</f>
        <v>0</v>
      </c>
      <c r="M25" s="62">
        <f>IFERROR(aurora_data!L1245,0)</f>
        <v>0</v>
      </c>
      <c r="N25" s="63">
        <f>IFERROR(aurora_data!M1245,0)</f>
        <v>0</v>
      </c>
      <c r="O25" s="36">
        <f>IFERROR(aurora_data!N1245,0)</f>
        <v>0</v>
      </c>
      <c r="P25" s="62">
        <f>IFERROR(aurora_data!O1245,0)</f>
        <v>0</v>
      </c>
      <c r="Q25" s="62">
        <f>IFERROR(aurora_data!P1245,0)</f>
        <v>0</v>
      </c>
      <c r="R25" s="63">
        <f>IFERROR(aurora_data!Q1245,0)</f>
        <v>0</v>
      </c>
      <c r="S25" s="62">
        <f>IFERROR(aurora_data!R1245,0)</f>
        <v>0</v>
      </c>
      <c r="T25" s="62">
        <f>IFERROR(aurora_data!S1245,0)</f>
        <v>0</v>
      </c>
      <c r="U25" s="63">
        <f>IFERROR(aurora_data!T1245,0)</f>
        <v>0</v>
      </c>
      <c r="V25" s="64" t="s">
        <v>95</v>
      </c>
      <c r="W25" s="36">
        <f>IFERROR(aurora_data!U1245,0)</f>
        <v>0</v>
      </c>
      <c r="X25" s="71">
        <f t="shared" si="1"/>
        <v>0</v>
      </c>
      <c r="Y25" s="2"/>
    </row>
    <row r="26" spans="1:25" customFormat="1" ht="16.5" thickBot="1">
      <c r="A26" s="2"/>
      <c r="B26" s="211"/>
      <c r="C26" s="213"/>
      <c r="D26" s="37" t="s">
        <v>64</v>
      </c>
      <c r="E26" s="59">
        <f>IFERROR(aurora_data!D1246,0)</f>
        <v>0</v>
      </c>
      <c r="F26" s="65">
        <f>IFERROR(aurora_data!E1246,0)</f>
        <v>0</v>
      </c>
      <c r="G26" s="65">
        <f>IFERROR(aurora_data!F1246,0)</f>
        <v>0</v>
      </c>
      <c r="H26" s="65">
        <f>IFERROR(aurora_data!G1246,0)</f>
        <v>0</v>
      </c>
      <c r="I26" s="66">
        <f>IFERROR(aurora_data!H1246,0)</f>
        <v>0</v>
      </c>
      <c r="J26" s="59">
        <f>IFERROR(aurora_data!I1246,0)</f>
        <v>0</v>
      </c>
      <c r="K26" s="65">
        <f>IFERROR(aurora_data!J1246,0)</f>
        <v>0</v>
      </c>
      <c r="L26" s="65">
        <f>IFERROR(aurora_data!K1246,0)</f>
        <v>0</v>
      </c>
      <c r="M26" s="65">
        <f>IFERROR(aurora_data!L1246,0)</f>
        <v>0</v>
      </c>
      <c r="N26" s="66">
        <f>IFERROR(aurora_data!M1246,0)</f>
        <v>0</v>
      </c>
      <c r="O26" s="59">
        <f>IFERROR(aurora_data!N1246,0)</f>
        <v>0</v>
      </c>
      <c r="P26" s="65">
        <f>IFERROR(aurora_data!O1246,0)</f>
        <v>0</v>
      </c>
      <c r="Q26" s="65">
        <f>IFERROR(aurora_data!P1246,0)</f>
        <v>0</v>
      </c>
      <c r="R26" s="66">
        <f>IFERROR(aurora_data!Q1246,0)</f>
        <v>0</v>
      </c>
      <c r="S26" s="65">
        <f>IFERROR(aurora_data!R1246,0)</f>
        <v>0</v>
      </c>
      <c r="T26" s="65">
        <f>IFERROR(aurora_data!S1246,0)</f>
        <v>0</v>
      </c>
      <c r="U26" s="66">
        <f>IFERROR(aurora_data!T1246,0)</f>
        <v>0</v>
      </c>
      <c r="V26" s="67" t="s">
        <v>95</v>
      </c>
      <c r="W26" s="59">
        <f>IFERROR(aurora_data!U1246,0)</f>
        <v>0</v>
      </c>
      <c r="X26" s="72">
        <f t="shared" si="1"/>
        <v>0</v>
      </c>
      <c r="Y26" s="2"/>
    </row>
    <row r="27" spans="1:25" customFormat="1" ht="16.5" thickBot="1">
      <c r="A27" s="2"/>
      <c r="B27" s="211"/>
      <c r="C27" s="213"/>
      <c r="D27" s="38" t="s">
        <v>100</v>
      </c>
      <c r="E27" s="60">
        <f>IFERROR(aurora_data!D1247,0)</f>
        <v>0</v>
      </c>
      <c r="F27" s="68">
        <f>IFERROR(aurora_data!E1247,0)</f>
        <v>0</v>
      </c>
      <c r="G27" s="68">
        <f>IFERROR(aurora_data!F1247,0)</f>
        <v>0</v>
      </c>
      <c r="H27" s="68">
        <f>IFERROR(aurora_data!G1247,0)</f>
        <v>0</v>
      </c>
      <c r="I27" s="69">
        <f>IFERROR(aurora_data!H1247,0)</f>
        <v>0</v>
      </c>
      <c r="J27" s="60">
        <f>IFERROR(aurora_data!I1247,0)</f>
        <v>0</v>
      </c>
      <c r="K27" s="68">
        <f>IFERROR(aurora_data!J1247,0)</f>
        <v>0</v>
      </c>
      <c r="L27" s="68">
        <f>IFERROR(aurora_data!K1247,0)</f>
        <v>0</v>
      </c>
      <c r="M27" s="68">
        <f>IFERROR(aurora_data!L1247,0)</f>
        <v>0</v>
      </c>
      <c r="N27" s="69">
        <f>IFERROR(aurora_data!M1247,0)</f>
        <v>0</v>
      </c>
      <c r="O27" s="60">
        <f>IFERROR(aurora_data!N1247,0)</f>
        <v>0</v>
      </c>
      <c r="P27" s="68">
        <f>IFERROR(aurora_data!O1247,0)</f>
        <v>0</v>
      </c>
      <c r="Q27" s="68">
        <f>IFERROR(aurora_data!P1247,0)</f>
        <v>0</v>
      </c>
      <c r="R27" s="69">
        <f>IFERROR(aurora_data!Q1247,0)</f>
        <v>0</v>
      </c>
      <c r="S27" s="68">
        <f>IFERROR(aurora_data!R1247,0)</f>
        <v>0</v>
      </c>
      <c r="T27" s="68">
        <f>IFERROR(aurora_data!S1247,0)</f>
        <v>0</v>
      </c>
      <c r="U27" s="74">
        <f>IFERROR(aurora_data!T1247,0)</f>
        <v>0</v>
      </c>
      <c r="V27" s="75" t="s">
        <v>95</v>
      </c>
      <c r="W27" s="60">
        <f>IFERROR(aurora_data!U1247,0)</f>
        <v>0</v>
      </c>
      <c r="X27" s="73">
        <f t="shared" si="1"/>
        <v>0</v>
      </c>
      <c r="Y27" s="2"/>
    </row>
    <row r="28" spans="1:25" customFormat="1">
      <c r="A28" s="2"/>
      <c r="B28" s="210" t="s">
        <v>94</v>
      </c>
      <c r="C28" s="212" t="str">
        <f>aurora_data!A1248</f>
        <v>08.00.00-08.11.30</v>
      </c>
      <c r="D28" s="34" t="s">
        <v>71</v>
      </c>
      <c r="E28" s="39">
        <f>IFERROR(aurora_data!D1248,0)</f>
        <v>0</v>
      </c>
      <c r="F28" s="40">
        <f>IFERROR(aurora_data!E1248,0)</f>
        <v>0</v>
      </c>
      <c r="G28" s="40">
        <f>IFERROR(aurora_data!F1248,0)</f>
        <v>0</v>
      </c>
      <c r="H28" s="40">
        <f>IFERROR(aurora_data!G1248,0)</f>
        <v>0</v>
      </c>
      <c r="I28" s="41">
        <f>IFERROR(aurora_data!H1248,0)</f>
        <v>0</v>
      </c>
      <c r="J28" s="39">
        <f>IFERROR(aurora_data!I1248,0)</f>
        <v>0</v>
      </c>
      <c r="K28" s="40">
        <f>IFERROR(aurora_data!J1248,0)</f>
        <v>0</v>
      </c>
      <c r="L28" s="40">
        <f>IFERROR(aurora_data!K1248,0)</f>
        <v>0</v>
      </c>
      <c r="M28" s="40">
        <f>IFERROR(aurora_data!L1248,0)</f>
        <v>0</v>
      </c>
      <c r="N28" s="41">
        <f>IFERROR(aurora_data!M1248,0)</f>
        <v>0</v>
      </c>
      <c r="O28" s="39">
        <f>IFERROR(aurora_data!N1248,0)</f>
        <v>0</v>
      </c>
      <c r="P28" s="40">
        <f>IFERROR(aurora_data!O1248,0)</f>
        <v>0</v>
      </c>
      <c r="Q28" s="40">
        <f>IFERROR(aurora_data!P1248,0)</f>
        <v>0</v>
      </c>
      <c r="R28" s="41">
        <f>IFERROR(aurora_data!Q1248,0)</f>
        <v>0</v>
      </c>
      <c r="S28" s="40">
        <f>IFERROR(aurora_data!R1248,0)</f>
        <v>0</v>
      </c>
      <c r="T28" s="40">
        <f>IFERROR(aurora_data!S1248,0)</f>
        <v>0</v>
      </c>
      <c r="U28" s="76">
        <f>IFERROR(aurora_data!T1248,0)</f>
        <v>0</v>
      </c>
      <c r="V28" s="61" t="s">
        <v>95</v>
      </c>
      <c r="W28" s="39">
        <f>IFERROR(aurora_data!U1248,0)</f>
        <v>1</v>
      </c>
      <c r="X28" s="70">
        <f>IFERROR(W28/$W$12,0)</f>
        <v>1</v>
      </c>
      <c r="Y28" s="2"/>
    </row>
    <row r="29" spans="1:25" customFormat="1">
      <c r="A29" s="2"/>
      <c r="B29" s="211"/>
      <c r="C29" s="213"/>
      <c r="D29" s="35" t="s">
        <v>96</v>
      </c>
      <c r="E29" s="110">
        <f>IFERROR(aurora_data!D1249,0)</f>
        <v>0</v>
      </c>
      <c r="F29" s="62">
        <f>IFERROR(aurora_data!E1249,0)</f>
        <v>0</v>
      </c>
      <c r="G29" s="62">
        <f>IFERROR(aurora_data!F1249,0)</f>
        <v>0</v>
      </c>
      <c r="H29" s="62">
        <f>IFERROR(aurora_data!G1249,0)</f>
        <v>0</v>
      </c>
      <c r="I29" s="63">
        <f>IFERROR(aurora_data!H1249,0)</f>
        <v>0</v>
      </c>
      <c r="J29" s="36">
        <f>IFERROR(aurora_data!I1249,0)</f>
        <v>0</v>
      </c>
      <c r="K29" s="62">
        <f>IFERROR(aurora_data!J1249,0)</f>
        <v>0</v>
      </c>
      <c r="L29" s="62">
        <f>IFERROR(aurora_data!K1249,0)</f>
        <v>0</v>
      </c>
      <c r="M29" s="62">
        <f>IFERROR(aurora_data!L1249,0)</f>
        <v>0</v>
      </c>
      <c r="N29" s="63">
        <f>IFERROR(aurora_data!M1249,0)</f>
        <v>0</v>
      </c>
      <c r="O29" s="36">
        <f>IFERROR(aurora_data!N1249,0)</f>
        <v>0</v>
      </c>
      <c r="P29" s="62">
        <f>IFERROR(aurora_data!O1249,0)</f>
        <v>0</v>
      </c>
      <c r="Q29" s="62">
        <f>IFERROR(aurora_data!P1249,0)</f>
        <v>0</v>
      </c>
      <c r="R29" s="63">
        <f>IFERROR(aurora_data!Q1249,0)</f>
        <v>0</v>
      </c>
      <c r="S29" s="62">
        <f>IFERROR(aurora_data!R1249,0)</f>
        <v>0</v>
      </c>
      <c r="T29" s="62">
        <f>IFERROR(aurora_data!S1249,0)</f>
        <v>0</v>
      </c>
      <c r="U29" s="63">
        <f>IFERROR(aurora_data!T1249,0)</f>
        <v>0</v>
      </c>
      <c r="V29" s="64" t="s">
        <v>95</v>
      </c>
      <c r="W29" s="36">
        <f>IFERROR(aurora_data!U1249,0)</f>
        <v>0</v>
      </c>
      <c r="X29" s="71">
        <f t="shared" ref="X29:X35" si="2">IFERROR(W29/$W$12,0)</f>
        <v>0</v>
      </c>
      <c r="Y29" s="2"/>
    </row>
    <row r="30" spans="1:25" customFormat="1">
      <c r="A30" s="2"/>
      <c r="B30" s="211"/>
      <c r="C30" s="213"/>
      <c r="D30" s="35" t="s">
        <v>60</v>
      </c>
      <c r="E30" s="110">
        <f>IFERROR(aurora_data!D1250,0)</f>
        <v>0</v>
      </c>
      <c r="F30" s="62">
        <f>IFERROR(aurora_data!E1250,0)</f>
        <v>0</v>
      </c>
      <c r="G30" s="62">
        <f>IFERROR(aurora_data!F1250,0)</f>
        <v>0</v>
      </c>
      <c r="H30" s="62">
        <f>IFERROR(aurora_data!G1250,0)</f>
        <v>0</v>
      </c>
      <c r="I30" s="63">
        <f>IFERROR(aurora_data!H1250,0)</f>
        <v>0</v>
      </c>
      <c r="J30" s="36">
        <f>IFERROR(aurora_data!I1250,0)</f>
        <v>0</v>
      </c>
      <c r="K30" s="62">
        <f>IFERROR(aurora_data!J1250,0)</f>
        <v>0</v>
      </c>
      <c r="L30" s="62">
        <f>IFERROR(aurora_data!K1250,0)</f>
        <v>0</v>
      </c>
      <c r="M30" s="62">
        <f>IFERROR(aurora_data!L1250,0)</f>
        <v>0</v>
      </c>
      <c r="N30" s="63">
        <f>IFERROR(aurora_data!M1250,0)</f>
        <v>0</v>
      </c>
      <c r="O30" s="36">
        <f>IFERROR(aurora_data!N1250,0)</f>
        <v>0</v>
      </c>
      <c r="P30" s="62">
        <f>IFERROR(aurora_data!O1250,0)</f>
        <v>0</v>
      </c>
      <c r="Q30" s="62">
        <f>IFERROR(aurora_data!P1250,0)</f>
        <v>0</v>
      </c>
      <c r="R30" s="63">
        <f>IFERROR(aurora_data!Q1250,0)</f>
        <v>0</v>
      </c>
      <c r="S30" s="62">
        <f>IFERROR(aurora_data!R1250,0)</f>
        <v>0</v>
      </c>
      <c r="T30" s="62">
        <f>IFERROR(aurora_data!S1250,0)</f>
        <v>0</v>
      </c>
      <c r="U30" s="63">
        <f>IFERROR(aurora_data!T1250,0)</f>
        <v>0</v>
      </c>
      <c r="V30" s="64" t="s">
        <v>95</v>
      </c>
      <c r="W30" s="36">
        <f>IFERROR(aurora_data!U1250,0)</f>
        <v>0</v>
      </c>
      <c r="X30" s="71">
        <f t="shared" si="2"/>
        <v>0</v>
      </c>
      <c r="Y30" s="2"/>
    </row>
    <row r="31" spans="1:25" customFormat="1">
      <c r="A31" s="2"/>
      <c r="B31" s="211"/>
      <c r="C31" s="213"/>
      <c r="D31" s="35" t="s">
        <v>97</v>
      </c>
      <c r="E31" s="36">
        <f>IFERROR(aurora_data!D1251,0)</f>
        <v>0</v>
      </c>
      <c r="F31" s="62">
        <f>IFERROR(aurora_data!E1251,0)</f>
        <v>0</v>
      </c>
      <c r="G31" s="62">
        <f>IFERROR(aurora_data!F1251,0)</f>
        <v>0</v>
      </c>
      <c r="H31" s="62">
        <f>IFERROR(aurora_data!G1251,0)</f>
        <v>0</v>
      </c>
      <c r="I31" s="63">
        <f>IFERROR(aurora_data!H1251,0)</f>
        <v>0</v>
      </c>
      <c r="J31" s="36">
        <f>IFERROR(aurora_data!I1251,0)</f>
        <v>0</v>
      </c>
      <c r="K31" s="62">
        <f>IFERROR(aurora_data!J1251,0)</f>
        <v>0</v>
      </c>
      <c r="L31" s="62">
        <f>IFERROR(aurora_data!K1251,0)</f>
        <v>0</v>
      </c>
      <c r="M31" s="62">
        <f>IFERROR(aurora_data!L1251,0)</f>
        <v>0</v>
      </c>
      <c r="N31" s="63">
        <f>IFERROR(aurora_data!M1251,0)</f>
        <v>0</v>
      </c>
      <c r="O31" s="36">
        <f>IFERROR(aurora_data!N1251,0)</f>
        <v>0</v>
      </c>
      <c r="P31" s="62">
        <f>IFERROR(aurora_data!O1251,0)</f>
        <v>0</v>
      </c>
      <c r="Q31" s="62">
        <f>IFERROR(aurora_data!P1251,0)</f>
        <v>0</v>
      </c>
      <c r="R31" s="63">
        <f>IFERROR(aurora_data!Q1251,0)</f>
        <v>0</v>
      </c>
      <c r="S31" s="62">
        <f>IFERROR(aurora_data!R1251,0)</f>
        <v>0</v>
      </c>
      <c r="T31" s="62">
        <f>IFERROR(aurora_data!S1251,0)</f>
        <v>0</v>
      </c>
      <c r="U31" s="63">
        <f>IFERROR(aurora_data!T1251,0)</f>
        <v>0</v>
      </c>
      <c r="V31" s="64" t="s">
        <v>95</v>
      </c>
      <c r="W31" s="36">
        <f>IFERROR(aurora_data!U1251,0)</f>
        <v>0</v>
      </c>
      <c r="X31" s="71">
        <f t="shared" si="2"/>
        <v>0</v>
      </c>
      <c r="Y31" s="2"/>
    </row>
    <row r="32" spans="1:25" customFormat="1">
      <c r="A32" s="2"/>
      <c r="B32" s="211"/>
      <c r="C32" s="213"/>
      <c r="D32" s="35" t="s">
        <v>98</v>
      </c>
      <c r="E32" s="36">
        <f>IFERROR(aurora_data!D1252,0)</f>
        <v>0</v>
      </c>
      <c r="F32" s="62">
        <f>IFERROR(aurora_data!E1252,0)</f>
        <v>0</v>
      </c>
      <c r="G32" s="62">
        <f>IFERROR(aurora_data!F1252,0)</f>
        <v>0</v>
      </c>
      <c r="H32" s="62">
        <f>IFERROR(aurora_data!G1252,0)</f>
        <v>0</v>
      </c>
      <c r="I32" s="63">
        <f>IFERROR(aurora_data!H1252,0)</f>
        <v>0</v>
      </c>
      <c r="J32" s="36">
        <f>IFERROR(aurora_data!I1252,0)</f>
        <v>0</v>
      </c>
      <c r="K32" s="62">
        <f>IFERROR(aurora_data!J1252,0)</f>
        <v>0</v>
      </c>
      <c r="L32" s="62">
        <f>IFERROR(aurora_data!K1252,0)</f>
        <v>0</v>
      </c>
      <c r="M32" s="62">
        <f>IFERROR(aurora_data!L1252,0)</f>
        <v>0</v>
      </c>
      <c r="N32" s="63">
        <f>IFERROR(aurora_data!M1252,0)</f>
        <v>0</v>
      </c>
      <c r="O32" s="36">
        <f>IFERROR(aurora_data!N1252,0)</f>
        <v>0</v>
      </c>
      <c r="P32" s="62">
        <f>IFERROR(aurora_data!O1252,0)</f>
        <v>0</v>
      </c>
      <c r="Q32" s="62">
        <f>IFERROR(aurora_data!P1252,0)</f>
        <v>0</v>
      </c>
      <c r="R32" s="63">
        <f>IFERROR(aurora_data!Q1252,0)</f>
        <v>0</v>
      </c>
      <c r="S32" s="62">
        <f>IFERROR(aurora_data!R1252,0)</f>
        <v>0</v>
      </c>
      <c r="T32" s="62">
        <f>IFERROR(aurora_data!S1252,0)</f>
        <v>0</v>
      </c>
      <c r="U32" s="63">
        <f>IFERROR(aurora_data!T1252,0)</f>
        <v>0</v>
      </c>
      <c r="V32" s="64" t="s">
        <v>95</v>
      </c>
      <c r="W32" s="36">
        <f>IFERROR(aurora_data!U1252,0)</f>
        <v>0</v>
      </c>
      <c r="X32" s="71">
        <f t="shared" si="2"/>
        <v>0</v>
      </c>
      <c r="Y32" s="2"/>
    </row>
    <row r="33" spans="1:25" customFormat="1" ht="16.5" thickBot="1">
      <c r="A33" s="2"/>
      <c r="B33" s="211"/>
      <c r="C33" s="213"/>
      <c r="D33" s="35" t="s">
        <v>99</v>
      </c>
      <c r="E33" s="36">
        <f>IFERROR(aurora_data!D1253,0)</f>
        <v>0</v>
      </c>
      <c r="F33" s="62">
        <f>IFERROR(aurora_data!E1253,0)</f>
        <v>0</v>
      </c>
      <c r="G33" s="62">
        <f>IFERROR(aurora_data!F1253,0)</f>
        <v>0</v>
      </c>
      <c r="H33" s="62">
        <f>IFERROR(aurora_data!G1253,0)</f>
        <v>0</v>
      </c>
      <c r="I33" s="63">
        <f>IFERROR(aurora_data!H1253,0)</f>
        <v>0</v>
      </c>
      <c r="J33" s="36">
        <f>IFERROR(aurora_data!I1253,0)</f>
        <v>0</v>
      </c>
      <c r="K33" s="62">
        <f>IFERROR(aurora_data!J1253,0)</f>
        <v>0</v>
      </c>
      <c r="L33" s="62">
        <f>IFERROR(aurora_data!K1253,0)</f>
        <v>0</v>
      </c>
      <c r="M33" s="62">
        <f>IFERROR(aurora_data!L1253,0)</f>
        <v>0</v>
      </c>
      <c r="N33" s="63">
        <f>IFERROR(aurora_data!M1253,0)</f>
        <v>0</v>
      </c>
      <c r="O33" s="36">
        <f>IFERROR(aurora_data!N1253,0)</f>
        <v>0</v>
      </c>
      <c r="P33" s="62">
        <f>IFERROR(aurora_data!O1253,0)</f>
        <v>0</v>
      </c>
      <c r="Q33" s="62">
        <f>IFERROR(aurora_data!P1253,0)</f>
        <v>0</v>
      </c>
      <c r="R33" s="63">
        <f>IFERROR(aurora_data!Q1253,0)</f>
        <v>0</v>
      </c>
      <c r="S33" s="62">
        <f>IFERROR(aurora_data!R1253,0)</f>
        <v>0</v>
      </c>
      <c r="T33" s="62">
        <f>IFERROR(aurora_data!S1253,0)</f>
        <v>0</v>
      </c>
      <c r="U33" s="63">
        <f>IFERROR(aurora_data!T1253,0)</f>
        <v>0</v>
      </c>
      <c r="V33" s="64" t="s">
        <v>95</v>
      </c>
      <c r="W33" s="36">
        <f>IFERROR(aurora_data!U1253,0)</f>
        <v>0</v>
      </c>
      <c r="X33" s="71">
        <f t="shared" si="2"/>
        <v>0</v>
      </c>
      <c r="Y33" s="2"/>
    </row>
    <row r="34" spans="1:25" customFormat="1" ht="16.5" thickBot="1">
      <c r="A34" s="2"/>
      <c r="B34" s="211"/>
      <c r="C34" s="213"/>
      <c r="D34" s="37" t="s">
        <v>64</v>
      </c>
      <c r="E34" s="59">
        <f>IFERROR(aurora_data!D1254,0)</f>
        <v>0</v>
      </c>
      <c r="F34" s="65">
        <f>IFERROR(aurora_data!E1254,0)</f>
        <v>0</v>
      </c>
      <c r="G34" s="65">
        <f>IFERROR(aurora_data!F1254,0)</f>
        <v>0</v>
      </c>
      <c r="H34" s="65">
        <f>IFERROR(aurora_data!G1254,0)</f>
        <v>0</v>
      </c>
      <c r="I34" s="66">
        <f>IFERROR(aurora_data!H1254,0)</f>
        <v>0</v>
      </c>
      <c r="J34" s="59">
        <f>IFERROR(aurora_data!I1254,0)</f>
        <v>0</v>
      </c>
      <c r="K34" s="65">
        <f>IFERROR(aurora_data!J1254,0)</f>
        <v>0</v>
      </c>
      <c r="L34" s="65">
        <f>IFERROR(aurora_data!K1254,0)</f>
        <v>0</v>
      </c>
      <c r="M34" s="65">
        <f>IFERROR(aurora_data!L1254,0)</f>
        <v>0</v>
      </c>
      <c r="N34" s="66">
        <f>IFERROR(aurora_data!M1254,0)</f>
        <v>0</v>
      </c>
      <c r="O34" s="59">
        <f>IFERROR(aurora_data!N1254,0)</f>
        <v>0</v>
      </c>
      <c r="P34" s="65">
        <f>IFERROR(aurora_data!O1254,0)</f>
        <v>0</v>
      </c>
      <c r="Q34" s="65">
        <f>IFERROR(aurora_data!P1254,0)</f>
        <v>0</v>
      </c>
      <c r="R34" s="66">
        <f>IFERROR(aurora_data!Q1254,0)</f>
        <v>0</v>
      </c>
      <c r="S34" s="65">
        <f>IFERROR(aurora_data!R1254,0)</f>
        <v>0</v>
      </c>
      <c r="T34" s="65">
        <f>IFERROR(aurora_data!S1254,0)</f>
        <v>0</v>
      </c>
      <c r="U34" s="66">
        <f>IFERROR(aurora_data!T1254,0)</f>
        <v>0</v>
      </c>
      <c r="V34" s="67" t="s">
        <v>95</v>
      </c>
      <c r="W34" s="59">
        <f>IFERROR(aurora_data!U1254,0)</f>
        <v>0</v>
      </c>
      <c r="X34" s="72">
        <f t="shared" si="2"/>
        <v>0</v>
      </c>
      <c r="Y34" s="2"/>
    </row>
    <row r="35" spans="1:25" customFormat="1" ht="16.5" thickBot="1">
      <c r="A35" s="2"/>
      <c r="B35" s="211"/>
      <c r="C35" s="213"/>
      <c r="D35" s="38" t="s">
        <v>100</v>
      </c>
      <c r="E35" s="60">
        <f>IFERROR(aurora_data!D1255,0)</f>
        <v>0</v>
      </c>
      <c r="F35" s="68">
        <f>IFERROR(aurora_data!E1255,0)</f>
        <v>0</v>
      </c>
      <c r="G35" s="68">
        <f>IFERROR(aurora_data!F1255,0)</f>
        <v>0</v>
      </c>
      <c r="H35" s="68">
        <f>IFERROR(aurora_data!G1255,0)</f>
        <v>0</v>
      </c>
      <c r="I35" s="69">
        <f>IFERROR(aurora_data!H1255,0)</f>
        <v>0</v>
      </c>
      <c r="J35" s="60">
        <f>IFERROR(aurora_data!I1255,0)</f>
        <v>0</v>
      </c>
      <c r="K35" s="68">
        <f>IFERROR(aurora_data!J1255,0)</f>
        <v>0</v>
      </c>
      <c r="L35" s="68">
        <f>IFERROR(aurora_data!K1255,0)</f>
        <v>0</v>
      </c>
      <c r="M35" s="68">
        <f>IFERROR(aurora_data!L1255,0)</f>
        <v>0</v>
      </c>
      <c r="N35" s="69">
        <f>IFERROR(aurora_data!M1255,0)</f>
        <v>0</v>
      </c>
      <c r="O35" s="60">
        <f>IFERROR(aurora_data!N1255,0)</f>
        <v>0</v>
      </c>
      <c r="P35" s="68">
        <f>IFERROR(aurora_data!O1255,0)</f>
        <v>0</v>
      </c>
      <c r="Q35" s="68">
        <f>IFERROR(aurora_data!P1255,0)</f>
        <v>0</v>
      </c>
      <c r="R35" s="69">
        <f>IFERROR(aurora_data!Q1255,0)</f>
        <v>0</v>
      </c>
      <c r="S35" s="68">
        <f>IFERROR(aurora_data!R1255,0)</f>
        <v>0</v>
      </c>
      <c r="T35" s="68">
        <f>IFERROR(aurora_data!S1255,0)</f>
        <v>0</v>
      </c>
      <c r="U35" s="74">
        <f>IFERROR(aurora_data!T1255,0)</f>
        <v>0</v>
      </c>
      <c r="V35" s="75" t="s">
        <v>95</v>
      </c>
      <c r="W35" s="60">
        <f>IFERROR(aurora_data!U1255,0)</f>
        <v>0</v>
      </c>
      <c r="X35" s="73">
        <f t="shared" si="2"/>
        <v>0</v>
      </c>
      <c r="Y35" s="2"/>
    </row>
    <row r="36" spans="1:25" customFormat="1">
      <c r="A36" s="2"/>
      <c r="B36" s="210" t="s">
        <v>94</v>
      </c>
      <c r="C36" s="212" t="str">
        <f>aurora_data!A1256</f>
        <v>09.00.00-09.11.30</v>
      </c>
      <c r="D36" s="34" t="s">
        <v>71</v>
      </c>
      <c r="E36" s="39">
        <f>IFERROR(aurora_data!D1256,0)</f>
        <v>0</v>
      </c>
      <c r="F36" s="40">
        <f>IFERROR(aurora_data!E1256,0)</f>
        <v>0</v>
      </c>
      <c r="G36" s="40">
        <f>IFERROR(aurora_data!F1256,0)</f>
        <v>0</v>
      </c>
      <c r="H36" s="40">
        <f>IFERROR(aurora_data!G1256,0)</f>
        <v>0</v>
      </c>
      <c r="I36" s="41">
        <f>IFERROR(aurora_data!H1256,0)</f>
        <v>0</v>
      </c>
      <c r="J36" s="39">
        <f>IFERROR(aurora_data!I1256,0)</f>
        <v>0</v>
      </c>
      <c r="K36" s="40">
        <f>IFERROR(aurora_data!J1256,0)</f>
        <v>0</v>
      </c>
      <c r="L36" s="40">
        <f>IFERROR(aurora_data!K1256,0)</f>
        <v>0</v>
      </c>
      <c r="M36" s="40">
        <f>IFERROR(aurora_data!L1256,0)</f>
        <v>0</v>
      </c>
      <c r="N36" s="41">
        <f>IFERROR(aurora_data!M1256,0)</f>
        <v>0</v>
      </c>
      <c r="O36" s="39">
        <f>IFERROR(aurora_data!N1256,0)</f>
        <v>0</v>
      </c>
      <c r="P36" s="40">
        <f>IFERROR(aurora_data!O1256,0)</f>
        <v>0</v>
      </c>
      <c r="Q36" s="40">
        <f>IFERROR(aurora_data!P1256,0)</f>
        <v>0</v>
      </c>
      <c r="R36" s="41">
        <f>IFERROR(aurora_data!Q1256,0)</f>
        <v>0</v>
      </c>
      <c r="S36" s="40">
        <f>IFERROR(aurora_data!R1256,0)</f>
        <v>0</v>
      </c>
      <c r="T36" s="40">
        <f>IFERROR(aurora_data!S1256,0)</f>
        <v>0</v>
      </c>
      <c r="U36" s="76">
        <f>IFERROR(aurora_data!T1256,0)</f>
        <v>0</v>
      </c>
      <c r="V36" s="61" t="s">
        <v>95</v>
      </c>
      <c r="W36" s="39">
        <f>IFERROR(aurora_data!U1256,0)</f>
        <v>2</v>
      </c>
      <c r="X36" s="70">
        <f>IFERROR(W36/$W$12,0)</f>
        <v>2</v>
      </c>
      <c r="Y36" s="2"/>
    </row>
    <row r="37" spans="1:25" customFormat="1">
      <c r="A37" s="2"/>
      <c r="B37" s="211"/>
      <c r="C37" s="213"/>
      <c r="D37" s="35" t="s">
        <v>96</v>
      </c>
      <c r="E37" s="110">
        <f>IFERROR(aurora_data!D1257,0)</f>
        <v>0</v>
      </c>
      <c r="F37" s="62">
        <f>IFERROR(aurora_data!E1257,0)</f>
        <v>0</v>
      </c>
      <c r="G37" s="62">
        <f>IFERROR(aurora_data!F1257,0)</f>
        <v>0</v>
      </c>
      <c r="H37" s="62">
        <f>IFERROR(aurora_data!G1257,0)</f>
        <v>0</v>
      </c>
      <c r="I37" s="63">
        <f>IFERROR(aurora_data!H1257,0)</f>
        <v>0</v>
      </c>
      <c r="J37" s="36">
        <f>IFERROR(aurora_data!I1257,0)</f>
        <v>0</v>
      </c>
      <c r="K37" s="62">
        <f>IFERROR(aurora_data!J1257,0)</f>
        <v>0</v>
      </c>
      <c r="L37" s="62">
        <f>IFERROR(aurora_data!K1257,0)</f>
        <v>0</v>
      </c>
      <c r="M37" s="62">
        <f>IFERROR(aurora_data!L1257,0)</f>
        <v>0</v>
      </c>
      <c r="N37" s="63">
        <f>IFERROR(aurora_data!M1257,0)</f>
        <v>0</v>
      </c>
      <c r="O37" s="36">
        <f>IFERROR(aurora_data!N1257,0)</f>
        <v>0</v>
      </c>
      <c r="P37" s="62">
        <f>IFERROR(aurora_data!O1257,0)</f>
        <v>0</v>
      </c>
      <c r="Q37" s="62">
        <f>IFERROR(aurora_data!P1257,0)</f>
        <v>0</v>
      </c>
      <c r="R37" s="63">
        <f>IFERROR(aurora_data!Q1257,0)</f>
        <v>0</v>
      </c>
      <c r="S37" s="62">
        <f>IFERROR(aurora_data!R1257,0)</f>
        <v>0</v>
      </c>
      <c r="T37" s="62">
        <f>IFERROR(aurora_data!S1257,0)</f>
        <v>0</v>
      </c>
      <c r="U37" s="63">
        <f>IFERROR(aurora_data!T1257,0)</f>
        <v>0</v>
      </c>
      <c r="V37" s="64" t="s">
        <v>95</v>
      </c>
      <c r="W37" s="36">
        <f>IFERROR(aurora_data!U1257,0)</f>
        <v>0</v>
      </c>
      <c r="X37" s="71">
        <f t="shared" ref="X37:X43" si="3">IFERROR(W37/$W$12,0)</f>
        <v>0</v>
      </c>
      <c r="Y37" s="2"/>
    </row>
    <row r="38" spans="1:25" customFormat="1">
      <c r="A38" s="2"/>
      <c r="B38" s="211"/>
      <c r="C38" s="213"/>
      <c r="D38" s="35" t="s">
        <v>60</v>
      </c>
      <c r="E38" s="110">
        <f>IFERROR(aurora_data!D1258,0)</f>
        <v>0</v>
      </c>
      <c r="F38" s="62">
        <f>IFERROR(aurora_data!E1258,0)</f>
        <v>0</v>
      </c>
      <c r="G38" s="62">
        <f>IFERROR(aurora_data!F1258,0)</f>
        <v>0</v>
      </c>
      <c r="H38" s="62">
        <f>IFERROR(aurora_data!G1258,0)</f>
        <v>0</v>
      </c>
      <c r="I38" s="63">
        <f>IFERROR(aurora_data!H1258,0)</f>
        <v>0</v>
      </c>
      <c r="J38" s="36">
        <f>IFERROR(aurora_data!I1258,0)</f>
        <v>0</v>
      </c>
      <c r="K38" s="62">
        <f>IFERROR(aurora_data!J1258,0)</f>
        <v>0</v>
      </c>
      <c r="L38" s="62">
        <f>IFERROR(aurora_data!K1258,0)</f>
        <v>0</v>
      </c>
      <c r="M38" s="62">
        <f>IFERROR(aurora_data!L1258,0)</f>
        <v>0</v>
      </c>
      <c r="N38" s="63">
        <f>IFERROR(aurora_data!M1258,0)</f>
        <v>0</v>
      </c>
      <c r="O38" s="36">
        <f>IFERROR(aurora_data!N1258,0)</f>
        <v>0</v>
      </c>
      <c r="P38" s="62">
        <f>IFERROR(aurora_data!O1258,0)</f>
        <v>0</v>
      </c>
      <c r="Q38" s="62">
        <f>IFERROR(aurora_data!P1258,0)</f>
        <v>0</v>
      </c>
      <c r="R38" s="63">
        <f>IFERROR(aurora_data!Q1258,0)</f>
        <v>0</v>
      </c>
      <c r="S38" s="62">
        <f>IFERROR(aurora_data!R1258,0)</f>
        <v>0</v>
      </c>
      <c r="T38" s="62">
        <f>IFERROR(aurora_data!S1258,0)</f>
        <v>0</v>
      </c>
      <c r="U38" s="63">
        <f>IFERROR(aurora_data!T1258,0)</f>
        <v>0</v>
      </c>
      <c r="V38" s="64" t="s">
        <v>95</v>
      </c>
      <c r="W38" s="36">
        <f>IFERROR(aurora_data!U1258,0)</f>
        <v>0</v>
      </c>
      <c r="X38" s="71">
        <f t="shared" si="3"/>
        <v>0</v>
      </c>
      <c r="Y38" s="2"/>
    </row>
    <row r="39" spans="1:25" customFormat="1">
      <c r="A39" s="2"/>
      <c r="B39" s="211"/>
      <c r="C39" s="213"/>
      <c r="D39" s="35" t="s">
        <v>97</v>
      </c>
      <c r="E39" s="36">
        <f>IFERROR(aurora_data!D1259,0)</f>
        <v>0</v>
      </c>
      <c r="F39" s="62">
        <f>IFERROR(aurora_data!E1259,0)</f>
        <v>0</v>
      </c>
      <c r="G39" s="62">
        <f>IFERROR(aurora_data!F1259,0)</f>
        <v>0</v>
      </c>
      <c r="H39" s="62">
        <f>IFERROR(aurora_data!G1259,0)</f>
        <v>0</v>
      </c>
      <c r="I39" s="63">
        <f>IFERROR(aurora_data!H1259,0)</f>
        <v>0</v>
      </c>
      <c r="J39" s="36">
        <f>IFERROR(aurora_data!I1259,0)</f>
        <v>0</v>
      </c>
      <c r="K39" s="62">
        <f>IFERROR(aurora_data!J1259,0)</f>
        <v>0</v>
      </c>
      <c r="L39" s="62">
        <f>IFERROR(aurora_data!K1259,0)</f>
        <v>0</v>
      </c>
      <c r="M39" s="62">
        <f>IFERROR(aurora_data!L1259,0)</f>
        <v>0</v>
      </c>
      <c r="N39" s="63">
        <f>IFERROR(aurora_data!M1259,0)</f>
        <v>0</v>
      </c>
      <c r="O39" s="36">
        <f>IFERROR(aurora_data!N1259,0)</f>
        <v>0</v>
      </c>
      <c r="P39" s="62">
        <f>IFERROR(aurora_data!O1259,0)</f>
        <v>0</v>
      </c>
      <c r="Q39" s="62">
        <f>IFERROR(aurora_data!P1259,0)</f>
        <v>0</v>
      </c>
      <c r="R39" s="63">
        <f>IFERROR(aurora_data!Q1259,0)</f>
        <v>0</v>
      </c>
      <c r="S39" s="62">
        <f>IFERROR(aurora_data!R1259,0)</f>
        <v>0</v>
      </c>
      <c r="T39" s="62">
        <f>IFERROR(aurora_data!S1259,0)</f>
        <v>0</v>
      </c>
      <c r="U39" s="63">
        <f>IFERROR(aurora_data!T1259,0)</f>
        <v>0</v>
      </c>
      <c r="V39" s="64" t="s">
        <v>95</v>
      </c>
      <c r="W39" s="36">
        <f>IFERROR(aurora_data!U1259,0)</f>
        <v>0</v>
      </c>
      <c r="X39" s="71">
        <f t="shared" si="3"/>
        <v>0</v>
      </c>
      <c r="Y39" s="2"/>
    </row>
    <row r="40" spans="1:25" customFormat="1">
      <c r="A40" s="2"/>
      <c r="B40" s="211"/>
      <c r="C40" s="213"/>
      <c r="D40" s="35" t="s">
        <v>98</v>
      </c>
      <c r="E40" s="36">
        <f>IFERROR(aurora_data!D1260,0)</f>
        <v>0</v>
      </c>
      <c r="F40" s="62">
        <f>IFERROR(aurora_data!E1260,0)</f>
        <v>0</v>
      </c>
      <c r="G40" s="62">
        <f>IFERROR(aurora_data!F1260,0)</f>
        <v>0</v>
      </c>
      <c r="H40" s="62">
        <f>IFERROR(aurora_data!G1260,0)</f>
        <v>0</v>
      </c>
      <c r="I40" s="63">
        <f>IFERROR(aurora_data!H1260,0)</f>
        <v>0</v>
      </c>
      <c r="J40" s="36">
        <f>IFERROR(aurora_data!I1260,0)</f>
        <v>0</v>
      </c>
      <c r="K40" s="62">
        <f>IFERROR(aurora_data!J1260,0)</f>
        <v>0</v>
      </c>
      <c r="L40" s="62">
        <f>IFERROR(aurora_data!K1260,0)</f>
        <v>0</v>
      </c>
      <c r="M40" s="62">
        <f>IFERROR(aurora_data!L1260,0)</f>
        <v>0</v>
      </c>
      <c r="N40" s="63">
        <f>IFERROR(aurora_data!M1260,0)</f>
        <v>0</v>
      </c>
      <c r="O40" s="36">
        <f>IFERROR(aurora_data!N1260,0)</f>
        <v>0</v>
      </c>
      <c r="P40" s="62">
        <f>IFERROR(aurora_data!O1260,0)</f>
        <v>0</v>
      </c>
      <c r="Q40" s="62">
        <f>IFERROR(aurora_data!P1260,0)</f>
        <v>0</v>
      </c>
      <c r="R40" s="63">
        <f>IFERROR(aurora_data!Q1260,0)</f>
        <v>0</v>
      </c>
      <c r="S40" s="62">
        <f>IFERROR(aurora_data!R1260,0)</f>
        <v>0</v>
      </c>
      <c r="T40" s="62">
        <f>IFERROR(aurora_data!S1260,0)</f>
        <v>0</v>
      </c>
      <c r="U40" s="63">
        <f>IFERROR(aurora_data!T1260,0)</f>
        <v>0</v>
      </c>
      <c r="V40" s="64" t="s">
        <v>95</v>
      </c>
      <c r="W40" s="36">
        <f>IFERROR(aurora_data!U1260,0)</f>
        <v>0</v>
      </c>
      <c r="X40" s="71">
        <f t="shared" si="3"/>
        <v>0</v>
      </c>
      <c r="Y40" s="2"/>
    </row>
    <row r="41" spans="1:25" customFormat="1" ht="16.5" thickBot="1">
      <c r="A41" s="2"/>
      <c r="B41" s="211"/>
      <c r="C41" s="213"/>
      <c r="D41" s="35" t="s">
        <v>99</v>
      </c>
      <c r="E41" s="36">
        <f>IFERROR(aurora_data!D1261,0)</f>
        <v>0</v>
      </c>
      <c r="F41" s="62">
        <f>IFERROR(aurora_data!E1261,0)</f>
        <v>0</v>
      </c>
      <c r="G41" s="62">
        <f>IFERROR(aurora_data!F1261,0)</f>
        <v>0</v>
      </c>
      <c r="H41" s="62">
        <f>IFERROR(aurora_data!G1261,0)</f>
        <v>0</v>
      </c>
      <c r="I41" s="63">
        <f>IFERROR(aurora_data!H1261,0)</f>
        <v>0</v>
      </c>
      <c r="J41" s="36">
        <f>IFERROR(aurora_data!I1261,0)</f>
        <v>0</v>
      </c>
      <c r="K41" s="62">
        <f>IFERROR(aurora_data!J1261,0)</f>
        <v>0</v>
      </c>
      <c r="L41" s="62">
        <f>IFERROR(aurora_data!K1261,0)</f>
        <v>0</v>
      </c>
      <c r="M41" s="62">
        <f>IFERROR(aurora_data!L1261,0)</f>
        <v>0</v>
      </c>
      <c r="N41" s="63">
        <f>IFERROR(aurora_data!M1261,0)</f>
        <v>0</v>
      </c>
      <c r="O41" s="36">
        <f>IFERROR(aurora_data!N1261,0)</f>
        <v>0</v>
      </c>
      <c r="P41" s="62">
        <f>IFERROR(aurora_data!O1261,0)</f>
        <v>0</v>
      </c>
      <c r="Q41" s="62">
        <f>IFERROR(aurora_data!P1261,0)</f>
        <v>0</v>
      </c>
      <c r="R41" s="63">
        <f>IFERROR(aurora_data!Q1261,0)</f>
        <v>0</v>
      </c>
      <c r="S41" s="62">
        <f>IFERROR(aurora_data!R1261,0)</f>
        <v>0</v>
      </c>
      <c r="T41" s="62">
        <f>IFERROR(aurora_data!S1261,0)</f>
        <v>0</v>
      </c>
      <c r="U41" s="63">
        <f>IFERROR(aurora_data!T1261,0)</f>
        <v>0</v>
      </c>
      <c r="V41" s="64" t="s">
        <v>95</v>
      </c>
      <c r="W41" s="36">
        <f>IFERROR(aurora_data!U1261,0)</f>
        <v>0</v>
      </c>
      <c r="X41" s="71">
        <f t="shared" si="3"/>
        <v>0</v>
      </c>
      <c r="Y41" s="2"/>
    </row>
    <row r="42" spans="1:25" customFormat="1" ht="16.5" thickBot="1">
      <c r="A42" s="2"/>
      <c r="B42" s="211"/>
      <c r="C42" s="213"/>
      <c r="D42" s="37" t="s">
        <v>64</v>
      </c>
      <c r="E42" s="59">
        <f>IFERROR(aurora_data!D1262,0)</f>
        <v>0</v>
      </c>
      <c r="F42" s="65">
        <f>IFERROR(aurora_data!E1262,0)</f>
        <v>0</v>
      </c>
      <c r="G42" s="65">
        <f>IFERROR(aurora_data!F1262,0)</f>
        <v>0</v>
      </c>
      <c r="H42" s="65">
        <f>IFERROR(aurora_data!G1262,0)</f>
        <v>0</v>
      </c>
      <c r="I42" s="66">
        <f>IFERROR(aurora_data!H1262,0)</f>
        <v>0</v>
      </c>
      <c r="J42" s="59">
        <f>IFERROR(aurora_data!I1262,0)</f>
        <v>0</v>
      </c>
      <c r="K42" s="65">
        <f>IFERROR(aurora_data!J1262,0)</f>
        <v>0</v>
      </c>
      <c r="L42" s="65">
        <f>IFERROR(aurora_data!K1262,0)</f>
        <v>0</v>
      </c>
      <c r="M42" s="65">
        <f>IFERROR(aurora_data!L1262,0)</f>
        <v>0</v>
      </c>
      <c r="N42" s="66">
        <f>IFERROR(aurora_data!M1262,0)</f>
        <v>0</v>
      </c>
      <c r="O42" s="59">
        <f>IFERROR(aurora_data!N1262,0)</f>
        <v>0</v>
      </c>
      <c r="P42" s="65">
        <f>IFERROR(aurora_data!O1262,0)</f>
        <v>0</v>
      </c>
      <c r="Q42" s="65">
        <f>IFERROR(aurora_data!P1262,0)</f>
        <v>0</v>
      </c>
      <c r="R42" s="66">
        <f>IFERROR(aurora_data!Q1262,0)</f>
        <v>0</v>
      </c>
      <c r="S42" s="65">
        <f>IFERROR(aurora_data!R1262,0)</f>
        <v>0</v>
      </c>
      <c r="T42" s="65">
        <f>IFERROR(aurora_data!S1262,0)</f>
        <v>0</v>
      </c>
      <c r="U42" s="66">
        <f>IFERROR(aurora_data!T1262,0)</f>
        <v>0</v>
      </c>
      <c r="V42" s="67" t="s">
        <v>95</v>
      </c>
      <c r="W42" s="59">
        <f>IFERROR(aurora_data!U1262,0)</f>
        <v>0</v>
      </c>
      <c r="X42" s="72">
        <f t="shared" si="3"/>
        <v>0</v>
      </c>
      <c r="Y42" s="2"/>
    </row>
    <row r="43" spans="1:25" customFormat="1" ht="16.5" thickBot="1">
      <c r="A43" s="2"/>
      <c r="B43" s="211"/>
      <c r="C43" s="213"/>
      <c r="D43" s="38" t="s">
        <v>100</v>
      </c>
      <c r="E43" s="60">
        <f>IFERROR(aurora_data!D1263,0)</f>
        <v>0</v>
      </c>
      <c r="F43" s="68">
        <f>IFERROR(aurora_data!E1263,0)</f>
        <v>0</v>
      </c>
      <c r="G43" s="68">
        <f>IFERROR(aurora_data!F1263,0)</f>
        <v>0</v>
      </c>
      <c r="H43" s="68">
        <f>IFERROR(aurora_data!G1263,0)</f>
        <v>0</v>
      </c>
      <c r="I43" s="69">
        <f>IFERROR(aurora_data!H1263,0)</f>
        <v>0</v>
      </c>
      <c r="J43" s="60">
        <f>IFERROR(aurora_data!I1263,0)</f>
        <v>0</v>
      </c>
      <c r="K43" s="68">
        <f>IFERROR(aurora_data!J1263,0)</f>
        <v>0</v>
      </c>
      <c r="L43" s="68">
        <f>IFERROR(aurora_data!K1263,0)</f>
        <v>0</v>
      </c>
      <c r="M43" s="68">
        <f>IFERROR(aurora_data!L1263,0)</f>
        <v>0</v>
      </c>
      <c r="N43" s="69">
        <f>IFERROR(aurora_data!M1263,0)</f>
        <v>0</v>
      </c>
      <c r="O43" s="60">
        <f>IFERROR(aurora_data!N1263,0)</f>
        <v>0</v>
      </c>
      <c r="P43" s="68">
        <f>IFERROR(aurora_data!O1263,0)</f>
        <v>0</v>
      </c>
      <c r="Q43" s="68">
        <f>IFERROR(aurora_data!P1263,0)</f>
        <v>0</v>
      </c>
      <c r="R43" s="69">
        <f>IFERROR(aurora_data!Q1263,0)</f>
        <v>0</v>
      </c>
      <c r="S43" s="68">
        <f>IFERROR(aurora_data!R1263,0)</f>
        <v>0</v>
      </c>
      <c r="T43" s="68">
        <f>IFERROR(aurora_data!S1263,0)</f>
        <v>0</v>
      </c>
      <c r="U43" s="74">
        <f>IFERROR(aurora_data!T1263,0)</f>
        <v>0</v>
      </c>
      <c r="V43" s="75" t="s">
        <v>95</v>
      </c>
      <c r="W43" s="60">
        <f>IFERROR(aurora_data!U1263,0)</f>
        <v>0</v>
      </c>
      <c r="X43" s="73">
        <f t="shared" si="3"/>
        <v>0</v>
      </c>
      <c r="Y43" s="2"/>
    </row>
    <row r="44" spans="1:25" customFormat="1">
      <c r="A44" s="2"/>
      <c r="B44" s="210" t="s">
        <v>94</v>
      </c>
      <c r="C44" s="212" t="str">
        <f>aurora_data!A1264</f>
        <v>10.00.00-10.11.30</v>
      </c>
      <c r="D44" s="34" t="s">
        <v>71</v>
      </c>
      <c r="E44" s="39">
        <f>IFERROR(aurora_data!D1264,0)</f>
        <v>0</v>
      </c>
      <c r="F44" s="40">
        <f>IFERROR(aurora_data!E1264,0)</f>
        <v>0</v>
      </c>
      <c r="G44" s="40">
        <f>IFERROR(aurora_data!F1264,0)</f>
        <v>0</v>
      </c>
      <c r="H44" s="40">
        <f>IFERROR(aurora_data!G1264,0)</f>
        <v>0</v>
      </c>
      <c r="I44" s="41">
        <f>IFERROR(aurora_data!H1264,0)</f>
        <v>0</v>
      </c>
      <c r="J44" s="39">
        <f>IFERROR(aurora_data!I1264,0)</f>
        <v>0</v>
      </c>
      <c r="K44" s="40">
        <f>IFERROR(aurora_data!J1264,0)</f>
        <v>0</v>
      </c>
      <c r="L44" s="40">
        <f>IFERROR(aurora_data!K1264,0)</f>
        <v>0</v>
      </c>
      <c r="M44" s="40">
        <f>IFERROR(aurora_data!L1264,0)</f>
        <v>0</v>
      </c>
      <c r="N44" s="41">
        <f>IFERROR(aurora_data!M1264,0)</f>
        <v>0</v>
      </c>
      <c r="O44" s="39">
        <f>IFERROR(aurora_data!N1264,0)</f>
        <v>0</v>
      </c>
      <c r="P44" s="40">
        <f>IFERROR(aurora_data!O1264,0)</f>
        <v>0</v>
      </c>
      <c r="Q44" s="40">
        <f>IFERROR(aurora_data!P1264,0)</f>
        <v>0</v>
      </c>
      <c r="R44" s="41">
        <f>IFERROR(aurora_data!Q1264,0)</f>
        <v>0</v>
      </c>
      <c r="S44" s="40">
        <f>IFERROR(aurora_data!R1264,0)</f>
        <v>0</v>
      </c>
      <c r="T44" s="40">
        <f>IFERROR(aurora_data!S1264,0)</f>
        <v>0</v>
      </c>
      <c r="U44" s="76">
        <f>IFERROR(aurora_data!T1264,0)</f>
        <v>0</v>
      </c>
      <c r="V44" s="61" t="s">
        <v>95</v>
      </c>
      <c r="W44" s="39">
        <f>IFERROR(aurora_data!U1264,0)</f>
        <v>1</v>
      </c>
      <c r="X44" s="70">
        <f>IFERROR(W44/$W$12,0)</f>
        <v>1</v>
      </c>
      <c r="Y44" s="2"/>
    </row>
    <row r="45" spans="1:25" customFormat="1">
      <c r="A45" s="2"/>
      <c r="B45" s="211"/>
      <c r="C45" s="213"/>
      <c r="D45" s="35" t="s">
        <v>96</v>
      </c>
      <c r="E45" s="110">
        <f>IFERROR(aurora_data!D1265,0)</f>
        <v>0</v>
      </c>
      <c r="F45" s="62">
        <f>IFERROR(aurora_data!E1265,0)</f>
        <v>0</v>
      </c>
      <c r="G45" s="62">
        <f>IFERROR(aurora_data!F1265,0)</f>
        <v>0</v>
      </c>
      <c r="H45" s="62">
        <f>IFERROR(aurora_data!G1265,0)</f>
        <v>0</v>
      </c>
      <c r="I45" s="63">
        <f>IFERROR(aurora_data!H1265,0)</f>
        <v>0</v>
      </c>
      <c r="J45" s="36">
        <f>IFERROR(aurora_data!I1265,0)</f>
        <v>0</v>
      </c>
      <c r="K45" s="62">
        <f>IFERROR(aurora_data!J1265,0)</f>
        <v>0</v>
      </c>
      <c r="L45" s="62">
        <f>IFERROR(aurora_data!K1265,0)</f>
        <v>0</v>
      </c>
      <c r="M45" s="62">
        <f>IFERROR(aurora_data!L1265,0)</f>
        <v>0</v>
      </c>
      <c r="N45" s="63">
        <f>IFERROR(aurora_data!M1265,0)</f>
        <v>0</v>
      </c>
      <c r="O45" s="36">
        <f>IFERROR(aurora_data!N1265,0)</f>
        <v>0</v>
      </c>
      <c r="P45" s="62">
        <f>IFERROR(aurora_data!O1265,0)</f>
        <v>0</v>
      </c>
      <c r="Q45" s="62">
        <f>IFERROR(aurora_data!P1265,0)</f>
        <v>0</v>
      </c>
      <c r="R45" s="63">
        <f>IFERROR(aurora_data!Q1265,0)</f>
        <v>0</v>
      </c>
      <c r="S45" s="62">
        <f>IFERROR(aurora_data!R1265,0)</f>
        <v>0</v>
      </c>
      <c r="T45" s="62">
        <f>IFERROR(aurora_data!S1265,0)</f>
        <v>0</v>
      </c>
      <c r="U45" s="63">
        <f>IFERROR(aurora_data!T1265,0)</f>
        <v>0</v>
      </c>
      <c r="V45" s="64" t="s">
        <v>95</v>
      </c>
      <c r="W45" s="36">
        <f>IFERROR(aurora_data!U1265,0)</f>
        <v>0</v>
      </c>
      <c r="X45" s="71">
        <f t="shared" ref="X45:X51" si="4">IFERROR(W45/$W$12,0)</f>
        <v>0</v>
      </c>
      <c r="Y45" s="2"/>
    </row>
    <row r="46" spans="1:25" customFormat="1">
      <c r="A46" s="2"/>
      <c r="B46" s="211"/>
      <c r="C46" s="213"/>
      <c r="D46" s="35" t="s">
        <v>60</v>
      </c>
      <c r="E46" s="110">
        <f>IFERROR(aurora_data!D1266,0)</f>
        <v>0</v>
      </c>
      <c r="F46" s="62">
        <f>IFERROR(aurora_data!E1266,0)</f>
        <v>0</v>
      </c>
      <c r="G46" s="62">
        <f>IFERROR(aurora_data!F1266,0)</f>
        <v>0</v>
      </c>
      <c r="H46" s="62">
        <f>IFERROR(aurora_data!G1266,0)</f>
        <v>0</v>
      </c>
      <c r="I46" s="63">
        <f>IFERROR(aurora_data!H1266,0)</f>
        <v>0</v>
      </c>
      <c r="J46" s="36">
        <f>IFERROR(aurora_data!I1266,0)</f>
        <v>0</v>
      </c>
      <c r="K46" s="62">
        <f>IFERROR(aurora_data!J1266,0)</f>
        <v>0</v>
      </c>
      <c r="L46" s="62">
        <f>IFERROR(aurora_data!K1266,0)</f>
        <v>0</v>
      </c>
      <c r="M46" s="62">
        <f>IFERROR(aurora_data!L1266,0)</f>
        <v>0</v>
      </c>
      <c r="N46" s="63">
        <f>IFERROR(aurora_data!M1266,0)</f>
        <v>0</v>
      </c>
      <c r="O46" s="36">
        <f>IFERROR(aurora_data!N1266,0)</f>
        <v>0</v>
      </c>
      <c r="P46" s="62">
        <f>IFERROR(aurora_data!O1266,0)</f>
        <v>0</v>
      </c>
      <c r="Q46" s="62">
        <f>IFERROR(aurora_data!P1266,0)</f>
        <v>0</v>
      </c>
      <c r="R46" s="63">
        <f>IFERROR(aurora_data!Q1266,0)</f>
        <v>0</v>
      </c>
      <c r="S46" s="62">
        <f>IFERROR(aurora_data!R1266,0)</f>
        <v>0</v>
      </c>
      <c r="T46" s="62">
        <f>IFERROR(aurora_data!S1266,0)</f>
        <v>0</v>
      </c>
      <c r="U46" s="63">
        <f>IFERROR(aurora_data!T1266,0)</f>
        <v>0</v>
      </c>
      <c r="V46" s="64" t="s">
        <v>95</v>
      </c>
      <c r="W46" s="36">
        <f>IFERROR(aurora_data!U1266,0)</f>
        <v>0</v>
      </c>
      <c r="X46" s="71">
        <f t="shared" si="4"/>
        <v>0</v>
      </c>
      <c r="Y46" s="2"/>
    </row>
    <row r="47" spans="1:25" customFormat="1">
      <c r="A47" s="2"/>
      <c r="B47" s="211"/>
      <c r="C47" s="213"/>
      <c r="D47" s="35" t="s">
        <v>97</v>
      </c>
      <c r="E47" s="36">
        <f>IFERROR(aurora_data!D1267,0)</f>
        <v>0</v>
      </c>
      <c r="F47" s="62">
        <f>IFERROR(aurora_data!E1267,0)</f>
        <v>0</v>
      </c>
      <c r="G47" s="62">
        <f>IFERROR(aurora_data!F1267,0)</f>
        <v>0</v>
      </c>
      <c r="H47" s="62">
        <f>IFERROR(aurora_data!G1267,0)</f>
        <v>0</v>
      </c>
      <c r="I47" s="63">
        <f>IFERROR(aurora_data!H1267,0)</f>
        <v>0</v>
      </c>
      <c r="J47" s="36">
        <f>IFERROR(aurora_data!I1267,0)</f>
        <v>0</v>
      </c>
      <c r="K47" s="62">
        <f>IFERROR(aurora_data!J1267,0)</f>
        <v>0</v>
      </c>
      <c r="L47" s="62">
        <f>IFERROR(aurora_data!K1267,0)</f>
        <v>0</v>
      </c>
      <c r="M47" s="62">
        <f>IFERROR(aurora_data!L1267,0)</f>
        <v>0</v>
      </c>
      <c r="N47" s="63">
        <f>IFERROR(aurora_data!M1267,0)</f>
        <v>0</v>
      </c>
      <c r="O47" s="36">
        <f>IFERROR(aurora_data!N1267,0)</f>
        <v>0</v>
      </c>
      <c r="P47" s="62">
        <f>IFERROR(aurora_data!O1267,0)</f>
        <v>0</v>
      </c>
      <c r="Q47" s="62">
        <f>IFERROR(aurora_data!P1267,0)</f>
        <v>0</v>
      </c>
      <c r="R47" s="63">
        <f>IFERROR(aurora_data!Q1267,0)</f>
        <v>0</v>
      </c>
      <c r="S47" s="62">
        <f>IFERROR(aurora_data!R1267,0)</f>
        <v>0</v>
      </c>
      <c r="T47" s="62">
        <f>IFERROR(aurora_data!S1267,0)</f>
        <v>0</v>
      </c>
      <c r="U47" s="63">
        <f>IFERROR(aurora_data!T1267,0)</f>
        <v>0</v>
      </c>
      <c r="V47" s="64" t="s">
        <v>95</v>
      </c>
      <c r="W47" s="36">
        <f>IFERROR(aurora_data!U1267,0)</f>
        <v>0</v>
      </c>
      <c r="X47" s="71">
        <f t="shared" si="4"/>
        <v>0</v>
      </c>
      <c r="Y47" s="2"/>
    </row>
    <row r="48" spans="1:25" customFormat="1">
      <c r="A48" s="2"/>
      <c r="B48" s="211"/>
      <c r="C48" s="213"/>
      <c r="D48" s="35" t="s">
        <v>98</v>
      </c>
      <c r="E48" s="36">
        <f>IFERROR(aurora_data!D1268,0)</f>
        <v>0</v>
      </c>
      <c r="F48" s="62">
        <f>IFERROR(aurora_data!E1268,0)</f>
        <v>0</v>
      </c>
      <c r="G48" s="62">
        <f>IFERROR(aurora_data!F1268,0)</f>
        <v>0</v>
      </c>
      <c r="H48" s="62">
        <f>IFERROR(aurora_data!G1268,0)</f>
        <v>0</v>
      </c>
      <c r="I48" s="63">
        <f>IFERROR(aurora_data!H1268,0)</f>
        <v>0</v>
      </c>
      <c r="J48" s="36">
        <f>IFERROR(aurora_data!I1268,0)</f>
        <v>0</v>
      </c>
      <c r="K48" s="62">
        <f>IFERROR(aurora_data!J1268,0)</f>
        <v>0</v>
      </c>
      <c r="L48" s="62">
        <f>IFERROR(aurora_data!K1268,0)</f>
        <v>0</v>
      </c>
      <c r="M48" s="62">
        <f>IFERROR(aurora_data!L1268,0)</f>
        <v>0</v>
      </c>
      <c r="N48" s="63">
        <f>IFERROR(aurora_data!M1268,0)</f>
        <v>0</v>
      </c>
      <c r="O48" s="36">
        <f>IFERROR(aurora_data!N1268,0)</f>
        <v>0</v>
      </c>
      <c r="P48" s="62">
        <f>IFERROR(aurora_data!O1268,0)</f>
        <v>0</v>
      </c>
      <c r="Q48" s="62">
        <f>IFERROR(aurora_data!P1268,0)</f>
        <v>0</v>
      </c>
      <c r="R48" s="63">
        <f>IFERROR(aurora_data!Q1268,0)</f>
        <v>0</v>
      </c>
      <c r="S48" s="62">
        <f>IFERROR(aurora_data!R1268,0)</f>
        <v>0</v>
      </c>
      <c r="T48" s="62">
        <f>IFERROR(aurora_data!S1268,0)</f>
        <v>0</v>
      </c>
      <c r="U48" s="63">
        <f>IFERROR(aurora_data!T1268,0)</f>
        <v>0</v>
      </c>
      <c r="V48" s="64" t="s">
        <v>95</v>
      </c>
      <c r="W48" s="36">
        <f>IFERROR(aurora_data!U1268,0)</f>
        <v>0</v>
      </c>
      <c r="X48" s="71">
        <f t="shared" si="4"/>
        <v>0</v>
      </c>
      <c r="Y48" s="2"/>
    </row>
    <row r="49" spans="1:25" customFormat="1" ht="16.5" thickBot="1">
      <c r="A49" s="2"/>
      <c r="B49" s="211"/>
      <c r="C49" s="213"/>
      <c r="D49" s="35" t="s">
        <v>99</v>
      </c>
      <c r="E49" s="36">
        <f>IFERROR(aurora_data!D1269,0)</f>
        <v>0</v>
      </c>
      <c r="F49" s="62">
        <f>IFERROR(aurora_data!E1269,0)</f>
        <v>0</v>
      </c>
      <c r="G49" s="62">
        <f>IFERROR(aurora_data!F1269,0)</f>
        <v>0</v>
      </c>
      <c r="H49" s="62">
        <f>IFERROR(aurora_data!G1269,0)</f>
        <v>0</v>
      </c>
      <c r="I49" s="63">
        <f>IFERROR(aurora_data!H1269,0)</f>
        <v>0</v>
      </c>
      <c r="J49" s="36">
        <f>IFERROR(aurora_data!I1269,0)</f>
        <v>0</v>
      </c>
      <c r="K49" s="62">
        <f>IFERROR(aurora_data!J1269,0)</f>
        <v>0</v>
      </c>
      <c r="L49" s="62">
        <f>IFERROR(aurora_data!K1269,0)</f>
        <v>0</v>
      </c>
      <c r="M49" s="62">
        <f>IFERROR(aurora_data!L1269,0)</f>
        <v>0</v>
      </c>
      <c r="N49" s="63">
        <f>IFERROR(aurora_data!M1269,0)</f>
        <v>0</v>
      </c>
      <c r="O49" s="36">
        <f>IFERROR(aurora_data!N1269,0)</f>
        <v>0</v>
      </c>
      <c r="P49" s="62">
        <f>IFERROR(aurora_data!O1269,0)</f>
        <v>0</v>
      </c>
      <c r="Q49" s="62">
        <f>IFERROR(aurora_data!P1269,0)</f>
        <v>0</v>
      </c>
      <c r="R49" s="63">
        <f>IFERROR(aurora_data!Q1269,0)</f>
        <v>0</v>
      </c>
      <c r="S49" s="62">
        <f>IFERROR(aurora_data!R1269,0)</f>
        <v>0</v>
      </c>
      <c r="T49" s="62">
        <f>IFERROR(aurora_data!S1269,0)</f>
        <v>0</v>
      </c>
      <c r="U49" s="63">
        <f>IFERROR(aurora_data!T1269,0)</f>
        <v>0</v>
      </c>
      <c r="V49" s="64" t="s">
        <v>95</v>
      </c>
      <c r="W49" s="36">
        <f>IFERROR(aurora_data!U1269,0)</f>
        <v>0</v>
      </c>
      <c r="X49" s="71">
        <f t="shared" si="4"/>
        <v>0</v>
      </c>
      <c r="Y49" s="2"/>
    </row>
    <row r="50" spans="1:25" customFormat="1" ht="16.5" thickBot="1">
      <c r="A50" s="2"/>
      <c r="B50" s="211"/>
      <c r="C50" s="213"/>
      <c r="D50" s="37" t="s">
        <v>64</v>
      </c>
      <c r="E50" s="59">
        <f>IFERROR(aurora_data!D1270,0)</f>
        <v>0</v>
      </c>
      <c r="F50" s="65">
        <f>IFERROR(aurora_data!E1270,0)</f>
        <v>0</v>
      </c>
      <c r="G50" s="65">
        <f>IFERROR(aurora_data!F1270,0)</f>
        <v>0</v>
      </c>
      <c r="H50" s="65">
        <f>IFERROR(aurora_data!G1270,0)</f>
        <v>0</v>
      </c>
      <c r="I50" s="66">
        <f>IFERROR(aurora_data!H1270,0)</f>
        <v>0</v>
      </c>
      <c r="J50" s="59">
        <f>IFERROR(aurora_data!I1270,0)</f>
        <v>0</v>
      </c>
      <c r="K50" s="65">
        <f>IFERROR(aurora_data!J1270,0)</f>
        <v>0</v>
      </c>
      <c r="L50" s="65">
        <f>IFERROR(aurora_data!K1270,0)</f>
        <v>0</v>
      </c>
      <c r="M50" s="65">
        <f>IFERROR(aurora_data!L1270,0)</f>
        <v>0</v>
      </c>
      <c r="N50" s="66">
        <f>IFERROR(aurora_data!M1270,0)</f>
        <v>0</v>
      </c>
      <c r="O50" s="59">
        <f>IFERROR(aurora_data!N1270,0)</f>
        <v>0</v>
      </c>
      <c r="P50" s="65">
        <f>IFERROR(aurora_data!O1270,0)</f>
        <v>0</v>
      </c>
      <c r="Q50" s="65">
        <f>IFERROR(aurora_data!P1270,0)</f>
        <v>0</v>
      </c>
      <c r="R50" s="66">
        <f>IFERROR(aurora_data!Q1270,0)</f>
        <v>0</v>
      </c>
      <c r="S50" s="65">
        <f>IFERROR(aurora_data!R1270,0)</f>
        <v>0</v>
      </c>
      <c r="T50" s="65">
        <f>IFERROR(aurora_data!S1270,0)</f>
        <v>0</v>
      </c>
      <c r="U50" s="66">
        <f>IFERROR(aurora_data!T1270,0)</f>
        <v>0</v>
      </c>
      <c r="V50" s="67" t="s">
        <v>95</v>
      </c>
      <c r="W50" s="59">
        <f>IFERROR(aurora_data!U1270,0)</f>
        <v>0</v>
      </c>
      <c r="X50" s="72">
        <f t="shared" si="4"/>
        <v>0</v>
      </c>
      <c r="Y50" s="2"/>
    </row>
    <row r="51" spans="1:25" customFormat="1" ht="16.5" thickBot="1">
      <c r="A51" s="2"/>
      <c r="B51" s="211"/>
      <c r="C51" s="213"/>
      <c r="D51" s="38" t="s">
        <v>100</v>
      </c>
      <c r="E51" s="60">
        <f>IFERROR(aurora_data!D1271,0)</f>
        <v>0</v>
      </c>
      <c r="F51" s="68">
        <f>IFERROR(aurora_data!E1271,0)</f>
        <v>0</v>
      </c>
      <c r="G51" s="68">
        <f>IFERROR(aurora_data!F1271,0)</f>
        <v>0</v>
      </c>
      <c r="H51" s="68">
        <f>IFERROR(aurora_data!G1271,0)</f>
        <v>0</v>
      </c>
      <c r="I51" s="69">
        <f>IFERROR(aurora_data!H1271,0)</f>
        <v>0</v>
      </c>
      <c r="J51" s="60">
        <f>IFERROR(aurora_data!I1271,0)</f>
        <v>0</v>
      </c>
      <c r="K51" s="68">
        <f>IFERROR(aurora_data!J1271,0)</f>
        <v>0</v>
      </c>
      <c r="L51" s="68">
        <f>IFERROR(aurora_data!K1271,0)</f>
        <v>0</v>
      </c>
      <c r="M51" s="68">
        <f>IFERROR(aurora_data!L1271,0)</f>
        <v>0</v>
      </c>
      <c r="N51" s="69">
        <f>IFERROR(aurora_data!M1271,0)</f>
        <v>0</v>
      </c>
      <c r="O51" s="60">
        <f>IFERROR(aurora_data!N1271,0)</f>
        <v>0</v>
      </c>
      <c r="P51" s="68">
        <f>IFERROR(aurora_data!O1271,0)</f>
        <v>0</v>
      </c>
      <c r="Q51" s="68">
        <f>IFERROR(aurora_data!P1271,0)</f>
        <v>0</v>
      </c>
      <c r="R51" s="69">
        <f>IFERROR(aurora_data!Q1271,0)</f>
        <v>0</v>
      </c>
      <c r="S51" s="68">
        <f>IFERROR(aurora_data!R1271,0)</f>
        <v>0</v>
      </c>
      <c r="T51" s="68">
        <f>IFERROR(aurora_data!S1271,0)</f>
        <v>0</v>
      </c>
      <c r="U51" s="74">
        <f>IFERROR(aurora_data!T1271,0)</f>
        <v>0</v>
      </c>
      <c r="V51" s="75" t="s">
        <v>95</v>
      </c>
      <c r="W51" s="60">
        <f>IFERROR(aurora_data!U1271,0)</f>
        <v>0</v>
      </c>
      <c r="X51" s="73">
        <f t="shared" si="4"/>
        <v>0</v>
      </c>
      <c r="Y51" s="2"/>
    </row>
    <row r="52" spans="1:25" customFormat="1">
      <c r="A52" s="2"/>
      <c r="B52" s="210" t="s">
        <v>94</v>
      </c>
      <c r="C52" s="212" t="str">
        <f>aurora_data!A1272</f>
        <v>11.00.00-11.11.30</v>
      </c>
      <c r="D52" s="34" t="s">
        <v>71</v>
      </c>
      <c r="E52" s="39">
        <f>IFERROR(aurora_data!D1272,0)</f>
        <v>0</v>
      </c>
      <c r="F52" s="40">
        <f>IFERROR(aurora_data!E1272,0)</f>
        <v>0</v>
      </c>
      <c r="G52" s="40">
        <f>IFERROR(aurora_data!F1272,0)</f>
        <v>0</v>
      </c>
      <c r="H52" s="40">
        <f>IFERROR(aurora_data!G1272,0)</f>
        <v>0</v>
      </c>
      <c r="I52" s="41">
        <f>IFERROR(aurora_data!H1272,0)</f>
        <v>0</v>
      </c>
      <c r="J52" s="39">
        <f>IFERROR(aurora_data!I1272,0)</f>
        <v>0</v>
      </c>
      <c r="K52" s="40">
        <f>IFERROR(aurora_data!J1272,0)</f>
        <v>0</v>
      </c>
      <c r="L52" s="40">
        <f>IFERROR(aurora_data!K1272,0)</f>
        <v>0</v>
      </c>
      <c r="M52" s="40">
        <f>IFERROR(aurora_data!L1272,0)</f>
        <v>0</v>
      </c>
      <c r="N52" s="41">
        <f>IFERROR(aurora_data!M1272,0)</f>
        <v>0</v>
      </c>
      <c r="O52" s="39">
        <f>IFERROR(aurora_data!N1272,0)</f>
        <v>0</v>
      </c>
      <c r="P52" s="40">
        <f>IFERROR(aurora_data!O1272,0)</f>
        <v>0</v>
      </c>
      <c r="Q52" s="40">
        <f>IFERROR(aurora_data!P1272,0)</f>
        <v>0</v>
      </c>
      <c r="R52" s="41">
        <f>IFERROR(aurora_data!Q1272,0)</f>
        <v>0</v>
      </c>
      <c r="S52" s="40">
        <f>IFERROR(aurora_data!R1272,0)</f>
        <v>0</v>
      </c>
      <c r="T52" s="40">
        <f>IFERROR(aurora_data!S1272,0)</f>
        <v>0</v>
      </c>
      <c r="U52" s="76">
        <f>IFERROR(aurora_data!T1272,0)</f>
        <v>0</v>
      </c>
      <c r="V52" s="61" t="s">
        <v>95</v>
      </c>
      <c r="W52" s="39">
        <f>IFERROR(aurora_data!U1272,0)</f>
        <v>1</v>
      </c>
      <c r="X52" s="70">
        <f>IFERROR(W52/$W$12,0)</f>
        <v>1</v>
      </c>
      <c r="Y52" s="2"/>
    </row>
    <row r="53" spans="1:25" customFormat="1">
      <c r="A53" s="2"/>
      <c r="B53" s="211"/>
      <c r="C53" s="213"/>
      <c r="D53" s="35" t="s">
        <v>96</v>
      </c>
      <c r="E53" s="110">
        <f>IFERROR(aurora_data!D1273,0)</f>
        <v>0</v>
      </c>
      <c r="F53" s="62">
        <f>IFERROR(aurora_data!E1273,0)</f>
        <v>0</v>
      </c>
      <c r="G53" s="62">
        <f>IFERROR(aurora_data!F1273,0)</f>
        <v>0</v>
      </c>
      <c r="H53" s="62">
        <f>IFERROR(aurora_data!G1273,0)</f>
        <v>0</v>
      </c>
      <c r="I53" s="63">
        <f>IFERROR(aurora_data!H1273,0)</f>
        <v>0</v>
      </c>
      <c r="J53" s="36">
        <f>IFERROR(aurora_data!I1273,0)</f>
        <v>0</v>
      </c>
      <c r="K53" s="62">
        <f>IFERROR(aurora_data!J1273,0)</f>
        <v>0</v>
      </c>
      <c r="L53" s="62">
        <f>IFERROR(aurora_data!K1273,0)</f>
        <v>0</v>
      </c>
      <c r="M53" s="62">
        <f>IFERROR(aurora_data!L1273,0)</f>
        <v>0</v>
      </c>
      <c r="N53" s="63">
        <f>IFERROR(aurora_data!M1273,0)</f>
        <v>0</v>
      </c>
      <c r="O53" s="36">
        <f>IFERROR(aurora_data!N1273,0)</f>
        <v>0</v>
      </c>
      <c r="P53" s="62">
        <f>IFERROR(aurora_data!O1273,0)</f>
        <v>0</v>
      </c>
      <c r="Q53" s="62">
        <f>IFERROR(aurora_data!P1273,0)</f>
        <v>0</v>
      </c>
      <c r="R53" s="63">
        <f>IFERROR(aurora_data!Q1273,0)</f>
        <v>0</v>
      </c>
      <c r="S53" s="62">
        <f>IFERROR(aurora_data!R1273,0)</f>
        <v>0</v>
      </c>
      <c r="T53" s="62">
        <f>IFERROR(aurora_data!S1273,0)</f>
        <v>0</v>
      </c>
      <c r="U53" s="63">
        <f>IFERROR(aurora_data!T1273,0)</f>
        <v>0</v>
      </c>
      <c r="V53" s="64" t="s">
        <v>95</v>
      </c>
      <c r="W53" s="36">
        <f>IFERROR(aurora_data!U1273,0)</f>
        <v>0</v>
      </c>
      <c r="X53" s="71">
        <f t="shared" ref="X53:X59" si="5">IFERROR(W53/$W$12,0)</f>
        <v>0</v>
      </c>
      <c r="Y53" s="2"/>
    </row>
    <row r="54" spans="1:25" customFormat="1">
      <c r="A54" s="2"/>
      <c r="B54" s="211"/>
      <c r="C54" s="213"/>
      <c r="D54" s="35" t="s">
        <v>60</v>
      </c>
      <c r="E54" s="110">
        <f>IFERROR(aurora_data!D1274,0)</f>
        <v>0</v>
      </c>
      <c r="F54" s="62">
        <f>IFERROR(aurora_data!E1274,0)</f>
        <v>0</v>
      </c>
      <c r="G54" s="62">
        <f>IFERROR(aurora_data!F1274,0)</f>
        <v>0</v>
      </c>
      <c r="H54" s="62">
        <f>IFERROR(aurora_data!G1274,0)</f>
        <v>0</v>
      </c>
      <c r="I54" s="63">
        <f>IFERROR(aurora_data!H1274,0)</f>
        <v>0</v>
      </c>
      <c r="J54" s="36">
        <f>IFERROR(aurora_data!I1274,0)</f>
        <v>0</v>
      </c>
      <c r="K54" s="62">
        <f>IFERROR(aurora_data!J1274,0)</f>
        <v>0</v>
      </c>
      <c r="L54" s="62">
        <f>IFERROR(aurora_data!K1274,0)</f>
        <v>0</v>
      </c>
      <c r="M54" s="62">
        <f>IFERROR(aurora_data!L1274,0)</f>
        <v>0</v>
      </c>
      <c r="N54" s="63">
        <f>IFERROR(aurora_data!M1274,0)</f>
        <v>0</v>
      </c>
      <c r="O54" s="36">
        <f>IFERROR(aurora_data!N1274,0)</f>
        <v>0</v>
      </c>
      <c r="P54" s="62">
        <f>IFERROR(aurora_data!O1274,0)</f>
        <v>0</v>
      </c>
      <c r="Q54" s="62">
        <f>IFERROR(aurora_data!P1274,0)</f>
        <v>0</v>
      </c>
      <c r="R54" s="63">
        <f>IFERROR(aurora_data!Q1274,0)</f>
        <v>0</v>
      </c>
      <c r="S54" s="62">
        <f>IFERROR(aurora_data!R1274,0)</f>
        <v>0</v>
      </c>
      <c r="T54" s="62">
        <f>IFERROR(aurora_data!S1274,0)</f>
        <v>0</v>
      </c>
      <c r="U54" s="63">
        <f>IFERROR(aurora_data!T1274,0)</f>
        <v>0</v>
      </c>
      <c r="V54" s="64" t="s">
        <v>95</v>
      </c>
      <c r="W54" s="36">
        <f>IFERROR(aurora_data!U1274,0)</f>
        <v>0</v>
      </c>
      <c r="X54" s="71">
        <f t="shared" si="5"/>
        <v>0</v>
      </c>
      <c r="Y54" s="2"/>
    </row>
    <row r="55" spans="1:25" customFormat="1">
      <c r="A55" s="2"/>
      <c r="B55" s="211"/>
      <c r="C55" s="213"/>
      <c r="D55" s="35" t="s">
        <v>97</v>
      </c>
      <c r="E55" s="36">
        <f>IFERROR(aurora_data!D1275,0)</f>
        <v>0</v>
      </c>
      <c r="F55" s="62">
        <f>IFERROR(aurora_data!E1275,0)</f>
        <v>0</v>
      </c>
      <c r="G55" s="62">
        <f>IFERROR(aurora_data!F1275,0)</f>
        <v>0</v>
      </c>
      <c r="H55" s="62">
        <f>IFERROR(aurora_data!G1275,0)</f>
        <v>0</v>
      </c>
      <c r="I55" s="63">
        <f>IFERROR(aurora_data!H1275,0)</f>
        <v>0</v>
      </c>
      <c r="J55" s="36">
        <f>IFERROR(aurora_data!I1275,0)</f>
        <v>0</v>
      </c>
      <c r="K55" s="62">
        <f>IFERROR(aurora_data!J1275,0)</f>
        <v>0</v>
      </c>
      <c r="L55" s="62">
        <f>IFERROR(aurora_data!K1275,0)</f>
        <v>0</v>
      </c>
      <c r="M55" s="62">
        <f>IFERROR(aurora_data!L1275,0)</f>
        <v>0</v>
      </c>
      <c r="N55" s="63">
        <f>IFERROR(aurora_data!M1275,0)</f>
        <v>0</v>
      </c>
      <c r="O55" s="36">
        <f>IFERROR(aurora_data!N1275,0)</f>
        <v>0</v>
      </c>
      <c r="P55" s="62">
        <f>IFERROR(aurora_data!O1275,0)</f>
        <v>0</v>
      </c>
      <c r="Q55" s="62">
        <f>IFERROR(aurora_data!P1275,0)</f>
        <v>0</v>
      </c>
      <c r="R55" s="63">
        <f>IFERROR(aurora_data!Q1275,0)</f>
        <v>0</v>
      </c>
      <c r="S55" s="62">
        <f>IFERROR(aurora_data!R1275,0)</f>
        <v>0</v>
      </c>
      <c r="T55" s="62">
        <f>IFERROR(aurora_data!S1275,0)</f>
        <v>0</v>
      </c>
      <c r="U55" s="63">
        <f>IFERROR(aurora_data!T1275,0)</f>
        <v>0</v>
      </c>
      <c r="V55" s="64" t="s">
        <v>95</v>
      </c>
      <c r="W55" s="36">
        <f>IFERROR(aurora_data!U1275,0)</f>
        <v>0</v>
      </c>
      <c r="X55" s="71">
        <f t="shared" si="5"/>
        <v>0</v>
      </c>
      <c r="Y55" s="2"/>
    </row>
    <row r="56" spans="1:25" customFormat="1">
      <c r="A56" s="2"/>
      <c r="B56" s="211"/>
      <c r="C56" s="213"/>
      <c r="D56" s="35" t="s">
        <v>98</v>
      </c>
      <c r="E56" s="36">
        <f>IFERROR(aurora_data!D1276,0)</f>
        <v>0</v>
      </c>
      <c r="F56" s="62">
        <f>IFERROR(aurora_data!E1276,0)</f>
        <v>0</v>
      </c>
      <c r="G56" s="62">
        <f>IFERROR(aurora_data!F1276,0)</f>
        <v>0</v>
      </c>
      <c r="H56" s="62">
        <f>IFERROR(aurora_data!G1276,0)</f>
        <v>0</v>
      </c>
      <c r="I56" s="63">
        <f>IFERROR(aurora_data!H1276,0)</f>
        <v>0</v>
      </c>
      <c r="J56" s="36">
        <f>IFERROR(aurora_data!I1276,0)</f>
        <v>0</v>
      </c>
      <c r="K56" s="62">
        <f>IFERROR(aurora_data!J1276,0)</f>
        <v>0</v>
      </c>
      <c r="L56" s="62">
        <f>IFERROR(aurora_data!K1276,0)</f>
        <v>0</v>
      </c>
      <c r="M56" s="62">
        <f>IFERROR(aurora_data!L1276,0)</f>
        <v>0</v>
      </c>
      <c r="N56" s="63">
        <f>IFERROR(aurora_data!M1276,0)</f>
        <v>0</v>
      </c>
      <c r="O56" s="36">
        <f>IFERROR(aurora_data!N1276,0)</f>
        <v>0</v>
      </c>
      <c r="P56" s="62">
        <f>IFERROR(aurora_data!O1276,0)</f>
        <v>0</v>
      </c>
      <c r="Q56" s="62">
        <f>IFERROR(aurora_data!P1276,0)</f>
        <v>0</v>
      </c>
      <c r="R56" s="63">
        <f>IFERROR(aurora_data!Q1276,0)</f>
        <v>0</v>
      </c>
      <c r="S56" s="62">
        <f>IFERROR(aurora_data!R1276,0)</f>
        <v>0</v>
      </c>
      <c r="T56" s="62">
        <f>IFERROR(aurora_data!S1276,0)</f>
        <v>0</v>
      </c>
      <c r="U56" s="63">
        <f>IFERROR(aurora_data!T1276,0)</f>
        <v>0</v>
      </c>
      <c r="V56" s="64" t="s">
        <v>95</v>
      </c>
      <c r="W56" s="36">
        <f>IFERROR(aurora_data!U1276,0)</f>
        <v>0</v>
      </c>
      <c r="X56" s="71">
        <f t="shared" si="5"/>
        <v>0</v>
      </c>
      <c r="Y56" s="2"/>
    </row>
    <row r="57" spans="1:25" customFormat="1" ht="16.5" thickBot="1">
      <c r="A57" s="2"/>
      <c r="B57" s="211"/>
      <c r="C57" s="213"/>
      <c r="D57" s="35" t="s">
        <v>99</v>
      </c>
      <c r="E57" s="36">
        <f>IFERROR(aurora_data!D1277,0)</f>
        <v>0</v>
      </c>
      <c r="F57" s="62">
        <f>IFERROR(aurora_data!E1277,0)</f>
        <v>0</v>
      </c>
      <c r="G57" s="62">
        <f>IFERROR(aurora_data!F1277,0)</f>
        <v>0</v>
      </c>
      <c r="H57" s="62">
        <f>IFERROR(aurora_data!G1277,0)</f>
        <v>0</v>
      </c>
      <c r="I57" s="63">
        <f>IFERROR(aurora_data!H1277,0)</f>
        <v>0</v>
      </c>
      <c r="J57" s="36">
        <f>IFERROR(aurora_data!I1277,0)</f>
        <v>0</v>
      </c>
      <c r="K57" s="62">
        <f>IFERROR(aurora_data!J1277,0)</f>
        <v>0</v>
      </c>
      <c r="L57" s="62">
        <f>IFERROR(aurora_data!K1277,0)</f>
        <v>0</v>
      </c>
      <c r="M57" s="62">
        <f>IFERROR(aurora_data!L1277,0)</f>
        <v>0</v>
      </c>
      <c r="N57" s="63">
        <f>IFERROR(aurora_data!M1277,0)</f>
        <v>0</v>
      </c>
      <c r="O57" s="36">
        <f>IFERROR(aurora_data!N1277,0)</f>
        <v>0</v>
      </c>
      <c r="P57" s="62">
        <f>IFERROR(aurora_data!O1277,0)</f>
        <v>0</v>
      </c>
      <c r="Q57" s="62">
        <f>IFERROR(aurora_data!P1277,0)</f>
        <v>0</v>
      </c>
      <c r="R57" s="63">
        <f>IFERROR(aurora_data!Q1277,0)</f>
        <v>0</v>
      </c>
      <c r="S57" s="62">
        <f>IFERROR(aurora_data!R1277,0)</f>
        <v>0</v>
      </c>
      <c r="T57" s="62">
        <f>IFERROR(aurora_data!S1277,0)</f>
        <v>0</v>
      </c>
      <c r="U57" s="63">
        <f>IFERROR(aurora_data!T1277,0)</f>
        <v>0</v>
      </c>
      <c r="V57" s="64" t="s">
        <v>95</v>
      </c>
      <c r="W57" s="36">
        <f>IFERROR(aurora_data!U1277,0)</f>
        <v>0</v>
      </c>
      <c r="X57" s="71">
        <f t="shared" si="5"/>
        <v>0</v>
      </c>
      <c r="Y57" s="2"/>
    </row>
    <row r="58" spans="1:25" customFormat="1" ht="16.5" thickBot="1">
      <c r="A58" s="2"/>
      <c r="B58" s="211"/>
      <c r="C58" s="213"/>
      <c r="D58" s="37" t="s">
        <v>64</v>
      </c>
      <c r="E58" s="59">
        <f>IFERROR(aurora_data!D1278,0)</f>
        <v>0</v>
      </c>
      <c r="F58" s="65">
        <f>IFERROR(aurora_data!E1278,0)</f>
        <v>0</v>
      </c>
      <c r="G58" s="65">
        <f>IFERROR(aurora_data!F1278,0)</f>
        <v>0</v>
      </c>
      <c r="H58" s="65">
        <f>IFERROR(aurora_data!G1278,0)</f>
        <v>0</v>
      </c>
      <c r="I58" s="66">
        <f>IFERROR(aurora_data!H1278,0)</f>
        <v>0</v>
      </c>
      <c r="J58" s="59">
        <f>IFERROR(aurora_data!I1278,0)</f>
        <v>0</v>
      </c>
      <c r="K58" s="65">
        <f>IFERROR(aurora_data!J1278,0)</f>
        <v>0</v>
      </c>
      <c r="L58" s="65">
        <f>IFERROR(aurora_data!K1278,0)</f>
        <v>0</v>
      </c>
      <c r="M58" s="65">
        <f>IFERROR(aurora_data!L1278,0)</f>
        <v>0</v>
      </c>
      <c r="N58" s="66">
        <f>IFERROR(aurora_data!M1278,0)</f>
        <v>0</v>
      </c>
      <c r="O58" s="59">
        <f>IFERROR(aurora_data!N1278,0)</f>
        <v>0</v>
      </c>
      <c r="P58" s="65">
        <f>IFERROR(aurora_data!O1278,0)</f>
        <v>0</v>
      </c>
      <c r="Q58" s="65">
        <f>IFERROR(aurora_data!P1278,0)</f>
        <v>0</v>
      </c>
      <c r="R58" s="66">
        <f>IFERROR(aurora_data!Q1278,0)</f>
        <v>0</v>
      </c>
      <c r="S58" s="65">
        <f>IFERROR(aurora_data!R1278,0)</f>
        <v>0</v>
      </c>
      <c r="T58" s="65">
        <f>IFERROR(aurora_data!S1278,0)</f>
        <v>0</v>
      </c>
      <c r="U58" s="66">
        <f>IFERROR(aurora_data!T1278,0)</f>
        <v>0</v>
      </c>
      <c r="V58" s="67" t="s">
        <v>95</v>
      </c>
      <c r="W58" s="59">
        <f>IFERROR(aurora_data!U1278,0)</f>
        <v>0</v>
      </c>
      <c r="X58" s="72">
        <f t="shared" si="5"/>
        <v>0</v>
      </c>
      <c r="Y58" s="2"/>
    </row>
    <row r="59" spans="1:25" customFormat="1" ht="16.5" thickBot="1">
      <c r="A59" s="2"/>
      <c r="B59" s="211"/>
      <c r="C59" s="213"/>
      <c r="D59" s="38" t="s">
        <v>100</v>
      </c>
      <c r="E59" s="60">
        <f>IFERROR(aurora_data!D1279,0)</f>
        <v>0</v>
      </c>
      <c r="F59" s="68">
        <f>IFERROR(aurora_data!E1279,0)</f>
        <v>0</v>
      </c>
      <c r="G59" s="68">
        <f>IFERROR(aurora_data!F1279,0)</f>
        <v>0</v>
      </c>
      <c r="H59" s="68">
        <f>IFERROR(aurora_data!G1279,0)</f>
        <v>0</v>
      </c>
      <c r="I59" s="69">
        <f>IFERROR(aurora_data!H1279,0)</f>
        <v>0</v>
      </c>
      <c r="J59" s="60">
        <f>IFERROR(aurora_data!I1279,0)</f>
        <v>0</v>
      </c>
      <c r="K59" s="68">
        <f>IFERROR(aurora_data!J1279,0)</f>
        <v>0</v>
      </c>
      <c r="L59" s="68">
        <f>IFERROR(aurora_data!K1279,0)</f>
        <v>0</v>
      </c>
      <c r="M59" s="68">
        <f>IFERROR(aurora_data!L1279,0)</f>
        <v>0</v>
      </c>
      <c r="N59" s="69">
        <f>IFERROR(aurora_data!M1279,0)</f>
        <v>0</v>
      </c>
      <c r="O59" s="60">
        <f>IFERROR(aurora_data!N1279,0)</f>
        <v>0</v>
      </c>
      <c r="P59" s="68">
        <f>IFERROR(aurora_data!O1279,0)</f>
        <v>0</v>
      </c>
      <c r="Q59" s="68">
        <f>IFERROR(aurora_data!P1279,0)</f>
        <v>0</v>
      </c>
      <c r="R59" s="69">
        <f>IFERROR(aurora_data!Q1279,0)</f>
        <v>0</v>
      </c>
      <c r="S59" s="68">
        <f>IFERROR(aurora_data!R1279,0)</f>
        <v>0</v>
      </c>
      <c r="T59" s="68">
        <f>IFERROR(aurora_data!S1279,0)</f>
        <v>0</v>
      </c>
      <c r="U59" s="74">
        <f>IFERROR(aurora_data!T1279,0)</f>
        <v>0</v>
      </c>
      <c r="V59" s="75" t="s">
        <v>95</v>
      </c>
      <c r="W59" s="60">
        <f>IFERROR(aurora_data!U1279,0)</f>
        <v>0</v>
      </c>
      <c r="X59" s="73">
        <f t="shared" si="5"/>
        <v>0</v>
      </c>
      <c r="Y59" s="2"/>
    </row>
    <row r="60" spans="1:25" customFormat="1">
      <c r="A60" s="2"/>
      <c r="B60" s="210" t="s">
        <v>94</v>
      </c>
      <c r="C60" s="212" t="str">
        <f>aurora_data!A1280</f>
        <v>12.00.00-12.11.30</v>
      </c>
      <c r="D60" s="34" t="s">
        <v>71</v>
      </c>
      <c r="E60" s="39">
        <f>IFERROR(aurora_data!D1280,0)</f>
        <v>0</v>
      </c>
      <c r="F60" s="40">
        <f>IFERROR(aurora_data!E1280,0)</f>
        <v>0</v>
      </c>
      <c r="G60" s="40">
        <f>IFERROR(aurora_data!F1280,0)</f>
        <v>0</v>
      </c>
      <c r="H60" s="40">
        <f>IFERROR(aurora_data!G1280,0)</f>
        <v>0</v>
      </c>
      <c r="I60" s="41">
        <f>IFERROR(aurora_data!H1280,0)</f>
        <v>0</v>
      </c>
      <c r="J60" s="39">
        <f>IFERROR(aurora_data!I1280,0)</f>
        <v>0</v>
      </c>
      <c r="K60" s="40">
        <f>IFERROR(aurora_data!J1280,0)</f>
        <v>0</v>
      </c>
      <c r="L60" s="40">
        <f>IFERROR(aurora_data!K1280,0)</f>
        <v>0</v>
      </c>
      <c r="M60" s="40">
        <f>IFERROR(aurora_data!L1280,0)</f>
        <v>0</v>
      </c>
      <c r="N60" s="41">
        <f>IFERROR(aurora_data!M1280,0)</f>
        <v>0</v>
      </c>
      <c r="O60" s="39">
        <f>IFERROR(aurora_data!N1280,0)</f>
        <v>0</v>
      </c>
      <c r="P60" s="40">
        <f>IFERROR(aurora_data!O1280,0)</f>
        <v>0</v>
      </c>
      <c r="Q60" s="40">
        <f>IFERROR(aurora_data!P1280,0)</f>
        <v>0</v>
      </c>
      <c r="R60" s="41">
        <f>IFERROR(aurora_data!Q1280,0)</f>
        <v>0</v>
      </c>
      <c r="S60" s="40">
        <f>IFERROR(aurora_data!R1280,0)</f>
        <v>0</v>
      </c>
      <c r="T60" s="40">
        <f>IFERROR(aurora_data!S1280,0)</f>
        <v>0</v>
      </c>
      <c r="U60" s="76">
        <f>IFERROR(aurora_data!T1280,0)</f>
        <v>0</v>
      </c>
      <c r="V60" s="61" t="s">
        <v>95</v>
      </c>
      <c r="W60" s="39">
        <f>IFERROR(aurora_data!U1280,0)</f>
        <v>1</v>
      </c>
      <c r="X60" s="70">
        <f>IFERROR(W60/$W$12,0)</f>
        <v>1</v>
      </c>
      <c r="Y60" s="2"/>
    </row>
    <row r="61" spans="1:25" customFormat="1">
      <c r="A61" s="2"/>
      <c r="B61" s="211"/>
      <c r="C61" s="213"/>
      <c r="D61" s="35" t="s">
        <v>96</v>
      </c>
      <c r="E61" s="110">
        <f>IFERROR(aurora_data!D1281,0)</f>
        <v>0</v>
      </c>
      <c r="F61" s="62">
        <f>IFERROR(aurora_data!E1281,0)</f>
        <v>0</v>
      </c>
      <c r="G61" s="62">
        <f>IFERROR(aurora_data!F1281,0)</f>
        <v>0</v>
      </c>
      <c r="H61" s="62">
        <f>IFERROR(aurora_data!G1281,0)</f>
        <v>0</v>
      </c>
      <c r="I61" s="63">
        <f>IFERROR(aurora_data!H1281,0)</f>
        <v>0</v>
      </c>
      <c r="J61" s="36">
        <f>IFERROR(aurora_data!I1281,0)</f>
        <v>0</v>
      </c>
      <c r="K61" s="62">
        <f>IFERROR(aurora_data!J1281,0)</f>
        <v>0</v>
      </c>
      <c r="L61" s="62">
        <f>IFERROR(aurora_data!K1281,0)</f>
        <v>0</v>
      </c>
      <c r="M61" s="62">
        <f>IFERROR(aurora_data!L1281,0)</f>
        <v>0</v>
      </c>
      <c r="N61" s="63">
        <f>IFERROR(aurora_data!M1281,0)</f>
        <v>0</v>
      </c>
      <c r="O61" s="36">
        <f>IFERROR(aurora_data!N1281,0)</f>
        <v>0</v>
      </c>
      <c r="P61" s="62">
        <f>IFERROR(aurora_data!O1281,0)</f>
        <v>0</v>
      </c>
      <c r="Q61" s="62">
        <f>IFERROR(aurora_data!P1281,0)</f>
        <v>0</v>
      </c>
      <c r="R61" s="63">
        <f>IFERROR(aurora_data!Q1281,0)</f>
        <v>0</v>
      </c>
      <c r="S61" s="62">
        <f>IFERROR(aurora_data!R1281,0)</f>
        <v>0</v>
      </c>
      <c r="T61" s="62">
        <f>IFERROR(aurora_data!S1281,0)</f>
        <v>0</v>
      </c>
      <c r="U61" s="63">
        <f>IFERROR(aurora_data!T1281,0)</f>
        <v>0</v>
      </c>
      <c r="V61" s="64" t="s">
        <v>95</v>
      </c>
      <c r="W61" s="36">
        <f>IFERROR(aurora_data!U1281,0)</f>
        <v>0</v>
      </c>
      <c r="X61" s="71">
        <f t="shared" ref="X61:X67" si="6">IFERROR(W61/$W$12,0)</f>
        <v>0</v>
      </c>
      <c r="Y61" s="2"/>
    </row>
    <row r="62" spans="1:25" customFormat="1">
      <c r="A62" s="2"/>
      <c r="B62" s="211"/>
      <c r="C62" s="213"/>
      <c r="D62" s="35" t="s">
        <v>60</v>
      </c>
      <c r="E62" s="110">
        <f>IFERROR(aurora_data!D1282,0)</f>
        <v>0</v>
      </c>
      <c r="F62" s="62">
        <f>IFERROR(aurora_data!E1282,0)</f>
        <v>0</v>
      </c>
      <c r="G62" s="62">
        <f>IFERROR(aurora_data!F1282,0)</f>
        <v>0</v>
      </c>
      <c r="H62" s="62">
        <f>IFERROR(aurora_data!G1282,0)</f>
        <v>0</v>
      </c>
      <c r="I62" s="63">
        <f>IFERROR(aurora_data!H1282,0)</f>
        <v>0</v>
      </c>
      <c r="J62" s="36">
        <f>IFERROR(aurora_data!I1282,0)</f>
        <v>0</v>
      </c>
      <c r="K62" s="62">
        <f>IFERROR(aurora_data!J1282,0)</f>
        <v>0</v>
      </c>
      <c r="L62" s="62">
        <f>IFERROR(aurora_data!K1282,0)</f>
        <v>0</v>
      </c>
      <c r="M62" s="62">
        <f>IFERROR(aurora_data!L1282,0)</f>
        <v>0</v>
      </c>
      <c r="N62" s="63">
        <f>IFERROR(aurora_data!M1282,0)</f>
        <v>0</v>
      </c>
      <c r="O62" s="36">
        <f>IFERROR(aurora_data!N1282,0)</f>
        <v>0</v>
      </c>
      <c r="P62" s="62">
        <f>IFERROR(aurora_data!O1282,0)</f>
        <v>0</v>
      </c>
      <c r="Q62" s="62">
        <f>IFERROR(aurora_data!P1282,0)</f>
        <v>0</v>
      </c>
      <c r="R62" s="63">
        <f>IFERROR(aurora_data!Q1282,0)</f>
        <v>0</v>
      </c>
      <c r="S62" s="62">
        <f>IFERROR(aurora_data!R1282,0)</f>
        <v>0</v>
      </c>
      <c r="T62" s="62">
        <f>IFERROR(aurora_data!S1282,0)</f>
        <v>0</v>
      </c>
      <c r="U62" s="63">
        <f>IFERROR(aurora_data!T1282,0)</f>
        <v>0</v>
      </c>
      <c r="V62" s="64" t="s">
        <v>95</v>
      </c>
      <c r="W62" s="36">
        <f>IFERROR(aurora_data!U1282,0)</f>
        <v>0</v>
      </c>
      <c r="X62" s="71">
        <f t="shared" si="6"/>
        <v>0</v>
      </c>
      <c r="Y62" s="2"/>
    </row>
    <row r="63" spans="1:25" customFormat="1">
      <c r="A63" s="2"/>
      <c r="B63" s="211"/>
      <c r="C63" s="213"/>
      <c r="D63" s="35" t="s">
        <v>97</v>
      </c>
      <c r="E63" s="36">
        <f>IFERROR(aurora_data!D1283,0)</f>
        <v>0</v>
      </c>
      <c r="F63" s="62">
        <f>IFERROR(aurora_data!E1283,0)</f>
        <v>0</v>
      </c>
      <c r="G63" s="62">
        <f>IFERROR(aurora_data!F1283,0)</f>
        <v>0</v>
      </c>
      <c r="H63" s="62">
        <f>IFERROR(aurora_data!G1283,0)</f>
        <v>0</v>
      </c>
      <c r="I63" s="63">
        <f>IFERROR(aurora_data!H1283,0)</f>
        <v>0</v>
      </c>
      <c r="J63" s="36">
        <f>IFERROR(aurora_data!I1283,0)</f>
        <v>0</v>
      </c>
      <c r="K63" s="62">
        <f>IFERROR(aurora_data!J1283,0)</f>
        <v>0</v>
      </c>
      <c r="L63" s="62">
        <f>IFERROR(aurora_data!K1283,0)</f>
        <v>0</v>
      </c>
      <c r="M63" s="62">
        <f>IFERROR(aurora_data!L1283,0)</f>
        <v>0</v>
      </c>
      <c r="N63" s="63">
        <f>IFERROR(aurora_data!M1283,0)</f>
        <v>0</v>
      </c>
      <c r="O63" s="36">
        <f>IFERROR(aurora_data!N1283,0)</f>
        <v>0</v>
      </c>
      <c r="P63" s="62">
        <f>IFERROR(aurora_data!O1283,0)</f>
        <v>0</v>
      </c>
      <c r="Q63" s="62">
        <f>IFERROR(aurora_data!P1283,0)</f>
        <v>0</v>
      </c>
      <c r="R63" s="63">
        <f>IFERROR(aurora_data!Q1283,0)</f>
        <v>0</v>
      </c>
      <c r="S63" s="62">
        <f>IFERROR(aurora_data!R1283,0)</f>
        <v>0</v>
      </c>
      <c r="T63" s="62">
        <f>IFERROR(aurora_data!S1283,0)</f>
        <v>0</v>
      </c>
      <c r="U63" s="63">
        <f>IFERROR(aurora_data!T1283,0)</f>
        <v>0</v>
      </c>
      <c r="V63" s="64" t="s">
        <v>95</v>
      </c>
      <c r="W63" s="36">
        <f>IFERROR(aurora_data!U1283,0)</f>
        <v>0</v>
      </c>
      <c r="X63" s="71">
        <f t="shared" si="6"/>
        <v>0</v>
      </c>
      <c r="Y63" s="2"/>
    </row>
    <row r="64" spans="1:25" customFormat="1">
      <c r="A64" s="2"/>
      <c r="B64" s="211"/>
      <c r="C64" s="213"/>
      <c r="D64" s="35" t="s">
        <v>98</v>
      </c>
      <c r="E64" s="36">
        <f>IFERROR(aurora_data!D1284,0)</f>
        <v>0</v>
      </c>
      <c r="F64" s="62">
        <f>IFERROR(aurora_data!E1284,0)</f>
        <v>0</v>
      </c>
      <c r="G64" s="62">
        <f>IFERROR(aurora_data!F1284,0)</f>
        <v>0</v>
      </c>
      <c r="H64" s="62">
        <f>IFERROR(aurora_data!G1284,0)</f>
        <v>0</v>
      </c>
      <c r="I64" s="63">
        <f>IFERROR(aurora_data!H1284,0)</f>
        <v>0</v>
      </c>
      <c r="J64" s="36">
        <f>IFERROR(aurora_data!I1284,0)</f>
        <v>0</v>
      </c>
      <c r="K64" s="62">
        <f>IFERROR(aurora_data!J1284,0)</f>
        <v>0</v>
      </c>
      <c r="L64" s="62">
        <f>IFERROR(aurora_data!K1284,0)</f>
        <v>0</v>
      </c>
      <c r="M64" s="62">
        <f>IFERROR(aurora_data!L1284,0)</f>
        <v>0</v>
      </c>
      <c r="N64" s="63">
        <f>IFERROR(aurora_data!M1284,0)</f>
        <v>0</v>
      </c>
      <c r="O64" s="36">
        <f>IFERROR(aurora_data!N1284,0)</f>
        <v>0</v>
      </c>
      <c r="P64" s="62">
        <f>IFERROR(aurora_data!O1284,0)</f>
        <v>0</v>
      </c>
      <c r="Q64" s="62">
        <f>IFERROR(aurora_data!P1284,0)</f>
        <v>0</v>
      </c>
      <c r="R64" s="63">
        <f>IFERROR(aurora_data!Q1284,0)</f>
        <v>0</v>
      </c>
      <c r="S64" s="62">
        <f>IFERROR(aurora_data!R1284,0)</f>
        <v>0</v>
      </c>
      <c r="T64" s="62">
        <f>IFERROR(aurora_data!S1284,0)</f>
        <v>0</v>
      </c>
      <c r="U64" s="63">
        <f>IFERROR(aurora_data!T1284,0)</f>
        <v>0</v>
      </c>
      <c r="V64" s="64" t="s">
        <v>95</v>
      </c>
      <c r="W64" s="36">
        <f>IFERROR(aurora_data!U1284,0)</f>
        <v>0</v>
      </c>
      <c r="X64" s="71">
        <f t="shared" si="6"/>
        <v>0</v>
      </c>
      <c r="Y64" s="2"/>
    </row>
    <row r="65" spans="1:25" customFormat="1" ht="16.5" thickBot="1">
      <c r="A65" s="2"/>
      <c r="B65" s="211"/>
      <c r="C65" s="213"/>
      <c r="D65" s="35" t="s">
        <v>99</v>
      </c>
      <c r="E65" s="36">
        <f>IFERROR(aurora_data!D1285,0)</f>
        <v>0</v>
      </c>
      <c r="F65" s="62">
        <f>IFERROR(aurora_data!E1285,0)</f>
        <v>0</v>
      </c>
      <c r="G65" s="62">
        <f>IFERROR(aurora_data!F1285,0)</f>
        <v>0</v>
      </c>
      <c r="H65" s="62">
        <f>IFERROR(aurora_data!G1285,0)</f>
        <v>0</v>
      </c>
      <c r="I65" s="63">
        <f>IFERROR(aurora_data!H1285,0)</f>
        <v>0</v>
      </c>
      <c r="J65" s="36">
        <f>IFERROR(aurora_data!I1285,0)</f>
        <v>0</v>
      </c>
      <c r="K65" s="62">
        <f>IFERROR(aurora_data!J1285,0)</f>
        <v>0</v>
      </c>
      <c r="L65" s="62">
        <f>IFERROR(aurora_data!K1285,0)</f>
        <v>0</v>
      </c>
      <c r="M65" s="62">
        <f>IFERROR(aurora_data!L1285,0)</f>
        <v>0</v>
      </c>
      <c r="N65" s="63">
        <f>IFERROR(aurora_data!M1285,0)</f>
        <v>0</v>
      </c>
      <c r="O65" s="36">
        <f>IFERROR(aurora_data!N1285,0)</f>
        <v>0</v>
      </c>
      <c r="P65" s="62">
        <f>IFERROR(aurora_data!O1285,0)</f>
        <v>0</v>
      </c>
      <c r="Q65" s="62">
        <f>IFERROR(aurora_data!P1285,0)</f>
        <v>0</v>
      </c>
      <c r="R65" s="63">
        <f>IFERROR(aurora_data!Q1285,0)</f>
        <v>0</v>
      </c>
      <c r="S65" s="62">
        <f>IFERROR(aurora_data!R1285,0)</f>
        <v>0</v>
      </c>
      <c r="T65" s="62">
        <f>IFERROR(aurora_data!S1285,0)</f>
        <v>0</v>
      </c>
      <c r="U65" s="63">
        <f>IFERROR(aurora_data!T1285,0)</f>
        <v>0</v>
      </c>
      <c r="V65" s="64" t="s">
        <v>95</v>
      </c>
      <c r="W65" s="36">
        <f>IFERROR(aurora_data!U1285,0)</f>
        <v>0</v>
      </c>
      <c r="X65" s="71">
        <f t="shared" si="6"/>
        <v>0</v>
      </c>
      <c r="Y65" s="2"/>
    </row>
    <row r="66" spans="1:25" customFormat="1" ht="16.5" thickBot="1">
      <c r="A66" s="2"/>
      <c r="B66" s="211"/>
      <c r="C66" s="213"/>
      <c r="D66" s="37" t="s">
        <v>64</v>
      </c>
      <c r="E66" s="59">
        <f>IFERROR(aurora_data!D1286,0)</f>
        <v>0</v>
      </c>
      <c r="F66" s="65">
        <f>IFERROR(aurora_data!E1286,0)</f>
        <v>0</v>
      </c>
      <c r="G66" s="65">
        <f>IFERROR(aurora_data!F1286,0)</f>
        <v>0</v>
      </c>
      <c r="H66" s="65">
        <f>IFERROR(aurora_data!G1286,0)</f>
        <v>0</v>
      </c>
      <c r="I66" s="66">
        <f>IFERROR(aurora_data!H1286,0)</f>
        <v>0</v>
      </c>
      <c r="J66" s="59">
        <f>IFERROR(aurora_data!I1286,0)</f>
        <v>0</v>
      </c>
      <c r="K66" s="65">
        <f>IFERROR(aurora_data!J1286,0)</f>
        <v>0</v>
      </c>
      <c r="L66" s="65">
        <f>IFERROR(aurora_data!K1286,0)</f>
        <v>0</v>
      </c>
      <c r="M66" s="65">
        <f>IFERROR(aurora_data!L1286,0)</f>
        <v>0</v>
      </c>
      <c r="N66" s="66">
        <f>IFERROR(aurora_data!M1286,0)</f>
        <v>0</v>
      </c>
      <c r="O66" s="59">
        <f>IFERROR(aurora_data!N1286,0)</f>
        <v>0</v>
      </c>
      <c r="P66" s="65">
        <f>IFERROR(aurora_data!O1286,0)</f>
        <v>0</v>
      </c>
      <c r="Q66" s="65">
        <f>IFERROR(aurora_data!P1286,0)</f>
        <v>0</v>
      </c>
      <c r="R66" s="66">
        <f>IFERROR(aurora_data!Q1286,0)</f>
        <v>0</v>
      </c>
      <c r="S66" s="65">
        <f>IFERROR(aurora_data!R1286,0)</f>
        <v>0</v>
      </c>
      <c r="T66" s="65">
        <f>IFERROR(aurora_data!S1286,0)</f>
        <v>0</v>
      </c>
      <c r="U66" s="66">
        <f>IFERROR(aurora_data!T1286,0)</f>
        <v>0</v>
      </c>
      <c r="V66" s="67" t="s">
        <v>95</v>
      </c>
      <c r="W66" s="59">
        <f>IFERROR(aurora_data!U1286,0)</f>
        <v>0</v>
      </c>
      <c r="X66" s="72">
        <f t="shared" si="6"/>
        <v>0</v>
      </c>
      <c r="Y66" s="2"/>
    </row>
    <row r="67" spans="1:25" customFormat="1" ht="16.5" thickBot="1">
      <c r="A67" s="2"/>
      <c r="B67" s="211"/>
      <c r="C67" s="213"/>
      <c r="D67" s="38" t="s">
        <v>100</v>
      </c>
      <c r="E67" s="60">
        <f>IFERROR(aurora_data!D1287,0)</f>
        <v>0</v>
      </c>
      <c r="F67" s="68">
        <f>IFERROR(aurora_data!E1287,0)</f>
        <v>0</v>
      </c>
      <c r="G67" s="68">
        <f>IFERROR(aurora_data!F1287,0)</f>
        <v>0</v>
      </c>
      <c r="H67" s="68">
        <f>IFERROR(aurora_data!G1287,0)</f>
        <v>0</v>
      </c>
      <c r="I67" s="69">
        <f>IFERROR(aurora_data!H1287,0)</f>
        <v>0</v>
      </c>
      <c r="J67" s="60">
        <f>IFERROR(aurora_data!I1287,0)</f>
        <v>0</v>
      </c>
      <c r="K67" s="68">
        <f>IFERROR(aurora_data!J1287,0)</f>
        <v>0</v>
      </c>
      <c r="L67" s="68">
        <f>IFERROR(aurora_data!K1287,0)</f>
        <v>0</v>
      </c>
      <c r="M67" s="68">
        <f>IFERROR(aurora_data!L1287,0)</f>
        <v>0</v>
      </c>
      <c r="N67" s="69">
        <f>IFERROR(aurora_data!M1287,0)</f>
        <v>0</v>
      </c>
      <c r="O67" s="60">
        <f>IFERROR(aurora_data!N1287,0)</f>
        <v>0</v>
      </c>
      <c r="P67" s="68">
        <f>IFERROR(aurora_data!O1287,0)</f>
        <v>0</v>
      </c>
      <c r="Q67" s="68">
        <f>IFERROR(aurora_data!P1287,0)</f>
        <v>0</v>
      </c>
      <c r="R67" s="69">
        <f>IFERROR(aurora_data!Q1287,0)</f>
        <v>0</v>
      </c>
      <c r="S67" s="68">
        <f>IFERROR(aurora_data!R1287,0)</f>
        <v>0</v>
      </c>
      <c r="T67" s="68">
        <f>IFERROR(aurora_data!S1287,0)</f>
        <v>0</v>
      </c>
      <c r="U67" s="74">
        <f>IFERROR(aurora_data!T1287,0)</f>
        <v>0</v>
      </c>
      <c r="V67" s="75" t="s">
        <v>95</v>
      </c>
      <c r="W67" s="60">
        <f>IFERROR(aurora_data!U1287,0)</f>
        <v>0</v>
      </c>
      <c r="X67" s="73">
        <f t="shared" si="6"/>
        <v>0</v>
      </c>
      <c r="Y67" s="2"/>
    </row>
    <row r="68" spans="1:25" customFormat="1">
      <c r="A68" s="2"/>
      <c r="B68" s="210" t="s">
        <v>94</v>
      </c>
      <c r="C68" s="212" t="str">
        <f>aurora_data!A1288</f>
        <v>13.00.00-13.11.30</v>
      </c>
      <c r="D68" s="34" t="s">
        <v>71</v>
      </c>
      <c r="E68" s="39">
        <f>IFERROR(aurora_data!D1288,0)</f>
        <v>0</v>
      </c>
      <c r="F68" s="40">
        <f>IFERROR(aurora_data!E1288,0)</f>
        <v>0</v>
      </c>
      <c r="G68" s="40">
        <f>IFERROR(aurora_data!F1288,0)</f>
        <v>0</v>
      </c>
      <c r="H68" s="40">
        <f>IFERROR(aurora_data!G1288,0)</f>
        <v>0</v>
      </c>
      <c r="I68" s="41">
        <f>IFERROR(aurora_data!H1288,0)</f>
        <v>0</v>
      </c>
      <c r="J68" s="39">
        <f>IFERROR(aurora_data!I1288,0)</f>
        <v>0</v>
      </c>
      <c r="K68" s="40">
        <f>IFERROR(aurora_data!J1288,0)</f>
        <v>0</v>
      </c>
      <c r="L68" s="40">
        <f>IFERROR(aurora_data!K1288,0)</f>
        <v>0</v>
      </c>
      <c r="M68" s="40">
        <f>IFERROR(aurora_data!L1288,0)</f>
        <v>0</v>
      </c>
      <c r="N68" s="41">
        <f>IFERROR(aurora_data!M1288,0)</f>
        <v>0</v>
      </c>
      <c r="O68" s="39">
        <f>IFERROR(aurora_data!N1288,0)</f>
        <v>0</v>
      </c>
      <c r="P68" s="40">
        <f>IFERROR(aurora_data!O1288,0)</f>
        <v>0</v>
      </c>
      <c r="Q68" s="40">
        <f>IFERROR(aurora_data!P1288,0)</f>
        <v>0</v>
      </c>
      <c r="R68" s="41">
        <f>IFERROR(aurora_data!Q1288,0)</f>
        <v>0</v>
      </c>
      <c r="S68" s="40">
        <f>IFERROR(aurora_data!R1288,0)</f>
        <v>0</v>
      </c>
      <c r="T68" s="40">
        <f>IFERROR(aurora_data!S1288,0)</f>
        <v>0</v>
      </c>
      <c r="U68" s="76">
        <f>IFERROR(aurora_data!T1288,0)</f>
        <v>0</v>
      </c>
      <c r="V68" s="61" t="s">
        <v>95</v>
      </c>
      <c r="W68" s="39">
        <f>IFERROR(aurora_data!U1288,0)</f>
        <v>1</v>
      </c>
      <c r="X68" s="70">
        <f>IFERROR(W68/$W$12,0)</f>
        <v>1</v>
      </c>
      <c r="Y68" s="2"/>
    </row>
    <row r="69" spans="1:25" customFormat="1">
      <c r="A69" s="2"/>
      <c r="B69" s="211"/>
      <c r="C69" s="213"/>
      <c r="D69" s="35" t="s">
        <v>96</v>
      </c>
      <c r="E69" s="110">
        <f>IFERROR(aurora_data!D1289,0)</f>
        <v>0</v>
      </c>
      <c r="F69" s="62">
        <f>IFERROR(aurora_data!E1289,0)</f>
        <v>0</v>
      </c>
      <c r="G69" s="62">
        <f>IFERROR(aurora_data!F1289,0)</f>
        <v>0</v>
      </c>
      <c r="H69" s="62">
        <f>IFERROR(aurora_data!G1289,0)</f>
        <v>0</v>
      </c>
      <c r="I69" s="63">
        <f>IFERROR(aurora_data!H1289,0)</f>
        <v>0</v>
      </c>
      <c r="J69" s="36">
        <f>IFERROR(aurora_data!I1289,0)</f>
        <v>0</v>
      </c>
      <c r="K69" s="62">
        <f>IFERROR(aurora_data!J1289,0)</f>
        <v>0</v>
      </c>
      <c r="L69" s="62">
        <f>IFERROR(aurora_data!K1289,0)</f>
        <v>0</v>
      </c>
      <c r="M69" s="62">
        <f>IFERROR(aurora_data!L1289,0)</f>
        <v>0</v>
      </c>
      <c r="N69" s="63">
        <f>IFERROR(aurora_data!M1289,0)</f>
        <v>0</v>
      </c>
      <c r="O69" s="36">
        <f>IFERROR(aurora_data!N1289,0)</f>
        <v>0</v>
      </c>
      <c r="P69" s="62">
        <f>IFERROR(aurora_data!O1289,0)</f>
        <v>0</v>
      </c>
      <c r="Q69" s="62">
        <f>IFERROR(aurora_data!P1289,0)</f>
        <v>0</v>
      </c>
      <c r="R69" s="63">
        <f>IFERROR(aurora_data!Q1289,0)</f>
        <v>0</v>
      </c>
      <c r="S69" s="62">
        <f>IFERROR(aurora_data!R1289,0)</f>
        <v>0</v>
      </c>
      <c r="T69" s="62">
        <f>IFERROR(aurora_data!S1289,0)</f>
        <v>0</v>
      </c>
      <c r="U69" s="63">
        <f>IFERROR(aurora_data!T1289,0)</f>
        <v>0</v>
      </c>
      <c r="V69" s="64" t="s">
        <v>95</v>
      </c>
      <c r="W69" s="36">
        <f>IFERROR(aurora_data!U1289,0)</f>
        <v>0</v>
      </c>
      <c r="X69" s="71">
        <f t="shared" ref="X69:X75" si="7">IFERROR(W69/$W$12,0)</f>
        <v>0</v>
      </c>
      <c r="Y69" s="2"/>
    </row>
    <row r="70" spans="1:25" customFormat="1">
      <c r="A70" s="2"/>
      <c r="B70" s="211"/>
      <c r="C70" s="213"/>
      <c r="D70" s="35" t="s">
        <v>60</v>
      </c>
      <c r="E70" s="110">
        <f>IFERROR(aurora_data!D1290,0)</f>
        <v>0</v>
      </c>
      <c r="F70" s="62">
        <f>IFERROR(aurora_data!E1290,0)</f>
        <v>0</v>
      </c>
      <c r="G70" s="62">
        <f>IFERROR(aurora_data!F1290,0)</f>
        <v>0</v>
      </c>
      <c r="H70" s="62">
        <f>IFERROR(aurora_data!G1290,0)</f>
        <v>0</v>
      </c>
      <c r="I70" s="63">
        <f>IFERROR(aurora_data!H1290,0)</f>
        <v>0</v>
      </c>
      <c r="J70" s="36">
        <f>IFERROR(aurora_data!I1290,0)</f>
        <v>0</v>
      </c>
      <c r="K70" s="62">
        <f>IFERROR(aurora_data!J1290,0)</f>
        <v>0</v>
      </c>
      <c r="L70" s="62">
        <f>IFERROR(aurora_data!K1290,0)</f>
        <v>0</v>
      </c>
      <c r="M70" s="62">
        <f>IFERROR(aurora_data!L1290,0)</f>
        <v>0</v>
      </c>
      <c r="N70" s="63">
        <f>IFERROR(aurora_data!M1290,0)</f>
        <v>0</v>
      </c>
      <c r="O70" s="36">
        <f>IFERROR(aurora_data!N1290,0)</f>
        <v>0</v>
      </c>
      <c r="P70" s="62">
        <f>IFERROR(aurora_data!O1290,0)</f>
        <v>0</v>
      </c>
      <c r="Q70" s="62">
        <f>IFERROR(aurora_data!P1290,0)</f>
        <v>0</v>
      </c>
      <c r="R70" s="63">
        <f>IFERROR(aurora_data!Q1290,0)</f>
        <v>0</v>
      </c>
      <c r="S70" s="62">
        <f>IFERROR(aurora_data!R1290,0)</f>
        <v>0</v>
      </c>
      <c r="T70" s="62">
        <f>IFERROR(aurora_data!S1290,0)</f>
        <v>0</v>
      </c>
      <c r="U70" s="63">
        <f>IFERROR(aurora_data!T1290,0)</f>
        <v>0</v>
      </c>
      <c r="V70" s="64" t="s">
        <v>95</v>
      </c>
      <c r="W70" s="36">
        <f>IFERROR(aurora_data!U1290,0)</f>
        <v>0</v>
      </c>
      <c r="X70" s="71">
        <f t="shared" si="7"/>
        <v>0</v>
      </c>
      <c r="Y70" s="2"/>
    </row>
    <row r="71" spans="1:25" customFormat="1">
      <c r="A71" s="2"/>
      <c r="B71" s="211"/>
      <c r="C71" s="213"/>
      <c r="D71" s="35" t="s">
        <v>97</v>
      </c>
      <c r="E71" s="36">
        <f>IFERROR(aurora_data!D1291,0)</f>
        <v>0</v>
      </c>
      <c r="F71" s="62">
        <f>IFERROR(aurora_data!E1291,0)</f>
        <v>0</v>
      </c>
      <c r="G71" s="62">
        <f>IFERROR(aurora_data!F1291,0)</f>
        <v>0</v>
      </c>
      <c r="H71" s="62">
        <f>IFERROR(aurora_data!G1291,0)</f>
        <v>0</v>
      </c>
      <c r="I71" s="63">
        <f>IFERROR(aurora_data!H1291,0)</f>
        <v>0</v>
      </c>
      <c r="J71" s="36">
        <f>IFERROR(aurora_data!I1291,0)</f>
        <v>0</v>
      </c>
      <c r="K71" s="62">
        <f>IFERROR(aurora_data!J1291,0)</f>
        <v>0</v>
      </c>
      <c r="L71" s="62">
        <f>IFERROR(aurora_data!K1291,0)</f>
        <v>0</v>
      </c>
      <c r="M71" s="62">
        <f>IFERROR(aurora_data!L1291,0)</f>
        <v>0</v>
      </c>
      <c r="N71" s="63">
        <f>IFERROR(aurora_data!M1291,0)</f>
        <v>0</v>
      </c>
      <c r="O71" s="36">
        <f>IFERROR(aurora_data!N1291,0)</f>
        <v>0</v>
      </c>
      <c r="P71" s="62">
        <f>IFERROR(aurora_data!O1291,0)</f>
        <v>0</v>
      </c>
      <c r="Q71" s="62">
        <f>IFERROR(aurora_data!P1291,0)</f>
        <v>0</v>
      </c>
      <c r="R71" s="63">
        <f>IFERROR(aurora_data!Q1291,0)</f>
        <v>0</v>
      </c>
      <c r="S71" s="62">
        <f>IFERROR(aurora_data!R1291,0)</f>
        <v>0</v>
      </c>
      <c r="T71" s="62">
        <f>IFERROR(aurora_data!S1291,0)</f>
        <v>0</v>
      </c>
      <c r="U71" s="63">
        <f>IFERROR(aurora_data!T1291,0)</f>
        <v>0</v>
      </c>
      <c r="V71" s="64" t="s">
        <v>95</v>
      </c>
      <c r="W71" s="36">
        <f>IFERROR(aurora_data!U1291,0)</f>
        <v>0</v>
      </c>
      <c r="X71" s="71">
        <f t="shared" si="7"/>
        <v>0</v>
      </c>
      <c r="Y71" s="2"/>
    </row>
    <row r="72" spans="1:25" customFormat="1">
      <c r="A72" s="2"/>
      <c r="B72" s="211"/>
      <c r="C72" s="213"/>
      <c r="D72" s="35" t="s">
        <v>98</v>
      </c>
      <c r="E72" s="36">
        <f>IFERROR(aurora_data!D1292,0)</f>
        <v>0</v>
      </c>
      <c r="F72" s="62">
        <f>IFERROR(aurora_data!E1292,0)</f>
        <v>0</v>
      </c>
      <c r="G72" s="62">
        <f>IFERROR(aurora_data!F1292,0)</f>
        <v>0</v>
      </c>
      <c r="H72" s="62">
        <f>IFERROR(aurora_data!G1292,0)</f>
        <v>0</v>
      </c>
      <c r="I72" s="63">
        <f>IFERROR(aurora_data!H1292,0)</f>
        <v>0</v>
      </c>
      <c r="J72" s="36">
        <f>IFERROR(aurora_data!I1292,0)</f>
        <v>0</v>
      </c>
      <c r="K72" s="62">
        <f>IFERROR(aurora_data!J1292,0)</f>
        <v>0</v>
      </c>
      <c r="L72" s="62">
        <f>IFERROR(aurora_data!K1292,0)</f>
        <v>0</v>
      </c>
      <c r="M72" s="62">
        <f>IFERROR(aurora_data!L1292,0)</f>
        <v>0</v>
      </c>
      <c r="N72" s="63">
        <f>IFERROR(aurora_data!M1292,0)</f>
        <v>0</v>
      </c>
      <c r="O72" s="36">
        <f>IFERROR(aurora_data!N1292,0)</f>
        <v>0</v>
      </c>
      <c r="P72" s="62">
        <f>IFERROR(aurora_data!O1292,0)</f>
        <v>0</v>
      </c>
      <c r="Q72" s="62">
        <f>IFERROR(aurora_data!P1292,0)</f>
        <v>0</v>
      </c>
      <c r="R72" s="63">
        <f>IFERROR(aurora_data!Q1292,0)</f>
        <v>0</v>
      </c>
      <c r="S72" s="62">
        <f>IFERROR(aurora_data!R1292,0)</f>
        <v>0</v>
      </c>
      <c r="T72" s="62">
        <f>IFERROR(aurora_data!S1292,0)</f>
        <v>0</v>
      </c>
      <c r="U72" s="63">
        <f>IFERROR(aurora_data!T1292,0)</f>
        <v>0</v>
      </c>
      <c r="V72" s="64" t="s">
        <v>95</v>
      </c>
      <c r="W72" s="36">
        <f>IFERROR(aurora_data!U1292,0)</f>
        <v>0</v>
      </c>
      <c r="X72" s="71">
        <f t="shared" si="7"/>
        <v>0</v>
      </c>
      <c r="Y72" s="2"/>
    </row>
    <row r="73" spans="1:25" customFormat="1" ht="16.5" thickBot="1">
      <c r="A73" s="2"/>
      <c r="B73" s="211"/>
      <c r="C73" s="213"/>
      <c r="D73" s="35" t="s">
        <v>99</v>
      </c>
      <c r="E73" s="36">
        <f>IFERROR(aurora_data!D1293,0)</f>
        <v>0</v>
      </c>
      <c r="F73" s="62">
        <f>IFERROR(aurora_data!E1293,0)</f>
        <v>0</v>
      </c>
      <c r="G73" s="62">
        <f>IFERROR(aurora_data!F1293,0)</f>
        <v>0</v>
      </c>
      <c r="H73" s="62">
        <f>IFERROR(aurora_data!G1293,0)</f>
        <v>0</v>
      </c>
      <c r="I73" s="63">
        <f>IFERROR(aurora_data!H1293,0)</f>
        <v>0</v>
      </c>
      <c r="J73" s="36">
        <f>IFERROR(aurora_data!I1293,0)</f>
        <v>0</v>
      </c>
      <c r="K73" s="62">
        <f>IFERROR(aurora_data!J1293,0)</f>
        <v>0</v>
      </c>
      <c r="L73" s="62">
        <f>IFERROR(aurora_data!K1293,0)</f>
        <v>0</v>
      </c>
      <c r="M73" s="62">
        <f>IFERROR(aurora_data!L1293,0)</f>
        <v>0</v>
      </c>
      <c r="N73" s="63">
        <f>IFERROR(aurora_data!M1293,0)</f>
        <v>0</v>
      </c>
      <c r="O73" s="36">
        <f>IFERROR(aurora_data!N1293,0)</f>
        <v>0</v>
      </c>
      <c r="P73" s="62">
        <f>IFERROR(aurora_data!O1293,0)</f>
        <v>0</v>
      </c>
      <c r="Q73" s="62">
        <f>IFERROR(aurora_data!P1293,0)</f>
        <v>0</v>
      </c>
      <c r="R73" s="63">
        <f>IFERROR(aurora_data!Q1293,0)</f>
        <v>0</v>
      </c>
      <c r="S73" s="62">
        <f>IFERROR(aurora_data!R1293,0)</f>
        <v>0</v>
      </c>
      <c r="T73" s="62">
        <f>IFERROR(aurora_data!S1293,0)</f>
        <v>0</v>
      </c>
      <c r="U73" s="63">
        <f>IFERROR(aurora_data!T1293,0)</f>
        <v>0</v>
      </c>
      <c r="V73" s="64" t="s">
        <v>95</v>
      </c>
      <c r="W73" s="36">
        <f>IFERROR(aurora_data!U1293,0)</f>
        <v>0</v>
      </c>
      <c r="X73" s="71">
        <f t="shared" si="7"/>
        <v>0</v>
      </c>
      <c r="Y73" s="2"/>
    </row>
    <row r="74" spans="1:25" customFormat="1" ht="16.5" thickBot="1">
      <c r="A74" s="2"/>
      <c r="B74" s="211"/>
      <c r="C74" s="213"/>
      <c r="D74" s="37" t="s">
        <v>64</v>
      </c>
      <c r="E74" s="59">
        <f>IFERROR(aurora_data!D1294,0)</f>
        <v>0</v>
      </c>
      <c r="F74" s="65">
        <f>IFERROR(aurora_data!E1294,0)</f>
        <v>0</v>
      </c>
      <c r="G74" s="65">
        <f>IFERROR(aurora_data!F1294,0)</f>
        <v>0</v>
      </c>
      <c r="H74" s="65">
        <f>IFERROR(aurora_data!G1294,0)</f>
        <v>0</v>
      </c>
      <c r="I74" s="66">
        <f>IFERROR(aurora_data!H1294,0)</f>
        <v>0</v>
      </c>
      <c r="J74" s="59">
        <f>IFERROR(aurora_data!I1294,0)</f>
        <v>0</v>
      </c>
      <c r="K74" s="65">
        <f>IFERROR(aurora_data!J1294,0)</f>
        <v>0</v>
      </c>
      <c r="L74" s="65">
        <f>IFERROR(aurora_data!K1294,0)</f>
        <v>0</v>
      </c>
      <c r="M74" s="65">
        <f>IFERROR(aurora_data!L1294,0)</f>
        <v>0</v>
      </c>
      <c r="N74" s="66">
        <f>IFERROR(aurora_data!M1294,0)</f>
        <v>0</v>
      </c>
      <c r="O74" s="59">
        <f>IFERROR(aurora_data!N1294,0)</f>
        <v>0</v>
      </c>
      <c r="P74" s="65">
        <f>IFERROR(aurora_data!O1294,0)</f>
        <v>0</v>
      </c>
      <c r="Q74" s="65">
        <f>IFERROR(aurora_data!P1294,0)</f>
        <v>0</v>
      </c>
      <c r="R74" s="66">
        <f>IFERROR(aurora_data!Q1294,0)</f>
        <v>0</v>
      </c>
      <c r="S74" s="65">
        <f>IFERROR(aurora_data!R1294,0)</f>
        <v>0</v>
      </c>
      <c r="T74" s="65">
        <f>IFERROR(aurora_data!S1294,0)</f>
        <v>0</v>
      </c>
      <c r="U74" s="66">
        <f>IFERROR(aurora_data!T1294,0)</f>
        <v>0</v>
      </c>
      <c r="V74" s="67" t="s">
        <v>95</v>
      </c>
      <c r="W74" s="59">
        <f>IFERROR(aurora_data!U1294,0)</f>
        <v>0</v>
      </c>
      <c r="X74" s="72">
        <f t="shared" si="7"/>
        <v>0</v>
      </c>
      <c r="Y74" s="2"/>
    </row>
    <row r="75" spans="1:25" customFormat="1" ht="16.5" thickBot="1">
      <c r="A75" s="2"/>
      <c r="B75" s="211"/>
      <c r="C75" s="213"/>
      <c r="D75" s="38" t="s">
        <v>100</v>
      </c>
      <c r="E75" s="60">
        <f>IFERROR(aurora_data!D1295,0)</f>
        <v>0</v>
      </c>
      <c r="F75" s="68">
        <f>IFERROR(aurora_data!E1295,0)</f>
        <v>0</v>
      </c>
      <c r="G75" s="68">
        <f>IFERROR(aurora_data!F1295,0)</f>
        <v>0</v>
      </c>
      <c r="H75" s="68">
        <f>IFERROR(aurora_data!G1295,0)</f>
        <v>0</v>
      </c>
      <c r="I75" s="69">
        <f>IFERROR(aurora_data!H1295,0)</f>
        <v>0</v>
      </c>
      <c r="J75" s="60">
        <f>IFERROR(aurora_data!I1295,0)</f>
        <v>0</v>
      </c>
      <c r="K75" s="68">
        <f>IFERROR(aurora_data!J1295,0)</f>
        <v>0</v>
      </c>
      <c r="L75" s="68">
        <f>IFERROR(aurora_data!K1295,0)</f>
        <v>0</v>
      </c>
      <c r="M75" s="68">
        <f>IFERROR(aurora_data!L1295,0)</f>
        <v>0</v>
      </c>
      <c r="N75" s="69">
        <f>IFERROR(aurora_data!M1295,0)</f>
        <v>0</v>
      </c>
      <c r="O75" s="60">
        <f>IFERROR(aurora_data!N1295,0)</f>
        <v>0</v>
      </c>
      <c r="P75" s="68">
        <f>IFERROR(aurora_data!O1295,0)</f>
        <v>0</v>
      </c>
      <c r="Q75" s="68">
        <f>IFERROR(aurora_data!P1295,0)</f>
        <v>0</v>
      </c>
      <c r="R75" s="69">
        <f>IFERROR(aurora_data!Q1295,0)</f>
        <v>0</v>
      </c>
      <c r="S75" s="68">
        <f>IFERROR(aurora_data!R1295,0)</f>
        <v>0</v>
      </c>
      <c r="T75" s="68">
        <f>IFERROR(aurora_data!S1295,0)</f>
        <v>0</v>
      </c>
      <c r="U75" s="74">
        <f>IFERROR(aurora_data!T1295,0)</f>
        <v>0</v>
      </c>
      <c r="V75" s="75" t="s">
        <v>95</v>
      </c>
      <c r="W75" s="60">
        <f>IFERROR(aurora_data!U1295,0)</f>
        <v>0</v>
      </c>
      <c r="X75" s="73">
        <f t="shared" si="7"/>
        <v>0</v>
      </c>
      <c r="Y75" s="2"/>
    </row>
    <row r="76" spans="1:25" customFormat="1">
      <c r="A76" s="2"/>
      <c r="B76" s="210" t="s">
        <v>94</v>
      </c>
      <c r="C76" s="212" t="str">
        <f>aurora_data!A1296</f>
        <v>14.00.00-14.11.30</v>
      </c>
      <c r="D76" s="34" t="s">
        <v>71</v>
      </c>
      <c r="E76" s="39">
        <f>IFERROR(aurora_data!D1296,0)</f>
        <v>0</v>
      </c>
      <c r="F76" s="40">
        <f>IFERROR(aurora_data!E1296,0)</f>
        <v>0</v>
      </c>
      <c r="G76" s="40">
        <f>IFERROR(aurora_data!F1296,0)</f>
        <v>0</v>
      </c>
      <c r="H76" s="40">
        <f>IFERROR(aurora_data!G1296,0)</f>
        <v>0</v>
      </c>
      <c r="I76" s="41">
        <f>IFERROR(aurora_data!H1296,0)</f>
        <v>0</v>
      </c>
      <c r="J76" s="39">
        <f>IFERROR(aurora_data!I1296,0)</f>
        <v>0</v>
      </c>
      <c r="K76" s="40">
        <f>IFERROR(aurora_data!J1296,0)</f>
        <v>0</v>
      </c>
      <c r="L76" s="40">
        <f>IFERROR(aurora_data!K1296,0)</f>
        <v>0</v>
      </c>
      <c r="M76" s="40">
        <f>IFERROR(aurora_data!L1296,0)</f>
        <v>0</v>
      </c>
      <c r="N76" s="41">
        <f>IFERROR(aurora_data!M1296,0)</f>
        <v>0</v>
      </c>
      <c r="O76" s="39">
        <f>IFERROR(aurora_data!N1296,0)</f>
        <v>0</v>
      </c>
      <c r="P76" s="40">
        <f>IFERROR(aurora_data!O1296,0)</f>
        <v>0</v>
      </c>
      <c r="Q76" s="40">
        <f>IFERROR(aurora_data!P1296,0)</f>
        <v>0</v>
      </c>
      <c r="R76" s="41">
        <f>IFERROR(aurora_data!Q1296,0)</f>
        <v>0</v>
      </c>
      <c r="S76" s="40">
        <f>IFERROR(aurora_data!R1296,0)</f>
        <v>0</v>
      </c>
      <c r="T76" s="40">
        <f>IFERROR(aurora_data!S1296,0)</f>
        <v>0</v>
      </c>
      <c r="U76" s="76">
        <f>IFERROR(aurora_data!T1296,0)</f>
        <v>0</v>
      </c>
      <c r="V76" s="61" t="s">
        <v>95</v>
      </c>
      <c r="W76" s="39">
        <f>IFERROR(aurora_data!U1296,0)</f>
        <v>1</v>
      </c>
      <c r="X76" s="70">
        <f>IFERROR(W76/$W$12,0)</f>
        <v>1</v>
      </c>
      <c r="Y76" s="2"/>
    </row>
    <row r="77" spans="1:25" customFormat="1">
      <c r="A77" s="2"/>
      <c r="B77" s="211"/>
      <c r="C77" s="213"/>
      <c r="D77" s="35" t="s">
        <v>96</v>
      </c>
      <c r="E77" s="110">
        <f>IFERROR(aurora_data!D1297,0)</f>
        <v>0</v>
      </c>
      <c r="F77" s="62">
        <f>IFERROR(aurora_data!E1297,0)</f>
        <v>0</v>
      </c>
      <c r="G77" s="62">
        <f>IFERROR(aurora_data!F1297,0)</f>
        <v>0</v>
      </c>
      <c r="H77" s="62">
        <f>IFERROR(aurora_data!G1297,0)</f>
        <v>0</v>
      </c>
      <c r="I77" s="63">
        <f>IFERROR(aurora_data!H1297,0)</f>
        <v>0</v>
      </c>
      <c r="J77" s="36">
        <f>IFERROR(aurora_data!I1297,0)</f>
        <v>0</v>
      </c>
      <c r="K77" s="62">
        <f>IFERROR(aurora_data!J1297,0)</f>
        <v>0</v>
      </c>
      <c r="L77" s="62">
        <f>IFERROR(aurora_data!K1297,0)</f>
        <v>0</v>
      </c>
      <c r="M77" s="62">
        <f>IFERROR(aurora_data!L1297,0)</f>
        <v>0</v>
      </c>
      <c r="N77" s="63">
        <f>IFERROR(aurora_data!M1297,0)</f>
        <v>0</v>
      </c>
      <c r="O77" s="36">
        <f>IFERROR(aurora_data!N1297,0)</f>
        <v>0</v>
      </c>
      <c r="P77" s="62">
        <f>IFERROR(aurora_data!O1297,0)</f>
        <v>0</v>
      </c>
      <c r="Q77" s="62">
        <f>IFERROR(aurora_data!P1297,0)</f>
        <v>0</v>
      </c>
      <c r="R77" s="63">
        <f>IFERROR(aurora_data!Q1297,0)</f>
        <v>0</v>
      </c>
      <c r="S77" s="62">
        <f>IFERROR(aurora_data!R1297,0)</f>
        <v>0</v>
      </c>
      <c r="T77" s="62">
        <f>IFERROR(aurora_data!S1297,0)</f>
        <v>0</v>
      </c>
      <c r="U77" s="63">
        <f>IFERROR(aurora_data!T1297,0)</f>
        <v>0</v>
      </c>
      <c r="V77" s="64" t="s">
        <v>95</v>
      </c>
      <c r="W77" s="36">
        <f>IFERROR(aurora_data!U1297,0)</f>
        <v>0</v>
      </c>
      <c r="X77" s="71">
        <f t="shared" ref="X77:X83" si="8">IFERROR(W77/$W$12,0)</f>
        <v>0</v>
      </c>
      <c r="Y77" s="2"/>
    </row>
    <row r="78" spans="1:25" customFormat="1">
      <c r="A78" s="2"/>
      <c r="B78" s="211"/>
      <c r="C78" s="213"/>
      <c r="D78" s="35" t="s">
        <v>60</v>
      </c>
      <c r="E78" s="110">
        <f>IFERROR(aurora_data!D1298,0)</f>
        <v>0</v>
      </c>
      <c r="F78" s="62">
        <f>IFERROR(aurora_data!E1298,0)</f>
        <v>0</v>
      </c>
      <c r="G78" s="62">
        <f>IFERROR(aurora_data!F1298,0)</f>
        <v>0</v>
      </c>
      <c r="H78" s="62">
        <f>IFERROR(aurora_data!G1298,0)</f>
        <v>0</v>
      </c>
      <c r="I78" s="63">
        <f>IFERROR(aurora_data!H1298,0)</f>
        <v>0</v>
      </c>
      <c r="J78" s="36">
        <f>IFERROR(aurora_data!I1298,0)</f>
        <v>0</v>
      </c>
      <c r="K78" s="62">
        <f>IFERROR(aurora_data!J1298,0)</f>
        <v>0</v>
      </c>
      <c r="L78" s="62">
        <f>IFERROR(aurora_data!K1298,0)</f>
        <v>0</v>
      </c>
      <c r="M78" s="62">
        <f>IFERROR(aurora_data!L1298,0)</f>
        <v>0</v>
      </c>
      <c r="N78" s="63">
        <f>IFERROR(aurora_data!M1298,0)</f>
        <v>0</v>
      </c>
      <c r="O78" s="36">
        <f>IFERROR(aurora_data!N1298,0)</f>
        <v>0</v>
      </c>
      <c r="P78" s="62">
        <f>IFERROR(aurora_data!O1298,0)</f>
        <v>0</v>
      </c>
      <c r="Q78" s="62">
        <f>IFERROR(aurora_data!P1298,0)</f>
        <v>0</v>
      </c>
      <c r="R78" s="63">
        <f>IFERROR(aurora_data!Q1298,0)</f>
        <v>0</v>
      </c>
      <c r="S78" s="62">
        <f>IFERROR(aurora_data!R1298,0)</f>
        <v>0</v>
      </c>
      <c r="T78" s="62">
        <f>IFERROR(aurora_data!S1298,0)</f>
        <v>0</v>
      </c>
      <c r="U78" s="63">
        <f>IFERROR(aurora_data!T1298,0)</f>
        <v>0</v>
      </c>
      <c r="V78" s="64" t="s">
        <v>95</v>
      </c>
      <c r="W78" s="36">
        <f>IFERROR(aurora_data!U1298,0)</f>
        <v>0</v>
      </c>
      <c r="X78" s="71">
        <f t="shared" si="8"/>
        <v>0</v>
      </c>
      <c r="Y78" s="2"/>
    </row>
    <row r="79" spans="1:25" customFormat="1">
      <c r="A79" s="2"/>
      <c r="B79" s="211"/>
      <c r="C79" s="213"/>
      <c r="D79" s="35" t="s">
        <v>97</v>
      </c>
      <c r="E79" s="36">
        <f>IFERROR(aurora_data!D1299,0)</f>
        <v>0</v>
      </c>
      <c r="F79" s="62">
        <f>IFERROR(aurora_data!E1299,0)</f>
        <v>0</v>
      </c>
      <c r="G79" s="62">
        <f>IFERROR(aurora_data!F1299,0)</f>
        <v>0</v>
      </c>
      <c r="H79" s="62">
        <f>IFERROR(aurora_data!G1299,0)</f>
        <v>0</v>
      </c>
      <c r="I79" s="63">
        <f>IFERROR(aurora_data!H1299,0)</f>
        <v>0</v>
      </c>
      <c r="J79" s="36">
        <f>IFERROR(aurora_data!I1299,0)</f>
        <v>0</v>
      </c>
      <c r="K79" s="62">
        <f>IFERROR(aurora_data!J1299,0)</f>
        <v>0</v>
      </c>
      <c r="L79" s="62">
        <f>IFERROR(aurora_data!K1299,0)</f>
        <v>0</v>
      </c>
      <c r="M79" s="62">
        <f>IFERROR(aurora_data!L1299,0)</f>
        <v>0</v>
      </c>
      <c r="N79" s="63">
        <f>IFERROR(aurora_data!M1299,0)</f>
        <v>0</v>
      </c>
      <c r="O79" s="36">
        <f>IFERROR(aurora_data!N1299,0)</f>
        <v>0</v>
      </c>
      <c r="P79" s="62">
        <f>IFERROR(aurora_data!O1299,0)</f>
        <v>0</v>
      </c>
      <c r="Q79" s="62">
        <f>IFERROR(aurora_data!P1299,0)</f>
        <v>0</v>
      </c>
      <c r="R79" s="63">
        <f>IFERROR(aurora_data!Q1299,0)</f>
        <v>0</v>
      </c>
      <c r="S79" s="62">
        <f>IFERROR(aurora_data!R1299,0)</f>
        <v>0</v>
      </c>
      <c r="T79" s="62">
        <f>IFERROR(aurora_data!S1299,0)</f>
        <v>0</v>
      </c>
      <c r="U79" s="63">
        <f>IFERROR(aurora_data!T1299,0)</f>
        <v>0</v>
      </c>
      <c r="V79" s="64" t="s">
        <v>95</v>
      </c>
      <c r="W79" s="36">
        <f>IFERROR(aurora_data!U1299,0)</f>
        <v>0</v>
      </c>
      <c r="X79" s="71">
        <f t="shared" si="8"/>
        <v>0</v>
      </c>
      <c r="Y79" s="2"/>
    </row>
    <row r="80" spans="1:25" customFormat="1">
      <c r="A80" s="2"/>
      <c r="B80" s="211"/>
      <c r="C80" s="213"/>
      <c r="D80" s="35" t="s">
        <v>98</v>
      </c>
      <c r="E80" s="36">
        <f>IFERROR(aurora_data!D1300,0)</f>
        <v>0</v>
      </c>
      <c r="F80" s="62">
        <f>IFERROR(aurora_data!E1300,0)</f>
        <v>0</v>
      </c>
      <c r="G80" s="62">
        <f>IFERROR(aurora_data!F1300,0)</f>
        <v>0</v>
      </c>
      <c r="H80" s="62">
        <f>IFERROR(aurora_data!G1300,0)</f>
        <v>0</v>
      </c>
      <c r="I80" s="63">
        <f>IFERROR(aurora_data!H1300,0)</f>
        <v>0</v>
      </c>
      <c r="J80" s="36">
        <f>IFERROR(aurora_data!I1300,0)</f>
        <v>0</v>
      </c>
      <c r="K80" s="62">
        <f>IFERROR(aurora_data!J1300,0)</f>
        <v>0</v>
      </c>
      <c r="L80" s="62">
        <f>IFERROR(aurora_data!K1300,0)</f>
        <v>0</v>
      </c>
      <c r="M80" s="62">
        <f>IFERROR(aurora_data!L1300,0)</f>
        <v>0</v>
      </c>
      <c r="N80" s="63">
        <f>IFERROR(aurora_data!M1300,0)</f>
        <v>0</v>
      </c>
      <c r="O80" s="36">
        <f>IFERROR(aurora_data!N1300,0)</f>
        <v>0</v>
      </c>
      <c r="P80" s="62">
        <f>IFERROR(aurora_data!O1300,0)</f>
        <v>0</v>
      </c>
      <c r="Q80" s="62">
        <f>IFERROR(aurora_data!P1300,0)</f>
        <v>0</v>
      </c>
      <c r="R80" s="63">
        <f>IFERROR(aurora_data!Q1300,0)</f>
        <v>0</v>
      </c>
      <c r="S80" s="62">
        <f>IFERROR(aurora_data!R1300,0)</f>
        <v>0</v>
      </c>
      <c r="T80" s="62">
        <f>IFERROR(aurora_data!S1300,0)</f>
        <v>0</v>
      </c>
      <c r="U80" s="63">
        <f>IFERROR(aurora_data!T1300,0)</f>
        <v>0</v>
      </c>
      <c r="V80" s="64" t="s">
        <v>95</v>
      </c>
      <c r="W80" s="36">
        <f>IFERROR(aurora_data!U1300,0)</f>
        <v>0</v>
      </c>
      <c r="X80" s="71">
        <f t="shared" si="8"/>
        <v>0</v>
      </c>
      <c r="Y80" s="2"/>
    </row>
    <row r="81" spans="1:25" customFormat="1" ht="16.5" thickBot="1">
      <c r="A81" s="2"/>
      <c r="B81" s="211"/>
      <c r="C81" s="213"/>
      <c r="D81" s="35" t="s">
        <v>99</v>
      </c>
      <c r="E81" s="36">
        <f>IFERROR(aurora_data!D1301,0)</f>
        <v>0</v>
      </c>
      <c r="F81" s="62">
        <f>IFERROR(aurora_data!E1301,0)</f>
        <v>0</v>
      </c>
      <c r="G81" s="62">
        <f>IFERROR(aurora_data!F1301,0)</f>
        <v>0</v>
      </c>
      <c r="H81" s="62">
        <f>IFERROR(aurora_data!G1301,0)</f>
        <v>0</v>
      </c>
      <c r="I81" s="63">
        <f>IFERROR(aurora_data!H1301,0)</f>
        <v>0</v>
      </c>
      <c r="J81" s="36">
        <f>IFERROR(aurora_data!I1301,0)</f>
        <v>0</v>
      </c>
      <c r="K81" s="62">
        <f>IFERROR(aurora_data!J1301,0)</f>
        <v>0</v>
      </c>
      <c r="L81" s="62">
        <f>IFERROR(aurora_data!K1301,0)</f>
        <v>0</v>
      </c>
      <c r="M81" s="62">
        <f>IFERROR(aurora_data!L1301,0)</f>
        <v>0</v>
      </c>
      <c r="N81" s="63">
        <f>IFERROR(aurora_data!M1301,0)</f>
        <v>0</v>
      </c>
      <c r="O81" s="36">
        <f>IFERROR(aurora_data!N1301,0)</f>
        <v>0</v>
      </c>
      <c r="P81" s="62">
        <f>IFERROR(aurora_data!O1301,0)</f>
        <v>0</v>
      </c>
      <c r="Q81" s="62">
        <f>IFERROR(aurora_data!P1301,0)</f>
        <v>0</v>
      </c>
      <c r="R81" s="63">
        <f>IFERROR(aurora_data!Q1301,0)</f>
        <v>0</v>
      </c>
      <c r="S81" s="62">
        <f>IFERROR(aurora_data!R1301,0)</f>
        <v>0</v>
      </c>
      <c r="T81" s="62">
        <f>IFERROR(aurora_data!S1301,0)</f>
        <v>0</v>
      </c>
      <c r="U81" s="63">
        <f>IFERROR(aurora_data!T1301,0)</f>
        <v>0</v>
      </c>
      <c r="V81" s="64" t="s">
        <v>95</v>
      </c>
      <c r="W81" s="36">
        <f>IFERROR(aurora_data!U1301,0)</f>
        <v>0</v>
      </c>
      <c r="X81" s="71">
        <f t="shared" si="8"/>
        <v>0</v>
      </c>
      <c r="Y81" s="2"/>
    </row>
    <row r="82" spans="1:25" customFormat="1" ht="16.5" thickBot="1">
      <c r="A82" s="2"/>
      <c r="B82" s="211"/>
      <c r="C82" s="213"/>
      <c r="D82" s="37" t="s">
        <v>64</v>
      </c>
      <c r="E82" s="59">
        <f>IFERROR(aurora_data!D1302,0)</f>
        <v>0</v>
      </c>
      <c r="F82" s="65">
        <f>IFERROR(aurora_data!E1302,0)</f>
        <v>0</v>
      </c>
      <c r="G82" s="65">
        <f>IFERROR(aurora_data!F1302,0)</f>
        <v>0</v>
      </c>
      <c r="H82" s="65">
        <f>IFERROR(aurora_data!G1302,0)</f>
        <v>0</v>
      </c>
      <c r="I82" s="66">
        <f>IFERROR(aurora_data!H1302,0)</f>
        <v>0</v>
      </c>
      <c r="J82" s="59">
        <f>IFERROR(aurora_data!I1302,0)</f>
        <v>0</v>
      </c>
      <c r="K82" s="65">
        <f>IFERROR(aurora_data!J1302,0)</f>
        <v>0</v>
      </c>
      <c r="L82" s="65">
        <f>IFERROR(aurora_data!K1302,0)</f>
        <v>0</v>
      </c>
      <c r="M82" s="65">
        <f>IFERROR(aurora_data!L1302,0)</f>
        <v>0</v>
      </c>
      <c r="N82" s="66">
        <f>IFERROR(aurora_data!M1302,0)</f>
        <v>0</v>
      </c>
      <c r="O82" s="59">
        <f>IFERROR(aurora_data!N1302,0)</f>
        <v>0</v>
      </c>
      <c r="P82" s="65">
        <f>IFERROR(aurora_data!O1302,0)</f>
        <v>0</v>
      </c>
      <c r="Q82" s="65">
        <f>IFERROR(aurora_data!P1302,0)</f>
        <v>0</v>
      </c>
      <c r="R82" s="66">
        <f>IFERROR(aurora_data!Q1302,0)</f>
        <v>0</v>
      </c>
      <c r="S82" s="65">
        <f>IFERROR(aurora_data!R1302,0)</f>
        <v>0</v>
      </c>
      <c r="T82" s="65">
        <f>IFERROR(aurora_data!S1302,0)</f>
        <v>0</v>
      </c>
      <c r="U82" s="66">
        <f>IFERROR(aurora_data!T1302,0)</f>
        <v>0</v>
      </c>
      <c r="V82" s="67" t="s">
        <v>95</v>
      </c>
      <c r="W82" s="59">
        <f>IFERROR(aurora_data!U1302,0)</f>
        <v>0</v>
      </c>
      <c r="X82" s="72">
        <f t="shared" si="8"/>
        <v>0</v>
      </c>
      <c r="Y82" s="2"/>
    </row>
    <row r="83" spans="1:25" customFormat="1" ht="16.5" thickBot="1">
      <c r="A83" s="2"/>
      <c r="B83" s="211"/>
      <c r="C83" s="213"/>
      <c r="D83" s="38" t="s">
        <v>100</v>
      </c>
      <c r="E83" s="60">
        <f>IFERROR(aurora_data!D1303,0)</f>
        <v>0</v>
      </c>
      <c r="F83" s="68">
        <f>IFERROR(aurora_data!E1303,0)</f>
        <v>0</v>
      </c>
      <c r="G83" s="68">
        <f>IFERROR(aurora_data!F1303,0)</f>
        <v>0</v>
      </c>
      <c r="H83" s="68">
        <f>IFERROR(aurora_data!G1303,0)</f>
        <v>0</v>
      </c>
      <c r="I83" s="69">
        <f>IFERROR(aurora_data!H1303,0)</f>
        <v>0</v>
      </c>
      <c r="J83" s="60">
        <f>IFERROR(aurora_data!I1303,0)</f>
        <v>0</v>
      </c>
      <c r="K83" s="68">
        <f>IFERROR(aurora_data!J1303,0)</f>
        <v>0</v>
      </c>
      <c r="L83" s="68">
        <f>IFERROR(aurora_data!K1303,0)</f>
        <v>0</v>
      </c>
      <c r="M83" s="68">
        <f>IFERROR(aurora_data!L1303,0)</f>
        <v>0</v>
      </c>
      <c r="N83" s="69">
        <f>IFERROR(aurora_data!M1303,0)</f>
        <v>0</v>
      </c>
      <c r="O83" s="60">
        <f>IFERROR(aurora_data!N1303,0)</f>
        <v>0</v>
      </c>
      <c r="P83" s="68">
        <f>IFERROR(aurora_data!O1303,0)</f>
        <v>0</v>
      </c>
      <c r="Q83" s="68">
        <f>IFERROR(aurora_data!P1303,0)</f>
        <v>0</v>
      </c>
      <c r="R83" s="69">
        <f>IFERROR(aurora_data!Q1303,0)</f>
        <v>0</v>
      </c>
      <c r="S83" s="68">
        <f>IFERROR(aurora_data!R1303,0)</f>
        <v>0</v>
      </c>
      <c r="T83" s="68">
        <f>IFERROR(aurora_data!S1303,0)</f>
        <v>0</v>
      </c>
      <c r="U83" s="74">
        <f>IFERROR(aurora_data!T1303,0)</f>
        <v>0</v>
      </c>
      <c r="V83" s="75" t="s">
        <v>95</v>
      </c>
      <c r="W83" s="60">
        <f>IFERROR(aurora_data!U1303,0)</f>
        <v>0</v>
      </c>
      <c r="X83" s="73">
        <f t="shared" si="8"/>
        <v>0</v>
      </c>
      <c r="Y83" s="2"/>
    </row>
    <row r="84" spans="1:25" customFormat="1">
      <c r="A84" s="2"/>
      <c r="B84" s="210" t="s">
        <v>94</v>
      </c>
      <c r="C84" s="212" t="str">
        <f>aurora_data!A1304</f>
        <v>15.00.00-15.11.30</v>
      </c>
      <c r="D84" s="34" t="s">
        <v>71</v>
      </c>
      <c r="E84" s="39">
        <f>IFERROR(aurora_data!D1304,0)</f>
        <v>0</v>
      </c>
      <c r="F84" s="40">
        <f>IFERROR(aurora_data!E1304,0)</f>
        <v>0</v>
      </c>
      <c r="G84" s="40">
        <f>IFERROR(aurora_data!F1304,0)</f>
        <v>0</v>
      </c>
      <c r="H84" s="40">
        <f>IFERROR(aurora_data!G1304,0)</f>
        <v>0</v>
      </c>
      <c r="I84" s="41">
        <f>IFERROR(aurora_data!H1304,0)</f>
        <v>0</v>
      </c>
      <c r="J84" s="39">
        <f>IFERROR(aurora_data!I1304,0)</f>
        <v>0</v>
      </c>
      <c r="K84" s="40">
        <f>IFERROR(aurora_data!J1304,0)</f>
        <v>0</v>
      </c>
      <c r="L84" s="40">
        <f>IFERROR(aurora_data!K1304,0)</f>
        <v>0</v>
      </c>
      <c r="M84" s="40">
        <f>IFERROR(aurora_data!L1304,0)</f>
        <v>0</v>
      </c>
      <c r="N84" s="41">
        <f>IFERROR(aurora_data!M1304,0)</f>
        <v>0</v>
      </c>
      <c r="O84" s="39">
        <f>IFERROR(aurora_data!N1304,0)</f>
        <v>0</v>
      </c>
      <c r="P84" s="40">
        <f>IFERROR(aurora_data!O1304,0)</f>
        <v>0</v>
      </c>
      <c r="Q84" s="40">
        <f>IFERROR(aurora_data!P1304,0)</f>
        <v>0</v>
      </c>
      <c r="R84" s="41">
        <f>IFERROR(aurora_data!Q1304,0)</f>
        <v>0</v>
      </c>
      <c r="S84" s="40">
        <f>IFERROR(aurora_data!R1304,0)</f>
        <v>0</v>
      </c>
      <c r="T84" s="40">
        <f>IFERROR(aurora_data!S1304,0)</f>
        <v>0</v>
      </c>
      <c r="U84" s="76">
        <f>IFERROR(aurora_data!T1304,0)</f>
        <v>0</v>
      </c>
      <c r="V84" s="61" t="s">
        <v>95</v>
      </c>
      <c r="W84" s="39">
        <f>IFERROR(aurora_data!U1304,0)</f>
        <v>1</v>
      </c>
      <c r="X84" s="70">
        <f>IFERROR(W84/$W$12,0)</f>
        <v>1</v>
      </c>
      <c r="Y84" s="2"/>
    </row>
    <row r="85" spans="1:25" customFormat="1">
      <c r="A85" s="2"/>
      <c r="B85" s="211"/>
      <c r="C85" s="213"/>
      <c r="D85" s="35" t="s">
        <v>96</v>
      </c>
      <c r="E85" s="110">
        <f>IFERROR(aurora_data!D1305,0)</f>
        <v>0</v>
      </c>
      <c r="F85" s="62">
        <f>IFERROR(aurora_data!E1305,0)</f>
        <v>0</v>
      </c>
      <c r="G85" s="62">
        <f>IFERROR(aurora_data!F1305,0)</f>
        <v>0</v>
      </c>
      <c r="H85" s="62">
        <f>IFERROR(aurora_data!G1305,0)</f>
        <v>0</v>
      </c>
      <c r="I85" s="63">
        <f>IFERROR(aurora_data!H1305,0)</f>
        <v>0</v>
      </c>
      <c r="J85" s="36">
        <f>IFERROR(aurora_data!I1305,0)</f>
        <v>0</v>
      </c>
      <c r="K85" s="62">
        <f>IFERROR(aurora_data!J1305,0)</f>
        <v>0</v>
      </c>
      <c r="L85" s="62">
        <f>IFERROR(aurora_data!K1305,0)</f>
        <v>0</v>
      </c>
      <c r="M85" s="62">
        <f>IFERROR(aurora_data!L1305,0)</f>
        <v>0</v>
      </c>
      <c r="N85" s="63">
        <f>IFERROR(aurora_data!M1305,0)</f>
        <v>0</v>
      </c>
      <c r="O85" s="36">
        <f>IFERROR(aurora_data!N1305,0)</f>
        <v>0</v>
      </c>
      <c r="P85" s="62">
        <f>IFERROR(aurora_data!O1305,0)</f>
        <v>0</v>
      </c>
      <c r="Q85" s="62">
        <f>IFERROR(aurora_data!P1305,0)</f>
        <v>0</v>
      </c>
      <c r="R85" s="63">
        <f>IFERROR(aurora_data!Q1305,0)</f>
        <v>0</v>
      </c>
      <c r="S85" s="62">
        <f>IFERROR(aurora_data!R1305,0)</f>
        <v>0</v>
      </c>
      <c r="T85" s="62">
        <f>IFERROR(aurora_data!S1305,0)</f>
        <v>0</v>
      </c>
      <c r="U85" s="63">
        <f>IFERROR(aurora_data!T1305,0)</f>
        <v>0</v>
      </c>
      <c r="V85" s="64" t="s">
        <v>95</v>
      </c>
      <c r="W85" s="36">
        <f>IFERROR(aurora_data!U1305,0)</f>
        <v>0</v>
      </c>
      <c r="X85" s="71">
        <f t="shared" ref="X85:X91" si="9">IFERROR(W85/$W$12,0)</f>
        <v>0</v>
      </c>
      <c r="Y85" s="2"/>
    </row>
    <row r="86" spans="1:25" customFormat="1">
      <c r="A86" s="2"/>
      <c r="B86" s="211"/>
      <c r="C86" s="213"/>
      <c r="D86" s="35" t="s">
        <v>60</v>
      </c>
      <c r="E86" s="110">
        <f>IFERROR(aurora_data!D1306,0)</f>
        <v>0</v>
      </c>
      <c r="F86" s="62">
        <f>IFERROR(aurora_data!E1306,0)</f>
        <v>0</v>
      </c>
      <c r="G86" s="62">
        <f>IFERROR(aurora_data!F1306,0)</f>
        <v>0</v>
      </c>
      <c r="H86" s="62">
        <f>IFERROR(aurora_data!G1306,0)</f>
        <v>0</v>
      </c>
      <c r="I86" s="63">
        <f>IFERROR(aurora_data!H1306,0)</f>
        <v>0</v>
      </c>
      <c r="J86" s="36">
        <f>IFERROR(aurora_data!I1306,0)</f>
        <v>0</v>
      </c>
      <c r="K86" s="62">
        <f>IFERROR(aurora_data!J1306,0)</f>
        <v>0</v>
      </c>
      <c r="L86" s="62">
        <f>IFERROR(aurora_data!K1306,0)</f>
        <v>0</v>
      </c>
      <c r="M86" s="62">
        <f>IFERROR(aurora_data!L1306,0)</f>
        <v>0</v>
      </c>
      <c r="N86" s="63">
        <f>IFERROR(aurora_data!M1306,0)</f>
        <v>0</v>
      </c>
      <c r="O86" s="36">
        <f>IFERROR(aurora_data!N1306,0)</f>
        <v>0</v>
      </c>
      <c r="P86" s="62">
        <f>IFERROR(aurora_data!O1306,0)</f>
        <v>0</v>
      </c>
      <c r="Q86" s="62">
        <f>IFERROR(aurora_data!P1306,0)</f>
        <v>0</v>
      </c>
      <c r="R86" s="63">
        <f>IFERROR(aurora_data!Q1306,0)</f>
        <v>0</v>
      </c>
      <c r="S86" s="62">
        <f>IFERROR(aurora_data!R1306,0)</f>
        <v>0</v>
      </c>
      <c r="T86" s="62">
        <f>IFERROR(aurora_data!S1306,0)</f>
        <v>0</v>
      </c>
      <c r="U86" s="63">
        <f>IFERROR(aurora_data!T1306,0)</f>
        <v>0</v>
      </c>
      <c r="V86" s="64" t="s">
        <v>95</v>
      </c>
      <c r="W86" s="36">
        <f>IFERROR(aurora_data!U1306,0)</f>
        <v>0</v>
      </c>
      <c r="X86" s="71">
        <f t="shared" si="9"/>
        <v>0</v>
      </c>
      <c r="Y86" s="2"/>
    </row>
    <row r="87" spans="1:25" customFormat="1">
      <c r="A87" s="2"/>
      <c r="B87" s="211"/>
      <c r="C87" s="213"/>
      <c r="D87" s="35" t="s">
        <v>97</v>
      </c>
      <c r="E87" s="36">
        <f>IFERROR(aurora_data!D1307,0)</f>
        <v>0</v>
      </c>
      <c r="F87" s="62">
        <f>IFERROR(aurora_data!E1307,0)</f>
        <v>0</v>
      </c>
      <c r="G87" s="62">
        <f>IFERROR(aurora_data!F1307,0)</f>
        <v>0</v>
      </c>
      <c r="H87" s="62">
        <f>IFERROR(aurora_data!G1307,0)</f>
        <v>0</v>
      </c>
      <c r="I87" s="63">
        <f>IFERROR(aurora_data!H1307,0)</f>
        <v>0</v>
      </c>
      <c r="J87" s="36">
        <f>IFERROR(aurora_data!I1307,0)</f>
        <v>0</v>
      </c>
      <c r="K87" s="62">
        <f>IFERROR(aurora_data!J1307,0)</f>
        <v>0</v>
      </c>
      <c r="L87" s="62">
        <f>IFERROR(aurora_data!K1307,0)</f>
        <v>0</v>
      </c>
      <c r="M87" s="62">
        <f>IFERROR(aurora_data!L1307,0)</f>
        <v>0</v>
      </c>
      <c r="N87" s="63">
        <f>IFERROR(aurora_data!M1307,0)</f>
        <v>0</v>
      </c>
      <c r="O87" s="36">
        <f>IFERROR(aurora_data!N1307,0)</f>
        <v>0</v>
      </c>
      <c r="P87" s="62">
        <f>IFERROR(aurora_data!O1307,0)</f>
        <v>0</v>
      </c>
      <c r="Q87" s="62">
        <f>IFERROR(aurora_data!P1307,0)</f>
        <v>0</v>
      </c>
      <c r="R87" s="63">
        <f>IFERROR(aurora_data!Q1307,0)</f>
        <v>0</v>
      </c>
      <c r="S87" s="62">
        <f>IFERROR(aurora_data!R1307,0)</f>
        <v>0</v>
      </c>
      <c r="T87" s="62">
        <f>IFERROR(aurora_data!S1307,0)</f>
        <v>0</v>
      </c>
      <c r="U87" s="63">
        <f>IFERROR(aurora_data!T1307,0)</f>
        <v>0</v>
      </c>
      <c r="V87" s="64" t="s">
        <v>95</v>
      </c>
      <c r="W87" s="36">
        <f>IFERROR(aurora_data!U1307,0)</f>
        <v>0</v>
      </c>
      <c r="X87" s="71">
        <f t="shared" si="9"/>
        <v>0</v>
      </c>
      <c r="Y87" s="2"/>
    </row>
    <row r="88" spans="1:25" customFormat="1">
      <c r="A88" s="2"/>
      <c r="B88" s="211"/>
      <c r="C88" s="213"/>
      <c r="D88" s="35" t="s">
        <v>98</v>
      </c>
      <c r="E88" s="36">
        <f>IFERROR(aurora_data!D1308,0)</f>
        <v>0</v>
      </c>
      <c r="F88" s="62">
        <f>IFERROR(aurora_data!E1308,0)</f>
        <v>0</v>
      </c>
      <c r="G88" s="62">
        <f>IFERROR(aurora_data!F1308,0)</f>
        <v>0</v>
      </c>
      <c r="H88" s="62">
        <f>IFERROR(aurora_data!G1308,0)</f>
        <v>0</v>
      </c>
      <c r="I88" s="63">
        <f>IFERROR(aurora_data!H1308,0)</f>
        <v>0</v>
      </c>
      <c r="J88" s="36">
        <f>IFERROR(aurora_data!I1308,0)</f>
        <v>0</v>
      </c>
      <c r="K88" s="62">
        <f>IFERROR(aurora_data!J1308,0)</f>
        <v>0</v>
      </c>
      <c r="L88" s="62">
        <f>IFERROR(aurora_data!K1308,0)</f>
        <v>0</v>
      </c>
      <c r="M88" s="62">
        <f>IFERROR(aurora_data!L1308,0)</f>
        <v>0</v>
      </c>
      <c r="N88" s="63">
        <f>IFERROR(aurora_data!M1308,0)</f>
        <v>0</v>
      </c>
      <c r="O88" s="36">
        <f>IFERROR(aurora_data!N1308,0)</f>
        <v>0</v>
      </c>
      <c r="P88" s="62">
        <f>IFERROR(aurora_data!O1308,0)</f>
        <v>0</v>
      </c>
      <c r="Q88" s="62">
        <f>IFERROR(aurora_data!P1308,0)</f>
        <v>0</v>
      </c>
      <c r="R88" s="63">
        <f>IFERROR(aurora_data!Q1308,0)</f>
        <v>0</v>
      </c>
      <c r="S88" s="62">
        <f>IFERROR(aurora_data!R1308,0)</f>
        <v>0</v>
      </c>
      <c r="T88" s="62">
        <f>IFERROR(aurora_data!S1308,0)</f>
        <v>0</v>
      </c>
      <c r="U88" s="63">
        <f>IFERROR(aurora_data!T1308,0)</f>
        <v>0</v>
      </c>
      <c r="V88" s="64" t="s">
        <v>95</v>
      </c>
      <c r="W88" s="36">
        <f>IFERROR(aurora_data!U1308,0)</f>
        <v>0</v>
      </c>
      <c r="X88" s="71">
        <f t="shared" si="9"/>
        <v>0</v>
      </c>
      <c r="Y88" s="2"/>
    </row>
    <row r="89" spans="1:25" customFormat="1" ht="16.5" thickBot="1">
      <c r="A89" s="2"/>
      <c r="B89" s="211"/>
      <c r="C89" s="213"/>
      <c r="D89" s="35" t="s">
        <v>99</v>
      </c>
      <c r="E89" s="36">
        <f>IFERROR(aurora_data!D1309,0)</f>
        <v>0</v>
      </c>
      <c r="F89" s="62">
        <f>IFERROR(aurora_data!E1309,0)</f>
        <v>0</v>
      </c>
      <c r="G89" s="62">
        <f>IFERROR(aurora_data!F1309,0)</f>
        <v>0</v>
      </c>
      <c r="H89" s="62">
        <f>IFERROR(aurora_data!G1309,0)</f>
        <v>0</v>
      </c>
      <c r="I89" s="63">
        <f>IFERROR(aurora_data!H1309,0)</f>
        <v>0</v>
      </c>
      <c r="J89" s="36">
        <f>IFERROR(aurora_data!I1309,0)</f>
        <v>0</v>
      </c>
      <c r="K89" s="62">
        <f>IFERROR(aurora_data!J1309,0)</f>
        <v>0</v>
      </c>
      <c r="L89" s="62">
        <f>IFERROR(aurora_data!K1309,0)</f>
        <v>0</v>
      </c>
      <c r="M89" s="62">
        <f>IFERROR(aurora_data!L1309,0)</f>
        <v>0</v>
      </c>
      <c r="N89" s="63">
        <f>IFERROR(aurora_data!M1309,0)</f>
        <v>0</v>
      </c>
      <c r="O89" s="36">
        <f>IFERROR(aurora_data!N1309,0)</f>
        <v>0</v>
      </c>
      <c r="P89" s="62">
        <f>IFERROR(aurora_data!O1309,0)</f>
        <v>0</v>
      </c>
      <c r="Q89" s="62">
        <f>IFERROR(aurora_data!P1309,0)</f>
        <v>0</v>
      </c>
      <c r="R89" s="63">
        <f>IFERROR(aurora_data!Q1309,0)</f>
        <v>0</v>
      </c>
      <c r="S89" s="62">
        <f>IFERROR(aurora_data!R1309,0)</f>
        <v>0</v>
      </c>
      <c r="T89" s="62">
        <f>IFERROR(aurora_data!S1309,0)</f>
        <v>0</v>
      </c>
      <c r="U89" s="63">
        <f>IFERROR(aurora_data!T1309,0)</f>
        <v>0</v>
      </c>
      <c r="V89" s="64" t="s">
        <v>95</v>
      </c>
      <c r="W89" s="36">
        <f>IFERROR(aurora_data!U1309,0)</f>
        <v>0</v>
      </c>
      <c r="X89" s="71">
        <f t="shared" si="9"/>
        <v>0</v>
      </c>
      <c r="Y89" s="2"/>
    </row>
    <row r="90" spans="1:25" customFormat="1" ht="16.5" thickBot="1">
      <c r="A90" s="2"/>
      <c r="B90" s="211"/>
      <c r="C90" s="213"/>
      <c r="D90" s="37" t="s">
        <v>64</v>
      </c>
      <c r="E90" s="59">
        <f>IFERROR(aurora_data!D1310,0)</f>
        <v>0</v>
      </c>
      <c r="F90" s="65">
        <f>IFERROR(aurora_data!E1310,0)</f>
        <v>0</v>
      </c>
      <c r="G90" s="65">
        <f>IFERROR(aurora_data!F1310,0)</f>
        <v>0</v>
      </c>
      <c r="H90" s="65">
        <f>IFERROR(aurora_data!G1310,0)</f>
        <v>0</v>
      </c>
      <c r="I90" s="66">
        <f>IFERROR(aurora_data!H1310,0)</f>
        <v>0</v>
      </c>
      <c r="J90" s="59">
        <f>IFERROR(aurora_data!I1310,0)</f>
        <v>0</v>
      </c>
      <c r="K90" s="65">
        <f>IFERROR(aurora_data!J1310,0)</f>
        <v>0</v>
      </c>
      <c r="L90" s="65">
        <f>IFERROR(aurora_data!K1310,0)</f>
        <v>0</v>
      </c>
      <c r="M90" s="65">
        <f>IFERROR(aurora_data!L1310,0)</f>
        <v>0</v>
      </c>
      <c r="N90" s="66">
        <f>IFERROR(aurora_data!M1310,0)</f>
        <v>0</v>
      </c>
      <c r="O90" s="59">
        <f>IFERROR(aurora_data!N1310,0)</f>
        <v>0</v>
      </c>
      <c r="P90" s="65">
        <f>IFERROR(aurora_data!O1310,0)</f>
        <v>0</v>
      </c>
      <c r="Q90" s="65">
        <f>IFERROR(aurora_data!P1310,0)</f>
        <v>0</v>
      </c>
      <c r="R90" s="66">
        <f>IFERROR(aurora_data!Q1310,0)</f>
        <v>0</v>
      </c>
      <c r="S90" s="65">
        <f>IFERROR(aurora_data!R1310,0)</f>
        <v>0</v>
      </c>
      <c r="T90" s="65">
        <f>IFERROR(aurora_data!S1310,0)</f>
        <v>0</v>
      </c>
      <c r="U90" s="66">
        <f>IFERROR(aurora_data!T1310,0)</f>
        <v>0</v>
      </c>
      <c r="V90" s="67" t="s">
        <v>95</v>
      </c>
      <c r="W90" s="59">
        <f>IFERROR(aurora_data!U1310,0)</f>
        <v>0</v>
      </c>
      <c r="X90" s="72">
        <f t="shared" si="9"/>
        <v>0</v>
      </c>
      <c r="Y90" s="2"/>
    </row>
    <row r="91" spans="1:25" customFormat="1" ht="16.5" thickBot="1">
      <c r="A91" s="2"/>
      <c r="B91" s="211"/>
      <c r="C91" s="213"/>
      <c r="D91" s="38" t="s">
        <v>100</v>
      </c>
      <c r="E91" s="60">
        <f>IFERROR(aurora_data!D1311,0)</f>
        <v>0</v>
      </c>
      <c r="F91" s="68">
        <f>IFERROR(aurora_data!E1311,0)</f>
        <v>0</v>
      </c>
      <c r="G91" s="68">
        <f>IFERROR(aurora_data!F1311,0)</f>
        <v>0</v>
      </c>
      <c r="H91" s="68">
        <f>IFERROR(aurora_data!G1311,0)</f>
        <v>0</v>
      </c>
      <c r="I91" s="69">
        <f>IFERROR(aurora_data!H1311,0)</f>
        <v>0</v>
      </c>
      <c r="J91" s="60">
        <f>IFERROR(aurora_data!I1311,0)</f>
        <v>0</v>
      </c>
      <c r="K91" s="68">
        <f>IFERROR(aurora_data!J1311,0)</f>
        <v>0</v>
      </c>
      <c r="L91" s="68">
        <f>IFERROR(aurora_data!K1311,0)</f>
        <v>0</v>
      </c>
      <c r="M91" s="68">
        <f>IFERROR(aurora_data!L1311,0)</f>
        <v>0</v>
      </c>
      <c r="N91" s="69">
        <f>IFERROR(aurora_data!M1311,0)</f>
        <v>0</v>
      </c>
      <c r="O91" s="60">
        <f>IFERROR(aurora_data!N1311,0)</f>
        <v>0</v>
      </c>
      <c r="P91" s="68">
        <f>IFERROR(aurora_data!O1311,0)</f>
        <v>0</v>
      </c>
      <c r="Q91" s="68">
        <f>IFERROR(aurora_data!P1311,0)</f>
        <v>0</v>
      </c>
      <c r="R91" s="69">
        <f>IFERROR(aurora_data!Q1311,0)</f>
        <v>0</v>
      </c>
      <c r="S91" s="68">
        <f>IFERROR(aurora_data!R1311,0)</f>
        <v>0</v>
      </c>
      <c r="T91" s="68">
        <f>IFERROR(aurora_data!S1311,0)</f>
        <v>0</v>
      </c>
      <c r="U91" s="74">
        <f>IFERROR(aurora_data!T1311,0)</f>
        <v>0</v>
      </c>
      <c r="V91" s="75" t="s">
        <v>95</v>
      </c>
      <c r="W91" s="60">
        <f>IFERROR(aurora_data!U1311,0)</f>
        <v>0</v>
      </c>
      <c r="X91" s="73">
        <f t="shared" si="9"/>
        <v>0</v>
      </c>
      <c r="Y91" s="2"/>
    </row>
    <row r="92" spans="1:25" customFormat="1">
      <c r="A92" s="2"/>
      <c r="B92" s="210" t="s">
        <v>94</v>
      </c>
      <c r="C92" s="212" t="str">
        <f>aurora_data!A1312</f>
        <v>16.00.00-16.11.30</v>
      </c>
      <c r="D92" s="34" t="s">
        <v>71</v>
      </c>
      <c r="E92" s="39">
        <f>IFERROR(aurora_data!D1312,0)</f>
        <v>0</v>
      </c>
      <c r="F92" s="40">
        <f>IFERROR(aurora_data!E1312,0)</f>
        <v>0</v>
      </c>
      <c r="G92" s="40">
        <f>IFERROR(aurora_data!F1312,0)</f>
        <v>0</v>
      </c>
      <c r="H92" s="40">
        <f>IFERROR(aurora_data!G1312,0)</f>
        <v>0</v>
      </c>
      <c r="I92" s="41">
        <f>IFERROR(aurora_data!H1312,0)</f>
        <v>0</v>
      </c>
      <c r="J92" s="39">
        <f>IFERROR(aurora_data!I1312,0)</f>
        <v>0</v>
      </c>
      <c r="K92" s="40">
        <f>IFERROR(aurora_data!J1312,0)</f>
        <v>0</v>
      </c>
      <c r="L92" s="40">
        <f>IFERROR(aurora_data!K1312,0)</f>
        <v>0</v>
      </c>
      <c r="M92" s="40">
        <f>IFERROR(aurora_data!L1312,0)</f>
        <v>0</v>
      </c>
      <c r="N92" s="41">
        <f>IFERROR(aurora_data!M1312,0)</f>
        <v>0</v>
      </c>
      <c r="O92" s="39">
        <f>IFERROR(aurora_data!N1312,0)</f>
        <v>0</v>
      </c>
      <c r="P92" s="40">
        <f>IFERROR(aurora_data!O1312,0)</f>
        <v>0</v>
      </c>
      <c r="Q92" s="40">
        <f>IFERROR(aurora_data!P1312,0)</f>
        <v>0</v>
      </c>
      <c r="R92" s="41">
        <f>IFERROR(aurora_data!Q1312,0)</f>
        <v>0</v>
      </c>
      <c r="S92" s="40">
        <f>IFERROR(aurora_data!R1312,0)</f>
        <v>0</v>
      </c>
      <c r="T92" s="40">
        <f>IFERROR(aurora_data!S1312,0)</f>
        <v>0</v>
      </c>
      <c r="U92" s="76">
        <f>IFERROR(aurora_data!T1312,0)</f>
        <v>0</v>
      </c>
      <c r="V92" s="61" t="s">
        <v>95</v>
      </c>
      <c r="W92" s="39">
        <f>IFERROR(aurora_data!U1312,0)</f>
        <v>1</v>
      </c>
      <c r="X92" s="70">
        <f>IFERROR(W92/$W$12,0)</f>
        <v>1</v>
      </c>
      <c r="Y92" s="2"/>
    </row>
    <row r="93" spans="1:25" customFormat="1">
      <c r="A93" s="2"/>
      <c r="B93" s="211"/>
      <c r="C93" s="213"/>
      <c r="D93" s="35" t="s">
        <v>96</v>
      </c>
      <c r="E93" s="110">
        <f>IFERROR(aurora_data!D1313,0)</f>
        <v>0</v>
      </c>
      <c r="F93" s="62">
        <f>IFERROR(aurora_data!E1313,0)</f>
        <v>0</v>
      </c>
      <c r="G93" s="62">
        <f>IFERROR(aurora_data!F1313,0)</f>
        <v>0</v>
      </c>
      <c r="H93" s="62">
        <f>IFERROR(aurora_data!G1313,0)</f>
        <v>0</v>
      </c>
      <c r="I93" s="63">
        <f>IFERROR(aurora_data!H1313,0)</f>
        <v>0</v>
      </c>
      <c r="J93" s="36">
        <f>IFERROR(aurora_data!I1313,0)</f>
        <v>0</v>
      </c>
      <c r="K93" s="62">
        <f>IFERROR(aurora_data!J1313,0)</f>
        <v>0</v>
      </c>
      <c r="L93" s="62">
        <f>IFERROR(aurora_data!K1313,0)</f>
        <v>0</v>
      </c>
      <c r="M93" s="62">
        <f>IFERROR(aurora_data!L1313,0)</f>
        <v>0</v>
      </c>
      <c r="N93" s="63">
        <f>IFERROR(aurora_data!M1313,0)</f>
        <v>0</v>
      </c>
      <c r="O93" s="36">
        <f>IFERROR(aurora_data!N1313,0)</f>
        <v>0</v>
      </c>
      <c r="P93" s="62">
        <f>IFERROR(aurora_data!O1313,0)</f>
        <v>0</v>
      </c>
      <c r="Q93" s="62">
        <f>IFERROR(aurora_data!P1313,0)</f>
        <v>0</v>
      </c>
      <c r="R93" s="63">
        <f>IFERROR(aurora_data!Q1313,0)</f>
        <v>0</v>
      </c>
      <c r="S93" s="62">
        <f>IFERROR(aurora_data!R1313,0)</f>
        <v>0</v>
      </c>
      <c r="T93" s="62">
        <f>IFERROR(aurora_data!S1313,0)</f>
        <v>0</v>
      </c>
      <c r="U93" s="63">
        <f>IFERROR(aurora_data!T1313,0)</f>
        <v>0</v>
      </c>
      <c r="V93" s="64" t="s">
        <v>95</v>
      </c>
      <c r="W93" s="36">
        <f>IFERROR(aurora_data!U1313,0)</f>
        <v>0</v>
      </c>
      <c r="X93" s="71">
        <f t="shared" ref="X93:X99" si="10">IFERROR(W93/$W$12,0)</f>
        <v>0</v>
      </c>
      <c r="Y93" s="2"/>
    </row>
    <row r="94" spans="1:25" customFormat="1">
      <c r="A94" s="2"/>
      <c r="B94" s="211"/>
      <c r="C94" s="213"/>
      <c r="D94" s="35" t="s">
        <v>60</v>
      </c>
      <c r="E94" s="110">
        <f>IFERROR(aurora_data!D1314,0)</f>
        <v>0</v>
      </c>
      <c r="F94" s="62">
        <f>IFERROR(aurora_data!E1314,0)</f>
        <v>0</v>
      </c>
      <c r="G94" s="62">
        <f>IFERROR(aurora_data!F1314,0)</f>
        <v>0</v>
      </c>
      <c r="H94" s="62">
        <f>IFERROR(aurora_data!G1314,0)</f>
        <v>0</v>
      </c>
      <c r="I94" s="63">
        <f>IFERROR(aurora_data!H1314,0)</f>
        <v>0</v>
      </c>
      <c r="J94" s="36">
        <f>IFERROR(aurora_data!I1314,0)</f>
        <v>0</v>
      </c>
      <c r="K94" s="62">
        <f>IFERROR(aurora_data!J1314,0)</f>
        <v>0</v>
      </c>
      <c r="L94" s="62">
        <f>IFERROR(aurora_data!K1314,0)</f>
        <v>0</v>
      </c>
      <c r="M94" s="62">
        <f>IFERROR(aurora_data!L1314,0)</f>
        <v>0</v>
      </c>
      <c r="N94" s="63">
        <f>IFERROR(aurora_data!M1314,0)</f>
        <v>0</v>
      </c>
      <c r="O94" s="36">
        <f>IFERROR(aurora_data!N1314,0)</f>
        <v>0</v>
      </c>
      <c r="P94" s="62">
        <f>IFERROR(aurora_data!O1314,0)</f>
        <v>0</v>
      </c>
      <c r="Q94" s="62">
        <f>IFERROR(aurora_data!P1314,0)</f>
        <v>0</v>
      </c>
      <c r="R94" s="63">
        <f>IFERROR(aurora_data!Q1314,0)</f>
        <v>0</v>
      </c>
      <c r="S94" s="62">
        <f>IFERROR(aurora_data!R1314,0)</f>
        <v>0</v>
      </c>
      <c r="T94" s="62">
        <f>IFERROR(aurora_data!S1314,0)</f>
        <v>0</v>
      </c>
      <c r="U94" s="63">
        <f>IFERROR(aurora_data!T1314,0)</f>
        <v>0</v>
      </c>
      <c r="V94" s="64" t="s">
        <v>95</v>
      </c>
      <c r="W94" s="36">
        <f>IFERROR(aurora_data!U1314,0)</f>
        <v>0</v>
      </c>
      <c r="X94" s="71">
        <f t="shared" si="10"/>
        <v>0</v>
      </c>
      <c r="Y94" s="2"/>
    </row>
    <row r="95" spans="1:25" customFormat="1">
      <c r="A95" s="2"/>
      <c r="B95" s="211"/>
      <c r="C95" s="213"/>
      <c r="D95" s="35" t="s">
        <v>97</v>
      </c>
      <c r="E95" s="36">
        <f>IFERROR(aurora_data!D1315,0)</f>
        <v>0</v>
      </c>
      <c r="F95" s="62">
        <f>IFERROR(aurora_data!E1315,0)</f>
        <v>0</v>
      </c>
      <c r="G95" s="62">
        <f>IFERROR(aurora_data!F1315,0)</f>
        <v>0</v>
      </c>
      <c r="H95" s="62">
        <f>IFERROR(aurora_data!G1315,0)</f>
        <v>0</v>
      </c>
      <c r="I95" s="63">
        <f>IFERROR(aurora_data!H1315,0)</f>
        <v>0</v>
      </c>
      <c r="J95" s="36">
        <f>IFERROR(aurora_data!I1315,0)</f>
        <v>0</v>
      </c>
      <c r="K95" s="62">
        <f>IFERROR(aurora_data!J1315,0)</f>
        <v>0</v>
      </c>
      <c r="L95" s="62">
        <f>IFERROR(aurora_data!K1315,0)</f>
        <v>0</v>
      </c>
      <c r="M95" s="62">
        <f>IFERROR(aurora_data!L1315,0)</f>
        <v>0</v>
      </c>
      <c r="N95" s="63">
        <f>IFERROR(aurora_data!M1315,0)</f>
        <v>0</v>
      </c>
      <c r="O95" s="36">
        <f>IFERROR(aurora_data!N1315,0)</f>
        <v>0</v>
      </c>
      <c r="P95" s="62">
        <f>IFERROR(aurora_data!O1315,0)</f>
        <v>0</v>
      </c>
      <c r="Q95" s="62">
        <f>IFERROR(aurora_data!P1315,0)</f>
        <v>0</v>
      </c>
      <c r="R95" s="63">
        <f>IFERROR(aurora_data!Q1315,0)</f>
        <v>0</v>
      </c>
      <c r="S95" s="62">
        <f>IFERROR(aurora_data!R1315,0)</f>
        <v>0</v>
      </c>
      <c r="T95" s="62">
        <f>IFERROR(aurora_data!S1315,0)</f>
        <v>0</v>
      </c>
      <c r="U95" s="63">
        <f>IFERROR(aurora_data!T1315,0)</f>
        <v>0</v>
      </c>
      <c r="V95" s="64" t="s">
        <v>95</v>
      </c>
      <c r="W95" s="36">
        <f>IFERROR(aurora_data!U1315,0)</f>
        <v>0</v>
      </c>
      <c r="X95" s="71">
        <f t="shared" si="10"/>
        <v>0</v>
      </c>
      <c r="Y95" s="2"/>
    </row>
    <row r="96" spans="1:25" customFormat="1">
      <c r="A96" s="2"/>
      <c r="B96" s="211"/>
      <c r="C96" s="213"/>
      <c r="D96" s="35" t="s">
        <v>98</v>
      </c>
      <c r="E96" s="36">
        <f>IFERROR(aurora_data!D1316,0)</f>
        <v>0</v>
      </c>
      <c r="F96" s="62">
        <f>IFERROR(aurora_data!E1316,0)</f>
        <v>0</v>
      </c>
      <c r="G96" s="62">
        <f>IFERROR(aurora_data!F1316,0)</f>
        <v>0</v>
      </c>
      <c r="H96" s="62">
        <f>IFERROR(aurora_data!G1316,0)</f>
        <v>0</v>
      </c>
      <c r="I96" s="63">
        <f>IFERROR(aurora_data!H1316,0)</f>
        <v>0</v>
      </c>
      <c r="J96" s="36">
        <f>IFERROR(aurora_data!I1316,0)</f>
        <v>0</v>
      </c>
      <c r="K96" s="62">
        <f>IFERROR(aurora_data!J1316,0)</f>
        <v>0</v>
      </c>
      <c r="L96" s="62">
        <f>IFERROR(aurora_data!K1316,0)</f>
        <v>0</v>
      </c>
      <c r="M96" s="62">
        <f>IFERROR(aurora_data!L1316,0)</f>
        <v>0</v>
      </c>
      <c r="N96" s="63">
        <f>IFERROR(aurora_data!M1316,0)</f>
        <v>0</v>
      </c>
      <c r="O96" s="36">
        <f>IFERROR(aurora_data!N1316,0)</f>
        <v>0</v>
      </c>
      <c r="P96" s="62">
        <f>IFERROR(aurora_data!O1316,0)</f>
        <v>0</v>
      </c>
      <c r="Q96" s="62">
        <f>IFERROR(aurora_data!P1316,0)</f>
        <v>0</v>
      </c>
      <c r="R96" s="63">
        <f>IFERROR(aurora_data!Q1316,0)</f>
        <v>0</v>
      </c>
      <c r="S96" s="62">
        <f>IFERROR(aurora_data!R1316,0)</f>
        <v>0</v>
      </c>
      <c r="T96" s="62">
        <f>IFERROR(aurora_data!S1316,0)</f>
        <v>0</v>
      </c>
      <c r="U96" s="63">
        <f>IFERROR(aurora_data!T1316,0)</f>
        <v>0</v>
      </c>
      <c r="V96" s="64" t="s">
        <v>95</v>
      </c>
      <c r="W96" s="36">
        <f>IFERROR(aurora_data!U1316,0)</f>
        <v>0</v>
      </c>
      <c r="X96" s="71">
        <f t="shared" si="10"/>
        <v>0</v>
      </c>
      <c r="Y96" s="2"/>
    </row>
    <row r="97" spans="1:25" customFormat="1" ht="16.5" thickBot="1">
      <c r="A97" s="2"/>
      <c r="B97" s="211"/>
      <c r="C97" s="213"/>
      <c r="D97" s="35" t="s">
        <v>99</v>
      </c>
      <c r="E97" s="36">
        <f>IFERROR(aurora_data!D1317,0)</f>
        <v>0</v>
      </c>
      <c r="F97" s="62">
        <f>IFERROR(aurora_data!E1317,0)</f>
        <v>0</v>
      </c>
      <c r="G97" s="62">
        <f>IFERROR(aurora_data!F1317,0)</f>
        <v>0</v>
      </c>
      <c r="H97" s="62">
        <f>IFERROR(aurora_data!G1317,0)</f>
        <v>0</v>
      </c>
      <c r="I97" s="63">
        <f>IFERROR(aurora_data!H1317,0)</f>
        <v>0</v>
      </c>
      <c r="J97" s="36">
        <f>IFERROR(aurora_data!I1317,0)</f>
        <v>0</v>
      </c>
      <c r="K97" s="62">
        <f>IFERROR(aurora_data!J1317,0)</f>
        <v>0</v>
      </c>
      <c r="L97" s="62">
        <f>IFERROR(aurora_data!K1317,0)</f>
        <v>0</v>
      </c>
      <c r="M97" s="62">
        <f>IFERROR(aurora_data!L1317,0)</f>
        <v>0</v>
      </c>
      <c r="N97" s="63">
        <f>IFERROR(aurora_data!M1317,0)</f>
        <v>0</v>
      </c>
      <c r="O97" s="36">
        <f>IFERROR(aurora_data!N1317,0)</f>
        <v>0</v>
      </c>
      <c r="P97" s="62">
        <f>IFERROR(aurora_data!O1317,0)</f>
        <v>0</v>
      </c>
      <c r="Q97" s="62">
        <f>IFERROR(aurora_data!P1317,0)</f>
        <v>0</v>
      </c>
      <c r="R97" s="63">
        <f>IFERROR(aurora_data!Q1317,0)</f>
        <v>0</v>
      </c>
      <c r="S97" s="62">
        <f>IFERROR(aurora_data!R1317,0)</f>
        <v>0</v>
      </c>
      <c r="T97" s="62">
        <f>IFERROR(aurora_data!S1317,0)</f>
        <v>0</v>
      </c>
      <c r="U97" s="63">
        <f>IFERROR(aurora_data!T1317,0)</f>
        <v>0</v>
      </c>
      <c r="V97" s="64" t="s">
        <v>95</v>
      </c>
      <c r="W97" s="36">
        <f>IFERROR(aurora_data!U1317,0)</f>
        <v>0</v>
      </c>
      <c r="X97" s="71">
        <f t="shared" si="10"/>
        <v>0</v>
      </c>
      <c r="Y97" s="2"/>
    </row>
    <row r="98" spans="1:25" customFormat="1" ht="16.5" thickBot="1">
      <c r="A98" s="2"/>
      <c r="B98" s="211"/>
      <c r="C98" s="213"/>
      <c r="D98" s="37" t="s">
        <v>64</v>
      </c>
      <c r="E98" s="59">
        <f>IFERROR(aurora_data!D1318,0)</f>
        <v>0</v>
      </c>
      <c r="F98" s="65">
        <f>IFERROR(aurora_data!E1318,0)</f>
        <v>0</v>
      </c>
      <c r="G98" s="65">
        <f>IFERROR(aurora_data!F1318,0)</f>
        <v>0</v>
      </c>
      <c r="H98" s="65">
        <f>IFERROR(aurora_data!G1318,0)</f>
        <v>0</v>
      </c>
      <c r="I98" s="66">
        <f>IFERROR(aurora_data!H1318,0)</f>
        <v>0</v>
      </c>
      <c r="J98" s="59">
        <f>IFERROR(aurora_data!I1318,0)</f>
        <v>0</v>
      </c>
      <c r="K98" s="65">
        <f>IFERROR(aurora_data!J1318,0)</f>
        <v>0</v>
      </c>
      <c r="L98" s="65">
        <f>IFERROR(aurora_data!K1318,0)</f>
        <v>0</v>
      </c>
      <c r="M98" s="65">
        <f>IFERROR(aurora_data!L1318,0)</f>
        <v>0</v>
      </c>
      <c r="N98" s="66">
        <f>IFERROR(aurora_data!M1318,0)</f>
        <v>0</v>
      </c>
      <c r="O98" s="59">
        <f>IFERROR(aurora_data!N1318,0)</f>
        <v>0</v>
      </c>
      <c r="P98" s="65">
        <f>IFERROR(aurora_data!O1318,0)</f>
        <v>0</v>
      </c>
      <c r="Q98" s="65">
        <f>IFERROR(aurora_data!P1318,0)</f>
        <v>0</v>
      </c>
      <c r="R98" s="66">
        <f>IFERROR(aurora_data!Q1318,0)</f>
        <v>0</v>
      </c>
      <c r="S98" s="65">
        <f>IFERROR(aurora_data!R1318,0)</f>
        <v>0</v>
      </c>
      <c r="T98" s="65">
        <f>IFERROR(aurora_data!S1318,0)</f>
        <v>0</v>
      </c>
      <c r="U98" s="66">
        <f>IFERROR(aurora_data!T1318,0)</f>
        <v>0</v>
      </c>
      <c r="V98" s="67" t="s">
        <v>95</v>
      </c>
      <c r="W98" s="59">
        <f>IFERROR(aurora_data!U1318,0)</f>
        <v>0</v>
      </c>
      <c r="X98" s="72">
        <f t="shared" si="10"/>
        <v>0</v>
      </c>
      <c r="Y98" s="2"/>
    </row>
    <row r="99" spans="1:25" customFormat="1" ht="16.5" thickBot="1">
      <c r="A99" s="2"/>
      <c r="B99" s="211"/>
      <c r="C99" s="213"/>
      <c r="D99" s="38" t="s">
        <v>100</v>
      </c>
      <c r="E99" s="60">
        <f>IFERROR(aurora_data!D1319,0)</f>
        <v>0</v>
      </c>
      <c r="F99" s="68">
        <f>IFERROR(aurora_data!E1319,0)</f>
        <v>0</v>
      </c>
      <c r="G99" s="68">
        <f>IFERROR(aurora_data!F1319,0)</f>
        <v>0</v>
      </c>
      <c r="H99" s="68">
        <f>IFERROR(aurora_data!G1319,0)</f>
        <v>0</v>
      </c>
      <c r="I99" s="69">
        <f>IFERROR(aurora_data!H1319,0)</f>
        <v>0</v>
      </c>
      <c r="J99" s="60">
        <f>IFERROR(aurora_data!I1319,0)</f>
        <v>0</v>
      </c>
      <c r="K99" s="68">
        <f>IFERROR(aurora_data!J1319,0)</f>
        <v>0</v>
      </c>
      <c r="L99" s="68">
        <f>IFERROR(aurora_data!K1319,0)</f>
        <v>0</v>
      </c>
      <c r="M99" s="68">
        <f>IFERROR(aurora_data!L1319,0)</f>
        <v>0</v>
      </c>
      <c r="N99" s="69">
        <f>IFERROR(aurora_data!M1319,0)</f>
        <v>0</v>
      </c>
      <c r="O99" s="60">
        <f>IFERROR(aurora_data!N1319,0)</f>
        <v>0</v>
      </c>
      <c r="P99" s="68">
        <f>IFERROR(aurora_data!O1319,0)</f>
        <v>0</v>
      </c>
      <c r="Q99" s="68">
        <f>IFERROR(aurora_data!P1319,0)</f>
        <v>0</v>
      </c>
      <c r="R99" s="69">
        <f>IFERROR(aurora_data!Q1319,0)</f>
        <v>0</v>
      </c>
      <c r="S99" s="68">
        <f>IFERROR(aurora_data!R1319,0)</f>
        <v>0</v>
      </c>
      <c r="T99" s="68">
        <f>IFERROR(aurora_data!S1319,0)</f>
        <v>0</v>
      </c>
      <c r="U99" s="74">
        <f>IFERROR(aurora_data!T1319,0)</f>
        <v>0</v>
      </c>
      <c r="V99" s="75" t="s">
        <v>95</v>
      </c>
      <c r="W99" s="60">
        <f>IFERROR(aurora_data!U1319,0)</f>
        <v>0</v>
      </c>
      <c r="X99" s="73">
        <f t="shared" si="10"/>
        <v>0</v>
      </c>
      <c r="Y99" s="2"/>
    </row>
    <row r="100" spans="1:25" customFormat="1" ht="15.75" customHeight="1">
      <c r="A100" s="2"/>
      <c r="B100" s="206" t="s">
        <v>94</v>
      </c>
      <c r="C100" s="208" t="s">
        <v>55</v>
      </c>
      <c r="D100" s="34" t="s">
        <v>71</v>
      </c>
      <c r="E100" s="39">
        <f>IFERROR(aurora_data!D1320,0)</f>
        <v>0</v>
      </c>
      <c r="F100" s="40">
        <f>IFERROR(aurora_data!E1320,0)</f>
        <v>0</v>
      </c>
      <c r="G100" s="40">
        <f>IFERROR(aurora_data!F1320,0)</f>
        <v>0</v>
      </c>
      <c r="H100" s="40">
        <f>IFERROR(aurora_data!G1320,0)</f>
        <v>0</v>
      </c>
      <c r="I100" s="41">
        <f>IFERROR(aurora_data!H1320,0)</f>
        <v>0</v>
      </c>
      <c r="J100" s="39">
        <f>IFERROR(aurora_data!I1320,0)</f>
        <v>0</v>
      </c>
      <c r="K100" s="40">
        <f>IFERROR(aurora_data!J1320,0)</f>
        <v>0</v>
      </c>
      <c r="L100" s="40">
        <f>IFERROR(aurora_data!K1320,0)</f>
        <v>0</v>
      </c>
      <c r="M100" s="40">
        <f>IFERROR(aurora_data!L1320,0)</f>
        <v>0</v>
      </c>
      <c r="N100" s="41">
        <f>IFERROR(aurora_data!M1320,0)</f>
        <v>0</v>
      </c>
      <c r="O100" s="39">
        <f>IFERROR(aurora_data!N1320,0)</f>
        <v>0</v>
      </c>
      <c r="P100" s="40">
        <f>IFERROR(aurora_data!O1320,0)</f>
        <v>0</v>
      </c>
      <c r="Q100" s="40">
        <f>IFERROR(aurora_data!P1320,0)</f>
        <v>0</v>
      </c>
      <c r="R100" s="41">
        <f>IFERROR(aurora_data!Q1320,0)</f>
        <v>0</v>
      </c>
      <c r="S100" s="40">
        <f>IFERROR(aurora_data!R1320,0)</f>
        <v>0</v>
      </c>
      <c r="T100" s="40">
        <f>IFERROR(aurora_data!S1320,0)</f>
        <v>0</v>
      </c>
      <c r="U100" s="41">
        <f>IFERROR(aurora_data!T1320,0)</f>
        <v>0</v>
      </c>
      <c r="V100" s="61" t="s">
        <v>95</v>
      </c>
      <c r="W100" s="39">
        <f>IFERROR(aurora_data!U1320,0)</f>
        <v>13</v>
      </c>
      <c r="X100" s="70">
        <f>IFERROR(W100/$W$100,0)</f>
        <v>1</v>
      </c>
      <c r="Y100" s="2"/>
    </row>
    <row r="101" spans="1:25" customFormat="1" ht="15.75" customHeight="1">
      <c r="A101" s="2"/>
      <c r="B101" s="207"/>
      <c r="C101" s="209"/>
      <c r="D101" s="35" t="s">
        <v>96</v>
      </c>
      <c r="E101" s="36">
        <f>IFERROR(aurora_data!D1321,0)</f>
        <v>0</v>
      </c>
      <c r="F101" s="62">
        <f>IFERROR(aurora_data!E1321,0)</f>
        <v>0</v>
      </c>
      <c r="G101" s="62">
        <f>IFERROR(aurora_data!F1321,0)</f>
        <v>0</v>
      </c>
      <c r="H101" s="62">
        <f>IFERROR(aurora_data!G1321,0)</f>
        <v>0</v>
      </c>
      <c r="I101" s="63">
        <f>IFERROR(aurora_data!H1321,0)</f>
        <v>0</v>
      </c>
      <c r="J101" s="36">
        <f>IFERROR(aurora_data!I1321,0)</f>
        <v>0</v>
      </c>
      <c r="K101" s="62">
        <f>IFERROR(aurora_data!J1321,0)</f>
        <v>0</v>
      </c>
      <c r="L101" s="62">
        <f>IFERROR(aurora_data!K1321,0)</f>
        <v>0</v>
      </c>
      <c r="M101" s="62">
        <f>IFERROR(aurora_data!L1321,0)</f>
        <v>0</v>
      </c>
      <c r="N101" s="63">
        <f>IFERROR(aurora_data!M1321,0)</f>
        <v>0</v>
      </c>
      <c r="O101" s="36">
        <f>IFERROR(aurora_data!N1321,0)</f>
        <v>0</v>
      </c>
      <c r="P101" s="62">
        <f>IFERROR(aurora_data!O1321,0)</f>
        <v>0</v>
      </c>
      <c r="Q101" s="62">
        <f>IFERROR(aurora_data!P1321,0)</f>
        <v>0</v>
      </c>
      <c r="R101" s="63">
        <f>IFERROR(aurora_data!Q1321,0)</f>
        <v>0</v>
      </c>
      <c r="S101" s="62">
        <f>IFERROR(aurora_data!R1321,0)</f>
        <v>0</v>
      </c>
      <c r="T101" s="62">
        <f>IFERROR(aurora_data!S1321,0)</f>
        <v>0</v>
      </c>
      <c r="U101" s="63">
        <f>IFERROR(aurora_data!T1321,0)</f>
        <v>0</v>
      </c>
      <c r="V101" s="64" t="s">
        <v>95</v>
      </c>
      <c r="W101" s="36">
        <f>IFERROR(aurora_data!U1321,0)</f>
        <v>0</v>
      </c>
      <c r="X101" s="71">
        <f t="shared" ref="X101:X107" si="11">IFERROR(W101/$W$100,0)</f>
        <v>0</v>
      </c>
      <c r="Y101" s="2"/>
    </row>
    <row r="102" spans="1:25" customFormat="1" ht="15.75" customHeight="1">
      <c r="A102" s="2"/>
      <c r="B102" s="207"/>
      <c r="C102" s="209"/>
      <c r="D102" s="35" t="s">
        <v>60</v>
      </c>
      <c r="E102" s="36">
        <f>IFERROR(aurora_data!D1322,0)</f>
        <v>0</v>
      </c>
      <c r="F102" s="62">
        <f>IFERROR(aurora_data!E1322,0)</f>
        <v>0</v>
      </c>
      <c r="G102" s="62">
        <f>IFERROR(aurora_data!F1322,0)</f>
        <v>0</v>
      </c>
      <c r="H102" s="62">
        <f>IFERROR(aurora_data!G1322,0)</f>
        <v>0</v>
      </c>
      <c r="I102" s="63">
        <f>IFERROR(aurora_data!H1322,0)</f>
        <v>0</v>
      </c>
      <c r="J102" s="36">
        <f>IFERROR(aurora_data!I1322,0)</f>
        <v>0</v>
      </c>
      <c r="K102" s="62">
        <f>IFERROR(aurora_data!J1322,0)</f>
        <v>0</v>
      </c>
      <c r="L102" s="62">
        <f>IFERROR(aurora_data!K1322,0)</f>
        <v>0</v>
      </c>
      <c r="M102" s="62">
        <f>IFERROR(aurora_data!L1322,0)</f>
        <v>0</v>
      </c>
      <c r="N102" s="63">
        <f>IFERROR(aurora_data!M1322,0)</f>
        <v>0</v>
      </c>
      <c r="O102" s="36">
        <f>IFERROR(aurora_data!N1322,0)</f>
        <v>0</v>
      </c>
      <c r="P102" s="62">
        <f>IFERROR(aurora_data!O1322,0)</f>
        <v>0</v>
      </c>
      <c r="Q102" s="62">
        <f>IFERROR(aurora_data!P1322,0)</f>
        <v>0</v>
      </c>
      <c r="R102" s="63">
        <f>IFERROR(aurora_data!Q1322,0)</f>
        <v>0</v>
      </c>
      <c r="S102" s="62">
        <f>IFERROR(aurora_data!R1322,0)</f>
        <v>0</v>
      </c>
      <c r="T102" s="62">
        <f>IFERROR(aurora_data!S1322,0)</f>
        <v>0</v>
      </c>
      <c r="U102" s="63">
        <f>IFERROR(aurora_data!T1322,0)</f>
        <v>0</v>
      </c>
      <c r="V102" s="64" t="s">
        <v>95</v>
      </c>
      <c r="W102" s="36">
        <f>IFERROR(aurora_data!U1322,0)</f>
        <v>0</v>
      </c>
      <c r="X102" s="71">
        <f t="shared" si="11"/>
        <v>0</v>
      </c>
      <c r="Y102" s="2"/>
    </row>
    <row r="103" spans="1:25" customFormat="1" ht="15.75" customHeight="1">
      <c r="A103" s="2"/>
      <c r="B103" s="207"/>
      <c r="C103" s="209"/>
      <c r="D103" s="35" t="s">
        <v>97</v>
      </c>
      <c r="E103" s="36">
        <f>IFERROR(aurora_data!D1323,0)</f>
        <v>0</v>
      </c>
      <c r="F103" s="62">
        <f>IFERROR(aurora_data!E1323,0)</f>
        <v>0</v>
      </c>
      <c r="G103" s="62">
        <f>IFERROR(aurora_data!F1323,0)</f>
        <v>0</v>
      </c>
      <c r="H103" s="62">
        <f>IFERROR(aurora_data!G1323,0)</f>
        <v>0</v>
      </c>
      <c r="I103" s="63">
        <f>IFERROR(aurora_data!H1323,0)</f>
        <v>0</v>
      </c>
      <c r="J103" s="36">
        <f>IFERROR(aurora_data!I1323,0)</f>
        <v>0</v>
      </c>
      <c r="K103" s="62">
        <f>IFERROR(aurora_data!J1323,0)</f>
        <v>0</v>
      </c>
      <c r="L103" s="62">
        <f>IFERROR(aurora_data!K1323,0)</f>
        <v>0</v>
      </c>
      <c r="M103" s="62">
        <f>IFERROR(aurora_data!L1323,0)</f>
        <v>0</v>
      </c>
      <c r="N103" s="63">
        <f>IFERROR(aurora_data!M1323,0)</f>
        <v>0</v>
      </c>
      <c r="O103" s="36">
        <f>IFERROR(aurora_data!N1323,0)</f>
        <v>0</v>
      </c>
      <c r="P103" s="62">
        <f>IFERROR(aurora_data!O1323,0)</f>
        <v>0</v>
      </c>
      <c r="Q103" s="62">
        <f>IFERROR(aurora_data!P1323,0)</f>
        <v>0</v>
      </c>
      <c r="R103" s="63">
        <f>IFERROR(aurora_data!Q1323,0)</f>
        <v>0</v>
      </c>
      <c r="S103" s="62">
        <f>IFERROR(aurora_data!R1323,0)</f>
        <v>0</v>
      </c>
      <c r="T103" s="62">
        <f>IFERROR(aurora_data!S1323,0)</f>
        <v>0</v>
      </c>
      <c r="U103" s="63">
        <f>IFERROR(aurora_data!T1323,0)</f>
        <v>0</v>
      </c>
      <c r="V103" s="64" t="s">
        <v>95</v>
      </c>
      <c r="W103" s="36">
        <f>IFERROR(aurora_data!U1323,0)</f>
        <v>0</v>
      </c>
      <c r="X103" s="71">
        <f t="shared" si="11"/>
        <v>0</v>
      </c>
      <c r="Y103" s="2"/>
    </row>
    <row r="104" spans="1:25" customFormat="1" ht="16.5" customHeight="1">
      <c r="A104" s="2"/>
      <c r="B104" s="207"/>
      <c r="C104" s="209"/>
      <c r="D104" s="35" t="s">
        <v>98</v>
      </c>
      <c r="E104" s="36">
        <f>IFERROR(aurora_data!D1324,0)</f>
        <v>0</v>
      </c>
      <c r="F104" s="62">
        <f>IFERROR(aurora_data!E1324,0)</f>
        <v>0</v>
      </c>
      <c r="G104" s="62">
        <f>IFERROR(aurora_data!F1324,0)</f>
        <v>0</v>
      </c>
      <c r="H104" s="62">
        <f>IFERROR(aurora_data!G1324,0)</f>
        <v>0</v>
      </c>
      <c r="I104" s="63">
        <f>IFERROR(aurora_data!H1324,0)</f>
        <v>0</v>
      </c>
      <c r="J104" s="36">
        <f>IFERROR(aurora_data!I1324,0)</f>
        <v>0</v>
      </c>
      <c r="K104" s="62">
        <f>IFERROR(aurora_data!J1324,0)</f>
        <v>0</v>
      </c>
      <c r="L104" s="62">
        <f>IFERROR(aurora_data!K1324,0)</f>
        <v>0</v>
      </c>
      <c r="M104" s="62">
        <f>IFERROR(aurora_data!L1324,0)</f>
        <v>0</v>
      </c>
      <c r="N104" s="63">
        <f>IFERROR(aurora_data!M1324,0)</f>
        <v>0</v>
      </c>
      <c r="O104" s="36">
        <f>IFERROR(aurora_data!N1324,0)</f>
        <v>0</v>
      </c>
      <c r="P104" s="62">
        <f>IFERROR(aurora_data!O1324,0)</f>
        <v>0</v>
      </c>
      <c r="Q104" s="62">
        <f>IFERROR(aurora_data!P1324,0)</f>
        <v>0</v>
      </c>
      <c r="R104" s="63">
        <f>IFERROR(aurora_data!Q1324,0)</f>
        <v>0</v>
      </c>
      <c r="S104" s="62">
        <f>IFERROR(aurora_data!R1324,0)</f>
        <v>0</v>
      </c>
      <c r="T104" s="62">
        <f>IFERROR(aurora_data!S1324,0)</f>
        <v>0</v>
      </c>
      <c r="U104" s="63">
        <f>IFERROR(aurora_data!T1324,0)</f>
        <v>0</v>
      </c>
      <c r="V104" s="64" t="s">
        <v>95</v>
      </c>
      <c r="W104" s="36">
        <f>IFERROR(aurora_data!U1324,0)</f>
        <v>0</v>
      </c>
      <c r="X104" s="71">
        <f t="shared" si="11"/>
        <v>0</v>
      </c>
      <c r="Y104" s="2"/>
    </row>
    <row r="105" spans="1:25" customFormat="1" ht="16.5" customHeight="1" thickBot="1">
      <c r="A105" s="2"/>
      <c r="B105" s="207"/>
      <c r="C105" s="209"/>
      <c r="D105" s="35" t="s">
        <v>99</v>
      </c>
      <c r="E105" s="36">
        <f>IFERROR(aurora_data!D1325,0)</f>
        <v>0</v>
      </c>
      <c r="F105" s="62">
        <f>IFERROR(aurora_data!E1325,0)</f>
        <v>0</v>
      </c>
      <c r="G105" s="62">
        <f>IFERROR(aurora_data!F1325,0)</f>
        <v>0</v>
      </c>
      <c r="H105" s="62">
        <f>IFERROR(aurora_data!G1325,0)</f>
        <v>0</v>
      </c>
      <c r="I105" s="63">
        <f>IFERROR(aurora_data!H1325,0)</f>
        <v>0</v>
      </c>
      <c r="J105" s="36">
        <f>IFERROR(aurora_data!I1325,0)</f>
        <v>0</v>
      </c>
      <c r="K105" s="62">
        <f>IFERROR(aurora_data!J1325,0)</f>
        <v>0</v>
      </c>
      <c r="L105" s="62">
        <f>IFERROR(aurora_data!K1325,0)</f>
        <v>0</v>
      </c>
      <c r="M105" s="62">
        <f>IFERROR(aurora_data!L1325,0)</f>
        <v>0</v>
      </c>
      <c r="N105" s="63">
        <f>IFERROR(aurora_data!M1325,0)</f>
        <v>0</v>
      </c>
      <c r="O105" s="36">
        <f>IFERROR(aurora_data!N1325,0)</f>
        <v>0</v>
      </c>
      <c r="P105" s="62">
        <f>IFERROR(aurora_data!O1325,0)</f>
        <v>0</v>
      </c>
      <c r="Q105" s="62">
        <f>IFERROR(aurora_data!P1325,0)</f>
        <v>0</v>
      </c>
      <c r="R105" s="63">
        <f>IFERROR(aurora_data!Q1325,0)</f>
        <v>0</v>
      </c>
      <c r="S105" s="62">
        <f>IFERROR(aurora_data!R1325,0)</f>
        <v>0</v>
      </c>
      <c r="T105" s="62">
        <f>IFERROR(aurora_data!S1325,0)</f>
        <v>0</v>
      </c>
      <c r="U105" s="63">
        <f>IFERROR(aurora_data!T1325,0)</f>
        <v>0</v>
      </c>
      <c r="V105" s="64" t="s">
        <v>95</v>
      </c>
      <c r="W105" s="36">
        <f>IFERROR(aurora_data!U1325,0)</f>
        <v>0</v>
      </c>
      <c r="X105" s="71">
        <f t="shared" si="11"/>
        <v>0</v>
      </c>
      <c r="Y105" s="2"/>
    </row>
    <row r="106" spans="1:25" customFormat="1" ht="16.5" customHeight="1" thickBot="1">
      <c r="A106" s="2"/>
      <c r="B106" s="207"/>
      <c r="C106" s="209"/>
      <c r="D106" s="37" t="s">
        <v>64</v>
      </c>
      <c r="E106" s="59">
        <f>IFERROR(aurora_data!D1326,0)</f>
        <v>0</v>
      </c>
      <c r="F106" s="65">
        <f>IFERROR(aurora_data!E1326,0)</f>
        <v>0</v>
      </c>
      <c r="G106" s="65">
        <f>IFERROR(aurora_data!F1326,0)</f>
        <v>0</v>
      </c>
      <c r="H106" s="65">
        <f>IFERROR(aurora_data!G1326,0)</f>
        <v>0</v>
      </c>
      <c r="I106" s="66">
        <f>IFERROR(aurora_data!H1326,0)</f>
        <v>0</v>
      </c>
      <c r="J106" s="59">
        <f>IFERROR(aurora_data!I1326,0)</f>
        <v>0</v>
      </c>
      <c r="K106" s="65">
        <f>IFERROR(aurora_data!J1326,0)</f>
        <v>0</v>
      </c>
      <c r="L106" s="65">
        <f>IFERROR(aurora_data!K1326,0)</f>
        <v>0</v>
      </c>
      <c r="M106" s="65">
        <f>IFERROR(aurora_data!L1326,0)</f>
        <v>0</v>
      </c>
      <c r="N106" s="66">
        <f>IFERROR(aurora_data!M1326,0)</f>
        <v>0</v>
      </c>
      <c r="O106" s="59">
        <f>IFERROR(aurora_data!N1326,0)</f>
        <v>0</v>
      </c>
      <c r="P106" s="65">
        <f>IFERROR(aurora_data!O1326,0)</f>
        <v>0</v>
      </c>
      <c r="Q106" s="65">
        <f>IFERROR(aurora_data!P1326,0)</f>
        <v>0</v>
      </c>
      <c r="R106" s="66">
        <f>IFERROR(aurora_data!Q1326,0)</f>
        <v>0</v>
      </c>
      <c r="S106" s="65">
        <f>IFERROR(aurora_data!R1326,0)</f>
        <v>0</v>
      </c>
      <c r="T106" s="65">
        <f>IFERROR(aurora_data!S1326,0)</f>
        <v>0</v>
      </c>
      <c r="U106" s="66">
        <f>IFERROR(aurora_data!T1326,0)</f>
        <v>0</v>
      </c>
      <c r="V106" s="67" t="s">
        <v>95</v>
      </c>
      <c r="W106" s="59">
        <f>IFERROR(aurora_data!U1326,0)</f>
        <v>0</v>
      </c>
      <c r="X106" s="72">
        <f t="shared" si="11"/>
        <v>0</v>
      </c>
      <c r="Y106" s="2"/>
    </row>
    <row r="107" spans="1:25" customFormat="1" ht="16.5" customHeight="1" thickBot="1">
      <c r="A107" s="2"/>
      <c r="B107" s="207"/>
      <c r="C107" s="209"/>
      <c r="D107" s="38" t="s">
        <v>100</v>
      </c>
      <c r="E107" s="60">
        <f>IFERROR(aurora_data!D1327,0)</f>
        <v>0</v>
      </c>
      <c r="F107" s="68">
        <f>IFERROR(aurora_data!E1327,0)</f>
        <v>0</v>
      </c>
      <c r="G107" s="68">
        <f>IFERROR(aurora_data!F1327,0)</f>
        <v>0</v>
      </c>
      <c r="H107" s="68">
        <f>IFERROR(aurora_data!G1327,0)</f>
        <v>0</v>
      </c>
      <c r="I107" s="69">
        <f>IFERROR(aurora_data!H1327,0)</f>
        <v>0</v>
      </c>
      <c r="J107" s="60">
        <f>IFERROR(aurora_data!I1327,0)</f>
        <v>0</v>
      </c>
      <c r="K107" s="68">
        <f>IFERROR(aurora_data!J1327,0)</f>
        <v>0</v>
      </c>
      <c r="L107" s="68">
        <f>IFERROR(aurora_data!K1327,0)</f>
        <v>0</v>
      </c>
      <c r="M107" s="68">
        <f>IFERROR(aurora_data!L1327,0)</f>
        <v>0</v>
      </c>
      <c r="N107" s="69">
        <f>IFERROR(aurora_data!M1327,0)</f>
        <v>0</v>
      </c>
      <c r="O107" s="60">
        <f>IFERROR(aurora_data!N1327,0)</f>
        <v>0</v>
      </c>
      <c r="P107" s="68">
        <f>IFERROR(aurora_data!O1327,0)</f>
        <v>0</v>
      </c>
      <c r="Q107" s="68">
        <f>IFERROR(aurora_data!P1327,0)</f>
        <v>0</v>
      </c>
      <c r="R107" s="69">
        <f>IFERROR(aurora_data!Q1327,0)</f>
        <v>0</v>
      </c>
      <c r="S107" s="68">
        <f>IFERROR(aurora_data!R1327,0)</f>
        <v>0</v>
      </c>
      <c r="T107" s="68">
        <f>IFERROR(aurora_data!S1327,0)</f>
        <v>0</v>
      </c>
      <c r="U107" s="74">
        <f>IFERROR(aurora_data!T1327,0)</f>
        <v>0</v>
      </c>
      <c r="V107" s="75" t="s">
        <v>95</v>
      </c>
      <c r="W107" s="60">
        <f>IFERROR(aurora_data!U1327,0)</f>
        <v>0</v>
      </c>
      <c r="X107" s="73">
        <f t="shared" si="11"/>
        <v>0</v>
      </c>
      <c r="Y107" s="2"/>
    </row>
    <row r="108" spans="1:25" ht="16.5" customHeight="1">
      <c r="B108" s="97"/>
      <c r="C108" s="97"/>
    </row>
  </sheetData>
  <mergeCells count="46">
    <mergeCell ref="B68:B75"/>
    <mergeCell ref="C68:C75"/>
    <mergeCell ref="B100:B107"/>
    <mergeCell ref="C100:C107"/>
    <mergeCell ref="B76:B83"/>
    <mergeCell ref="C76:C83"/>
    <mergeCell ref="B84:B91"/>
    <mergeCell ref="C84:C91"/>
    <mergeCell ref="B92:B99"/>
    <mergeCell ref="C92:C99"/>
    <mergeCell ref="B44:B51"/>
    <mergeCell ref="C44:C51"/>
    <mergeCell ref="B52:B59"/>
    <mergeCell ref="C52:C59"/>
    <mergeCell ref="B60:B67"/>
    <mergeCell ref="C60:C67"/>
    <mergeCell ref="C12:C19"/>
    <mergeCell ref="B28:B35"/>
    <mergeCell ref="C28:C35"/>
    <mergeCell ref="B36:B43"/>
    <mergeCell ref="C36:C43"/>
    <mergeCell ref="B20:B27"/>
    <mergeCell ref="C20:C27"/>
    <mergeCell ref="B12:B19"/>
    <mergeCell ref="B8:D8"/>
    <mergeCell ref="E8:U8"/>
    <mergeCell ref="W8:X11"/>
    <mergeCell ref="B9:C9"/>
    <mergeCell ref="E9:I9"/>
    <mergeCell ref="J9:N9"/>
    <mergeCell ref="O9:R9"/>
    <mergeCell ref="S9:U9"/>
    <mergeCell ref="B10:B11"/>
    <mergeCell ref="E10:I10"/>
    <mergeCell ref="J10:N10"/>
    <mergeCell ref="O10:R10"/>
    <mergeCell ref="S10:U10"/>
    <mergeCell ref="A1:C1"/>
    <mergeCell ref="D1:H1"/>
    <mergeCell ref="A2:C2"/>
    <mergeCell ref="D2:H2"/>
    <mergeCell ref="K2:X6"/>
    <mergeCell ref="D3:E3"/>
    <mergeCell ref="F3:H3"/>
    <mergeCell ref="D5:G5"/>
    <mergeCell ref="D6:H6"/>
  </mergeCells>
  <conditionalFormatting sqref="E13:W13">
    <cfRule type="expression" dxfId="175" priority="22">
      <formula>ROUND(E$13,0) &gt;= ROUND(E$12,0)</formula>
    </cfRule>
  </conditionalFormatting>
  <conditionalFormatting sqref="E18:W18">
    <cfRule type="expression" dxfId="174" priority="23">
      <formula>ROUND(E$18,0) &lt; ROUND(E$12,0)</formula>
    </cfRule>
  </conditionalFormatting>
  <conditionalFormatting sqref="E21:W21">
    <cfRule type="expression" dxfId="173" priority="19">
      <formula>ROUND(E$13,0) &gt;= ROUND(E$12,0)</formula>
    </cfRule>
  </conditionalFormatting>
  <conditionalFormatting sqref="E26:W26">
    <cfRule type="expression" dxfId="172" priority="20">
      <formula>ROUND(E$18,0) &lt; ROUND(E$12,0)</formula>
    </cfRule>
  </conditionalFormatting>
  <conditionalFormatting sqref="E29:W29">
    <cfRule type="expression" dxfId="171" priority="17">
      <formula>ROUND(E$13,0) &gt;= ROUND(E$12,0)</formula>
    </cfRule>
  </conditionalFormatting>
  <conditionalFormatting sqref="E34:W34">
    <cfRule type="expression" dxfId="170" priority="18">
      <formula>ROUND(E$18,0) &lt; ROUND(E$12,0)</formula>
    </cfRule>
  </conditionalFormatting>
  <conditionalFormatting sqref="E37:W37">
    <cfRule type="expression" dxfId="169" priority="15">
      <formula>ROUND(E$13,0) &gt;= ROUND(E$12,0)</formula>
    </cfRule>
  </conditionalFormatting>
  <conditionalFormatting sqref="E42:W42">
    <cfRule type="expression" dxfId="168" priority="16">
      <formula>ROUND(E$18,0) &lt; ROUND(E$12,0)</formula>
    </cfRule>
  </conditionalFormatting>
  <conditionalFormatting sqref="E45:W45">
    <cfRule type="expression" dxfId="167" priority="13">
      <formula>ROUND(E$13,0) &gt;= ROUND(E$12,0)</formula>
    </cfRule>
  </conditionalFormatting>
  <conditionalFormatting sqref="E50:W50">
    <cfRule type="expression" dxfId="166" priority="14">
      <formula>ROUND(E$18,0) &lt; ROUND(E$12,0)</formula>
    </cfRule>
  </conditionalFormatting>
  <conditionalFormatting sqref="E53:W53">
    <cfRule type="expression" dxfId="165" priority="11">
      <formula>ROUND(E$13,0) &gt;= ROUND(E$12,0)</formula>
    </cfRule>
  </conditionalFormatting>
  <conditionalFormatting sqref="E58:W58">
    <cfRule type="expression" dxfId="164" priority="12">
      <formula>ROUND(E$18,0) &lt; ROUND(E$12,0)</formula>
    </cfRule>
  </conditionalFormatting>
  <conditionalFormatting sqref="E61:W61">
    <cfRule type="expression" dxfId="163" priority="9">
      <formula>ROUND(E$13,0) &gt;= ROUND(E$12,0)</formula>
    </cfRule>
  </conditionalFormatting>
  <conditionalFormatting sqref="E66:W66">
    <cfRule type="expression" dxfId="162" priority="10">
      <formula>ROUND(E$18,0) &lt; ROUND(E$12,0)</formula>
    </cfRule>
  </conditionalFormatting>
  <conditionalFormatting sqref="E69:W69">
    <cfRule type="expression" dxfId="161" priority="7">
      <formula>ROUND(E$13,0) &gt;= ROUND(E$12,0)</formula>
    </cfRule>
  </conditionalFormatting>
  <conditionalFormatting sqref="E74:W74">
    <cfRule type="expression" dxfId="160" priority="8">
      <formula>ROUND(E$18,0) &lt; ROUND(E$12,0)</formula>
    </cfRule>
  </conditionalFormatting>
  <conditionalFormatting sqref="E77:W77">
    <cfRule type="expression" dxfId="159" priority="5">
      <formula>ROUND(E$13,0) &gt;= ROUND(E$12,0)</formula>
    </cfRule>
  </conditionalFormatting>
  <conditionalFormatting sqref="E82:W82">
    <cfRule type="expression" dxfId="158" priority="6">
      <formula>ROUND(E$18,0) &lt; ROUND(E$12,0)</formula>
    </cfRule>
  </conditionalFormatting>
  <conditionalFormatting sqref="E85:W85">
    <cfRule type="expression" dxfId="157" priority="3">
      <formula>ROUND(E$13,0) &gt;= ROUND(E$12,0)</formula>
    </cfRule>
  </conditionalFormatting>
  <conditionalFormatting sqref="E90:W90">
    <cfRule type="expression" dxfId="156" priority="4">
      <formula>ROUND(E$18,0) &lt; ROUND(E$12,0)</formula>
    </cfRule>
  </conditionalFormatting>
  <conditionalFormatting sqref="E93:W93">
    <cfRule type="expression" dxfId="155" priority="1">
      <formula>ROUND(E$13,0) &gt;= ROUND(E$12,0)</formula>
    </cfRule>
  </conditionalFormatting>
  <conditionalFormatting sqref="E98:W98">
    <cfRule type="expression" dxfId="154" priority="2">
      <formula>ROUND(E$18,0) &lt; ROUND(E$12,0)</formula>
    </cfRule>
  </conditionalFormatting>
  <conditionalFormatting sqref="E101:W101">
    <cfRule type="expression" dxfId="153" priority="21">
      <formula>ROUND(E$101,0) &gt;= ROUND(E$100,0)</formula>
    </cfRule>
  </conditionalFormatting>
  <conditionalFormatting sqref="E106:W106">
    <cfRule type="expression" dxfId="152" priority="24">
      <formula>ROUND(E$106,0) &lt; ROUND(E$100,0)</formula>
    </cfRule>
  </conditionalFormatting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87A8F4-D670-4E90-9DBC-DE56073B0CC4}">
  <sheetPr>
    <tabColor theme="7" tint="-0.249977111117893"/>
  </sheetPr>
  <dimension ref="A1:Y108"/>
  <sheetViews>
    <sheetView zoomScale="85" zoomScaleNormal="85" workbookViewId="0">
      <selection sqref="A1:C1"/>
    </sheetView>
  </sheetViews>
  <sheetFormatPr defaultColWidth="2.625" defaultRowHeight="15.75"/>
  <cols>
    <col min="1" max="1" width="1.375" style="2" customWidth="1"/>
    <col min="2" max="2" width="10.875" style="2" customWidth="1"/>
    <col min="3" max="3" width="15.625" style="2" customWidth="1"/>
    <col min="4" max="4" width="22.625" style="4" customWidth="1"/>
    <col min="5" max="8" width="7.625" style="4" customWidth="1"/>
    <col min="9" max="9" width="6.625" style="4" hidden="1" customWidth="1"/>
    <col min="10" max="21" width="7.625" style="4" customWidth="1"/>
    <col min="22" max="22" width="0.625" style="2" customWidth="1"/>
    <col min="23" max="24" width="5.875" style="2" customWidth="1"/>
    <col min="25" max="25" width="12.5" style="2" customWidth="1"/>
    <col min="26" max="26" width="2.625" style="2" customWidth="1"/>
    <col min="27" max="64" width="7.625" style="2" customWidth="1"/>
    <col min="65" max="16323" width="2.625" style="2"/>
    <col min="16324" max="16324" width="1.375" style="2" customWidth="1"/>
    <col min="16325" max="16325" width="2.625" style="2" customWidth="1"/>
    <col min="16326" max="16326" width="3.5" style="2" customWidth="1"/>
    <col min="16327" max="16327" width="1" style="2" customWidth="1"/>
    <col min="16328" max="16328" width="0.875" style="2" customWidth="1"/>
    <col min="16329" max="16329" width="2.375" style="2" customWidth="1"/>
    <col min="16330" max="16384" width="20.375" style="2" customWidth="1"/>
  </cols>
  <sheetData>
    <row r="1" spans="1:25" customFormat="1" ht="25.5" customHeight="1">
      <c r="A1" s="151" t="s">
        <v>77</v>
      </c>
      <c r="B1" s="152"/>
      <c r="C1" s="153"/>
      <c r="D1" s="154" t="s">
        <v>78</v>
      </c>
      <c r="E1" s="155"/>
      <c r="F1" s="155"/>
      <c r="G1" s="155"/>
      <c r="H1" s="156"/>
      <c r="I1" s="98"/>
      <c r="J1" s="88"/>
      <c r="K1" s="100"/>
      <c r="L1" s="100"/>
      <c r="M1" s="100"/>
      <c r="N1" s="100" t="s">
        <v>79</v>
      </c>
      <c r="O1" s="100"/>
      <c r="P1" s="100"/>
      <c r="Q1" s="100"/>
      <c r="R1" s="100"/>
      <c r="S1" s="100"/>
      <c r="T1" s="100"/>
      <c r="U1" s="100"/>
      <c r="V1" s="100"/>
      <c r="W1" s="100"/>
      <c r="X1" s="106"/>
      <c r="Y1" s="108"/>
    </row>
    <row r="2" spans="1:25" customFormat="1" ht="31.5" customHeight="1">
      <c r="A2" s="157" t="s">
        <v>80</v>
      </c>
      <c r="B2" s="157"/>
      <c r="C2" s="158"/>
      <c r="D2" s="217" t="str">
        <f>_xlfn.CONCAT("Study Name: ","
OSEP – Specific Learning Disability - Paper")</f>
        <v>Study Name: 
OSEP – Specific Learning Disability - Paper</v>
      </c>
      <c r="E2" s="218"/>
      <c r="F2" s="218"/>
      <c r="G2" s="218"/>
      <c r="H2" s="219"/>
      <c r="I2" s="4"/>
      <c r="J2" s="4"/>
      <c r="K2" s="162" t="s">
        <v>81</v>
      </c>
      <c r="L2" s="163"/>
      <c r="M2" s="163"/>
      <c r="N2" s="163"/>
      <c r="O2" s="163"/>
      <c r="P2" s="163"/>
      <c r="Q2" s="163"/>
      <c r="R2" s="163"/>
      <c r="S2" s="163"/>
      <c r="T2" s="163"/>
      <c r="U2" s="163"/>
      <c r="V2" s="163"/>
      <c r="W2" s="163"/>
      <c r="X2" s="164"/>
      <c r="Y2" s="103"/>
    </row>
    <row r="3" spans="1:25" customFormat="1" ht="30.75" customHeight="1" thickBot="1">
      <c r="A3" s="2"/>
      <c r="B3" s="2"/>
      <c r="C3" s="2"/>
      <c r="D3" s="169" t="str">
        <f>_xlfn.CONCAT("Study Acronym: ","
OSEP_SLD_P")</f>
        <v>Study Acronym: 
OSEP_SLD_P</v>
      </c>
      <c r="E3" s="170"/>
      <c r="F3" s="171" t="s">
        <v>273</v>
      </c>
      <c r="G3" s="172"/>
      <c r="H3" s="173"/>
      <c r="I3" s="4"/>
      <c r="J3" s="4"/>
      <c r="K3" s="165"/>
      <c r="L3" s="163"/>
      <c r="M3" s="163"/>
      <c r="N3" s="163"/>
      <c r="O3" s="163"/>
      <c r="P3" s="163"/>
      <c r="Q3" s="163"/>
      <c r="R3" s="163"/>
      <c r="S3" s="163"/>
      <c r="T3" s="163"/>
      <c r="U3" s="163"/>
      <c r="V3" s="163"/>
      <c r="W3" s="163"/>
      <c r="X3" s="164"/>
      <c r="Y3" s="103"/>
    </row>
    <row r="4" spans="1:25" customFormat="1" ht="16.5" customHeight="1">
      <c r="A4" s="2"/>
      <c r="B4" s="24"/>
      <c r="C4" s="2"/>
      <c r="D4" s="2"/>
      <c r="E4" s="25"/>
      <c r="F4" s="25"/>
      <c r="G4" s="25"/>
      <c r="H4" s="25"/>
      <c r="I4" s="25"/>
      <c r="J4" s="25"/>
      <c r="K4" s="165"/>
      <c r="L4" s="163"/>
      <c r="M4" s="163"/>
      <c r="N4" s="163"/>
      <c r="O4" s="163"/>
      <c r="P4" s="163"/>
      <c r="Q4" s="163"/>
      <c r="R4" s="163"/>
      <c r="S4" s="163"/>
      <c r="T4" s="163"/>
      <c r="U4" s="163"/>
      <c r="V4" s="163"/>
      <c r="W4" s="163"/>
      <c r="X4" s="164"/>
      <c r="Y4" s="104"/>
    </row>
    <row r="5" spans="1:25" customFormat="1" ht="21.95" customHeight="1" thickBot="1">
      <c r="A5" s="2"/>
      <c r="B5" s="2"/>
      <c r="C5" s="102"/>
      <c r="D5" s="154" t="s">
        <v>82</v>
      </c>
      <c r="E5" s="155"/>
      <c r="F5" s="155"/>
      <c r="G5" s="155"/>
      <c r="H5" s="101"/>
      <c r="I5" s="98"/>
      <c r="J5" s="98"/>
      <c r="K5" s="165"/>
      <c r="L5" s="163"/>
      <c r="M5" s="163"/>
      <c r="N5" s="163"/>
      <c r="O5" s="163"/>
      <c r="P5" s="163"/>
      <c r="Q5" s="163"/>
      <c r="R5" s="163"/>
      <c r="S5" s="163"/>
      <c r="T5" s="163"/>
      <c r="U5" s="163"/>
      <c r="V5" s="163"/>
      <c r="W5" s="163"/>
      <c r="X5" s="164"/>
      <c r="Y5" s="105"/>
    </row>
    <row r="6" spans="1:25" customFormat="1" ht="60.95" customHeight="1" thickBot="1">
      <c r="A6" s="2"/>
      <c r="B6" s="2"/>
      <c r="C6" s="99"/>
      <c r="D6" s="214" t="s">
        <v>101</v>
      </c>
      <c r="E6" s="215"/>
      <c r="F6" s="215"/>
      <c r="G6" s="215"/>
      <c r="H6" s="216"/>
      <c r="I6" s="124"/>
      <c r="J6" s="125"/>
      <c r="K6" s="166"/>
      <c r="L6" s="167"/>
      <c r="M6" s="167"/>
      <c r="N6" s="167"/>
      <c r="O6" s="167"/>
      <c r="P6" s="167"/>
      <c r="Q6" s="167"/>
      <c r="R6" s="167"/>
      <c r="S6" s="167"/>
      <c r="T6" s="167"/>
      <c r="U6" s="167"/>
      <c r="V6" s="167"/>
      <c r="W6" s="167"/>
      <c r="X6" s="168"/>
      <c r="Y6" s="107"/>
    </row>
    <row r="7" spans="1:25" customFormat="1" ht="16.5" customHeight="1" thickBot="1">
      <c r="A7" s="2"/>
      <c r="B7" s="3"/>
      <c r="C7" s="26"/>
      <c r="D7" s="27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8"/>
      <c r="W7" s="3"/>
      <c r="X7" s="3"/>
      <c r="Y7" s="2"/>
    </row>
    <row r="8" spans="1:25" customFormat="1">
      <c r="A8" s="2"/>
      <c r="B8" s="177" t="str">
        <f>_xlfn.CONCAT("Last Refreshed at: ",aurora_data!V1332)</f>
        <v>Last Refreshed at: 09/17/2026 @ 7:20 AM</v>
      </c>
      <c r="C8" s="178"/>
      <c r="D8" s="178"/>
      <c r="E8" s="179" t="s">
        <v>83</v>
      </c>
      <c r="F8" s="180"/>
      <c r="G8" s="180"/>
      <c r="H8" s="180"/>
      <c r="I8" s="180"/>
      <c r="J8" s="180"/>
      <c r="K8" s="180"/>
      <c r="L8" s="180"/>
      <c r="M8" s="180"/>
      <c r="N8" s="180"/>
      <c r="O8" s="180"/>
      <c r="P8" s="180"/>
      <c r="Q8" s="180"/>
      <c r="R8" s="180"/>
      <c r="S8" s="180"/>
      <c r="T8" s="180"/>
      <c r="U8" s="181"/>
      <c r="V8" s="44"/>
      <c r="W8" s="182" t="s">
        <v>84</v>
      </c>
      <c r="X8" s="183"/>
      <c r="Y8" s="2"/>
    </row>
    <row r="9" spans="1:25" customFormat="1" ht="16.5" customHeight="1" thickBot="1">
      <c r="A9" s="2"/>
      <c r="B9" s="188"/>
      <c r="C9" s="189"/>
      <c r="D9" s="29" t="s">
        <v>85</v>
      </c>
      <c r="E9" s="190" t="s">
        <v>86</v>
      </c>
      <c r="F9" s="191"/>
      <c r="G9" s="191"/>
      <c r="H9" s="191"/>
      <c r="I9" s="191"/>
      <c r="J9" s="192" t="s">
        <v>86</v>
      </c>
      <c r="K9" s="193"/>
      <c r="L9" s="193"/>
      <c r="M9" s="193"/>
      <c r="N9" s="193"/>
      <c r="O9" s="194" t="s">
        <v>86</v>
      </c>
      <c r="P9" s="195"/>
      <c r="Q9" s="195"/>
      <c r="R9" s="195"/>
      <c r="S9" s="196" t="s">
        <v>86</v>
      </c>
      <c r="T9" s="197"/>
      <c r="U9" s="197"/>
      <c r="V9" s="28"/>
      <c r="W9" s="184"/>
      <c r="X9" s="185"/>
      <c r="Y9" s="2"/>
    </row>
    <row r="10" spans="1:25" customFormat="1" ht="17.25" thickTop="1" thickBot="1">
      <c r="A10" s="2"/>
      <c r="B10" s="198" t="s">
        <v>87</v>
      </c>
      <c r="C10" s="30"/>
      <c r="D10" s="31"/>
      <c r="E10" s="199" t="s">
        <v>88</v>
      </c>
      <c r="F10" s="200"/>
      <c r="G10" s="200"/>
      <c r="H10" s="200"/>
      <c r="I10" s="201"/>
      <c r="J10" s="200" t="s">
        <v>89</v>
      </c>
      <c r="K10" s="200"/>
      <c r="L10" s="200"/>
      <c r="M10" s="200"/>
      <c r="N10" s="201"/>
      <c r="O10" s="202" t="s">
        <v>90</v>
      </c>
      <c r="P10" s="202"/>
      <c r="Q10" s="202"/>
      <c r="R10" s="202"/>
      <c r="S10" s="203" t="s">
        <v>91</v>
      </c>
      <c r="T10" s="204"/>
      <c r="U10" s="205"/>
      <c r="V10" s="32"/>
      <c r="W10" s="184"/>
      <c r="X10" s="185"/>
      <c r="Y10" s="2"/>
    </row>
    <row r="11" spans="1:25" customFormat="1" ht="17.25" thickTop="1" thickBot="1">
      <c r="A11" s="2"/>
      <c r="B11" s="198"/>
      <c r="C11" s="30" t="s">
        <v>35</v>
      </c>
      <c r="D11" s="33" t="s">
        <v>37</v>
      </c>
      <c r="E11" s="96">
        <v>1</v>
      </c>
      <c r="F11" s="94">
        <v>2</v>
      </c>
      <c r="G11" s="95" t="s">
        <v>40</v>
      </c>
      <c r="H11" s="95">
        <v>4</v>
      </c>
      <c r="I11" s="95">
        <v>5</v>
      </c>
      <c r="J11" s="89" t="s">
        <v>43</v>
      </c>
      <c r="K11" s="89" t="s">
        <v>44</v>
      </c>
      <c r="L11" s="89" t="s">
        <v>45</v>
      </c>
      <c r="M11" s="93" t="s">
        <v>92</v>
      </c>
      <c r="N11" s="93" t="s">
        <v>47</v>
      </c>
      <c r="O11" s="89" t="s">
        <v>48</v>
      </c>
      <c r="P11" s="89" t="s">
        <v>49</v>
      </c>
      <c r="Q11" s="89" t="s">
        <v>50</v>
      </c>
      <c r="R11" s="89" t="s">
        <v>51</v>
      </c>
      <c r="S11" s="90" t="s">
        <v>52</v>
      </c>
      <c r="T11" s="91" t="s">
        <v>53</v>
      </c>
      <c r="U11" s="92" t="s">
        <v>93</v>
      </c>
      <c r="V11" s="28"/>
      <c r="W11" s="186"/>
      <c r="X11" s="187"/>
      <c r="Y11" s="2"/>
    </row>
    <row r="12" spans="1:25" customFormat="1">
      <c r="A12" s="2"/>
      <c r="B12" s="210" t="s">
        <v>94</v>
      </c>
      <c r="C12" s="212" t="str">
        <f>aurora_data!A1332</f>
        <v>06.00.00-06.11.30</v>
      </c>
      <c r="D12" s="34" t="s">
        <v>71</v>
      </c>
      <c r="E12" s="39">
        <f>IFERROR(aurora_data!D1332,0)</f>
        <v>0</v>
      </c>
      <c r="F12" s="40">
        <f>IFERROR(aurora_data!E1332,0)</f>
        <v>0</v>
      </c>
      <c r="G12" s="40">
        <f>IFERROR(aurora_data!F1332,0)</f>
        <v>0</v>
      </c>
      <c r="H12" s="40">
        <f>IFERROR(aurora_data!G1332,0)</f>
        <v>0</v>
      </c>
      <c r="I12" s="41">
        <f>IFERROR(aurora_data!H1332,0)</f>
        <v>0</v>
      </c>
      <c r="J12" s="39">
        <f>IFERROR(aurora_data!I1332,0)</f>
        <v>0</v>
      </c>
      <c r="K12" s="40">
        <f>IFERROR(aurora_data!J1332,0)</f>
        <v>0</v>
      </c>
      <c r="L12" s="40">
        <f>IFERROR(aurora_data!K1332,0)</f>
        <v>0</v>
      </c>
      <c r="M12" s="40">
        <f>IFERROR(aurora_data!L1332,0)</f>
        <v>0</v>
      </c>
      <c r="N12" s="41">
        <f>IFERROR(aurora_data!M1332,0)</f>
        <v>0</v>
      </c>
      <c r="O12" s="39">
        <f>IFERROR(aurora_data!N1332,0)</f>
        <v>0</v>
      </c>
      <c r="P12" s="40">
        <f>IFERROR(aurora_data!O1332,0)</f>
        <v>0</v>
      </c>
      <c r="Q12" s="40">
        <f>IFERROR(aurora_data!P1332,0)</f>
        <v>0</v>
      </c>
      <c r="R12" s="41">
        <f>IFERROR(aurora_data!Q1332,0)</f>
        <v>0</v>
      </c>
      <c r="S12" s="40">
        <f>IFERROR(aurora_data!R1332,0)</f>
        <v>0</v>
      </c>
      <c r="T12" s="40">
        <f>IFERROR(aurora_data!S1332,0)</f>
        <v>0</v>
      </c>
      <c r="U12" s="76">
        <f>IFERROR(aurora_data!T1332,0)</f>
        <v>0</v>
      </c>
      <c r="V12" s="61" t="s">
        <v>95</v>
      </c>
      <c r="W12" s="39">
        <f>IFERROR(aurora_data!U1332,0)</f>
        <v>10</v>
      </c>
      <c r="X12" s="70">
        <f>IFERROR(W12/$W$12,0)</f>
        <v>1</v>
      </c>
      <c r="Y12" s="2"/>
    </row>
    <row r="13" spans="1:25" customFormat="1">
      <c r="A13" s="2"/>
      <c r="B13" s="211"/>
      <c r="C13" s="213"/>
      <c r="D13" s="35" t="s">
        <v>96</v>
      </c>
      <c r="E13" s="110">
        <f>IFERROR(aurora_data!D1333,0)</f>
        <v>0</v>
      </c>
      <c r="F13" s="62">
        <f>IFERROR(aurora_data!E1333,0)</f>
        <v>0</v>
      </c>
      <c r="G13" s="62">
        <f>IFERROR(aurora_data!F1333,0)</f>
        <v>0</v>
      </c>
      <c r="H13" s="62">
        <f>IFERROR(aurora_data!G1333,0)</f>
        <v>0</v>
      </c>
      <c r="I13" s="63">
        <f>IFERROR(aurora_data!H1333,0)</f>
        <v>0</v>
      </c>
      <c r="J13" s="36">
        <f>IFERROR(aurora_data!I1333,0)</f>
        <v>0</v>
      </c>
      <c r="K13" s="62">
        <f>IFERROR(aurora_data!J1333,0)</f>
        <v>0</v>
      </c>
      <c r="L13" s="62">
        <f>IFERROR(aurora_data!K1333,0)</f>
        <v>0</v>
      </c>
      <c r="M13" s="62">
        <f>IFERROR(aurora_data!L1333,0)</f>
        <v>0</v>
      </c>
      <c r="N13" s="63">
        <f>IFERROR(aurora_data!M1333,0)</f>
        <v>0</v>
      </c>
      <c r="O13" s="36">
        <f>IFERROR(aurora_data!N1333,0)</f>
        <v>0</v>
      </c>
      <c r="P13" s="62">
        <f>IFERROR(aurora_data!O1333,0)</f>
        <v>0</v>
      </c>
      <c r="Q13" s="62">
        <f>IFERROR(aurora_data!P1333,0)</f>
        <v>0</v>
      </c>
      <c r="R13" s="63">
        <f>IFERROR(aurora_data!Q1333,0)</f>
        <v>0</v>
      </c>
      <c r="S13" s="62">
        <f>IFERROR(aurora_data!R1333,0)</f>
        <v>0</v>
      </c>
      <c r="T13" s="62">
        <f>IFERROR(aurora_data!S1333,0)</f>
        <v>0</v>
      </c>
      <c r="U13" s="63">
        <f>IFERROR(aurora_data!T1333,0)</f>
        <v>0</v>
      </c>
      <c r="V13" s="64" t="s">
        <v>95</v>
      </c>
      <c r="W13" s="36">
        <f>IFERROR(aurora_data!U1333,0)</f>
        <v>0</v>
      </c>
      <c r="X13" s="71">
        <f t="shared" ref="X13:X19" si="0">IFERROR(W13/$W$12,0)</f>
        <v>0</v>
      </c>
      <c r="Y13" s="2"/>
    </row>
    <row r="14" spans="1:25" customFormat="1">
      <c r="A14" s="2"/>
      <c r="B14" s="211"/>
      <c r="C14" s="213"/>
      <c r="D14" s="35" t="s">
        <v>60</v>
      </c>
      <c r="E14" s="110">
        <f>IFERROR(aurora_data!D1334,0)</f>
        <v>0</v>
      </c>
      <c r="F14" s="62">
        <f>IFERROR(aurora_data!E1334,0)</f>
        <v>0</v>
      </c>
      <c r="G14" s="62">
        <f>IFERROR(aurora_data!F1334,0)</f>
        <v>0</v>
      </c>
      <c r="H14" s="62">
        <f>IFERROR(aurora_data!G1334,0)</f>
        <v>0</v>
      </c>
      <c r="I14" s="63">
        <f>IFERROR(aurora_data!H1334,0)</f>
        <v>0</v>
      </c>
      <c r="J14" s="36">
        <f>IFERROR(aurora_data!I1334,0)</f>
        <v>0</v>
      </c>
      <c r="K14" s="62">
        <f>IFERROR(aurora_data!J1334,0)</f>
        <v>0</v>
      </c>
      <c r="L14" s="62">
        <f>IFERROR(aurora_data!K1334,0)</f>
        <v>0</v>
      </c>
      <c r="M14" s="62">
        <f>IFERROR(aurora_data!L1334,0)</f>
        <v>0</v>
      </c>
      <c r="N14" s="63">
        <f>IFERROR(aurora_data!M1334,0)</f>
        <v>0</v>
      </c>
      <c r="O14" s="36">
        <f>IFERROR(aurora_data!N1334,0)</f>
        <v>0</v>
      </c>
      <c r="P14" s="62">
        <f>IFERROR(aurora_data!O1334,0)</f>
        <v>0</v>
      </c>
      <c r="Q14" s="62">
        <f>IFERROR(aurora_data!P1334,0)</f>
        <v>0</v>
      </c>
      <c r="R14" s="63">
        <f>IFERROR(aurora_data!Q1334,0)</f>
        <v>0</v>
      </c>
      <c r="S14" s="62">
        <f>IFERROR(aurora_data!R1334,0)</f>
        <v>0</v>
      </c>
      <c r="T14" s="62">
        <f>IFERROR(aurora_data!S1334,0)</f>
        <v>0</v>
      </c>
      <c r="U14" s="63">
        <f>IFERROR(aurora_data!T1334,0)</f>
        <v>0</v>
      </c>
      <c r="V14" s="64" t="s">
        <v>95</v>
      </c>
      <c r="W14" s="36">
        <f>IFERROR(aurora_data!U1334,0)</f>
        <v>0</v>
      </c>
      <c r="X14" s="71">
        <f t="shared" si="0"/>
        <v>0</v>
      </c>
      <c r="Y14" s="2"/>
    </row>
    <row r="15" spans="1:25" customFormat="1">
      <c r="A15" s="2"/>
      <c r="B15" s="211"/>
      <c r="C15" s="213"/>
      <c r="D15" s="35" t="s">
        <v>97</v>
      </c>
      <c r="E15" s="36">
        <f>IFERROR(aurora_data!D1335,0)</f>
        <v>0</v>
      </c>
      <c r="F15" s="62">
        <f>IFERROR(aurora_data!E1335,0)</f>
        <v>0</v>
      </c>
      <c r="G15" s="62">
        <f>IFERROR(aurora_data!F1335,0)</f>
        <v>0</v>
      </c>
      <c r="H15" s="62">
        <f>IFERROR(aurora_data!G1335,0)</f>
        <v>0</v>
      </c>
      <c r="I15" s="63">
        <f>IFERROR(aurora_data!H1335,0)</f>
        <v>0</v>
      </c>
      <c r="J15" s="36">
        <f>IFERROR(aurora_data!I1335,0)</f>
        <v>0</v>
      </c>
      <c r="K15" s="62">
        <f>IFERROR(aurora_data!J1335,0)</f>
        <v>0</v>
      </c>
      <c r="L15" s="62">
        <f>IFERROR(aurora_data!K1335,0)</f>
        <v>0</v>
      </c>
      <c r="M15" s="62">
        <f>IFERROR(aurora_data!L1335,0)</f>
        <v>0</v>
      </c>
      <c r="N15" s="63">
        <f>IFERROR(aurora_data!M1335,0)</f>
        <v>0</v>
      </c>
      <c r="O15" s="36">
        <f>IFERROR(aurora_data!N1335,0)</f>
        <v>0</v>
      </c>
      <c r="P15" s="62">
        <f>IFERROR(aurora_data!O1335,0)</f>
        <v>0</v>
      </c>
      <c r="Q15" s="62">
        <f>IFERROR(aurora_data!P1335,0)</f>
        <v>0</v>
      </c>
      <c r="R15" s="63">
        <f>IFERROR(aurora_data!Q1335,0)</f>
        <v>0</v>
      </c>
      <c r="S15" s="62">
        <f>IFERROR(aurora_data!R1335,0)</f>
        <v>0</v>
      </c>
      <c r="T15" s="62">
        <f>IFERROR(aurora_data!S1335,0)</f>
        <v>0</v>
      </c>
      <c r="U15" s="63">
        <f>IFERROR(aurora_data!T1335,0)</f>
        <v>0</v>
      </c>
      <c r="V15" s="64" t="s">
        <v>95</v>
      </c>
      <c r="W15" s="36">
        <f>IFERROR(aurora_data!U1335,0)</f>
        <v>0</v>
      </c>
      <c r="X15" s="71">
        <f t="shared" si="0"/>
        <v>0</v>
      </c>
      <c r="Y15" s="2"/>
    </row>
    <row r="16" spans="1:25" customFormat="1">
      <c r="A16" s="2"/>
      <c r="B16" s="211"/>
      <c r="C16" s="213"/>
      <c r="D16" s="35" t="s">
        <v>98</v>
      </c>
      <c r="E16" s="36">
        <f>IFERROR(aurora_data!D1336,0)</f>
        <v>0</v>
      </c>
      <c r="F16" s="62">
        <f>IFERROR(aurora_data!E1336,0)</f>
        <v>0</v>
      </c>
      <c r="G16" s="62">
        <f>IFERROR(aurora_data!F1336,0)</f>
        <v>0</v>
      </c>
      <c r="H16" s="62">
        <f>IFERROR(aurora_data!G1336,0)</f>
        <v>0</v>
      </c>
      <c r="I16" s="63">
        <f>IFERROR(aurora_data!H1336,0)</f>
        <v>0</v>
      </c>
      <c r="J16" s="36">
        <f>IFERROR(aurora_data!I1336,0)</f>
        <v>0</v>
      </c>
      <c r="K16" s="62">
        <f>IFERROR(aurora_data!J1336,0)</f>
        <v>0</v>
      </c>
      <c r="L16" s="62">
        <f>IFERROR(aurora_data!K1336,0)</f>
        <v>0</v>
      </c>
      <c r="M16" s="62">
        <f>IFERROR(aurora_data!L1336,0)</f>
        <v>0</v>
      </c>
      <c r="N16" s="63">
        <f>IFERROR(aurora_data!M1336,0)</f>
        <v>0</v>
      </c>
      <c r="O16" s="36">
        <f>IFERROR(aurora_data!N1336,0)</f>
        <v>0</v>
      </c>
      <c r="P16" s="62">
        <f>IFERROR(aurora_data!O1336,0)</f>
        <v>0</v>
      </c>
      <c r="Q16" s="62">
        <f>IFERROR(aurora_data!P1336,0)</f>
        <v>0</v>
      </c>
      <c r="R16" s="63">
        <f>IFERROR(aurora_data!Q1336,0)</f>
        <v>0</v>
      </c>
      <c r="S16" s="62">
        <f>IFERROR(aurora_data!R1336,0)</f>
        <v>0</v>
      </c>
      <c r="T16" s="62">
        <f>IFERROR(aurora_data!S1336,0)</f>
        <v>0</v>
      </c>
      <c r="U16" s="63">
        <f>IFERROR(aurora_data!T1336,0)</f>
        <v>0</v>
      </c>
      <c r="V16" s="64" t="s">
        <v>95</v>
      </c>
      <c r="W16" s="36">
        <f>IFERROR(aurora_data!U1336,0)</f>
        <v>0</v>
      </c>
      <c r="X16" s="71">
        <f t="shared" si="0"/>
        <v>0</v>
      </c>
      <c r="Y16" s="2"/>
    </row>
    <row r="17" spans="1:25" customFormat="1" ht="16.5" thickBot="1">
      <c r="A17" s="2"/>
      <c r="B17" s="211"/>
      <c r="C17" s="213"/>
      <c r="D17" s="35" t="s">
        <v>99</v>
      </c>
      <c r="E17" s="36">
        <f>IFERROR(aurora_data!D1337,0)</f>
        <v>0</v>
      </c>
      <c r="F17" s="62">
        <f>IFERROR(aurora_data!E1337,0)</f>
        <v>0</v>
      </c>
      <c r="G17" s="62">
        <f>IFERROR(aurora_data!F1337,0)</f>
        <v>0</v>
      </c>
      <c r="H17" s="62">
        <f>IFERROR(aurora_data!G1337,0)</f>
        <v>0</v>
      </c>
      <c r="I17" s="63">
        <f>IFERROR(aurora_data!H1337,0)</f>
        <v>0</v>
      </c>
      <c r="J17" s="36">
        <f>IFERROR(aurora_data!I1337,0)</f>
        <v>0</v>
      </c>
      <c r="K17" s="62">
        <f>IFERROR(aurora_data!J1337,0)</f>
        <v>0</v>
      </c>
      <c r="L17" s="62">
        <f>IFERROR(aurora_data!K1337,0)</f>
        <v>0</v>
      </c>
      <c r="M17" s="62">
        <f>IFERROR(aurora_data!L1337,0)</f>
        <v>0</v>
      </c>
      <c r="N17" s="63">
        <f>IFERROR(aurora_data!M1337,0)</f>
        <v>0</v>
      </c>
      <c r="O17" s="36">
        <f>IFERROR(aurora_data!N1337,0)</f>
        <v>0</v>
      </c>
      <c r="P17" s="62">
        <f>IFERROR(aurora_data!O1337,0)</f>
        <v>0</v>
      </c>
      <c r="Q17" s="62">
        <f>IFERROR(aurora_data!P1337,0)</f>
        <v>0</v>
      </c>
      <c r="R17" s="63">
        <f>IFERROR(aurora_data!Q1337,0)</f>
        <v>0</v>
      </c>
      <c r="S17" s="62">
        <f>IFERROR(aurora_data!R1337,0)</f>
        <v>0</v>
      </c>
      <c r="T17" s="62">
        <f>IFERROR(aurora_data!S1337,0)</f>
        <v>0</v>
      </c>
      <c r="U17" s="63">
        <f>IFERROR(aurora_data!T1337,0)</f>
        <v>0</v>
      </c>
      <c r="V17" s="64" t="s">
        <v>95</v>
      </c>
      <c r="W17" s="36">
        <f>IFERROR(aurora_data!U1337,0)</f>
        <v>0</v>
      </c>
      <c r="X17" s="71">
        <f t="shared" si="0"/>
        <v>0</v>
      </c>
      <c r="Y17" s="2"/>
    </row>
    <row r="18" spans="1:25" customFormat="1" ht="16.5" thickBot="1">
      <c r="A18" s="2"/>
      <c r="B18" s="211"/>
      <c r="C18" s="213"/>
      <c r="D18" s="37" t="s">
        <v>64</v>
      </c>
      <c r="E18" s="59">
        <f>IFERROR(aurora_data!D1338,0)</f>
        <v>0</v>
      </c>
      <c r="F18" s="65">
        <f>IFERROR(aurora_data!E1338,0)</f>
        <v>0</v>
      </c>
      <c r="G18" s="65">
        <f>IFERROR(aurora_data!F1338,0)</f>
        <v>0</v>
      </c>
      <c r="H18" s="65">
        <f>IFERROR(aurora_data!G1338,0)</f>
        <v>0</v>
      </c>
      <c r="I18" s="66">
        <f>IFERROR(aurora_data!H1338,0)</f>
        <v>0</v>
      </c>
      <c r="J18" s="59">
        <f>IFERROR(aurora_data!I1338,0)</f>
        <v>0</v>
      </c>
      <c r="K18" s="65">
        <f>IFERROR(aurora_data!J1338,0)</f>
        <v>0</v>
      </c>
      <c r="L18" s="65">
        <f>IFERROR(aurora_data!K1338,0)</f>
        <v>0</v>
      </c>
      <c r="M18" s="65">
        <f>IFERROR(aurora_data!L1338,0)</f>
        <v>0</v>
      </c>
      <c r="N18" s="66">
        <f>IFERROR(aurora_data!M1338,0)</f>
        <v>0</v>
      </c>
      <c r="O18" s="59">
        <f>IFERROR(aurora_data!N1338,0)</f>
        <v>0</v>
      </c>
      <c r="P18" s="65">
        <f>IFERROR(aurora_data!O1338,0)</f>
        <v>0</v>
      </c>
      <c r="Q18" s="65">
        <f>IFERROR(aurora_data!P1338,0)</f>
        <v>0</v>
      </c>
      <c r="R18" s="66">
        <f>IFERROR(aurora_data!Q1338,0)</f>
        <v>0</v>
      </c>
      <c r="S18" s="65">
        <f>IFERROR(aurora_data!R1338,0)</f>
        <v>0</v>
      </c>
      <c r="T18" s="65">
        <f>IFERROR(aurora_data!S1338,0)</f>
        <v>0</v>
      </c>
      <c r="U18" s="66">
        <f>IFERROR(aurora_data!T1338,0)</f>
        <v>0</v>
      </c>
      <c r="V18" s="67" t="s">
        <v>95</v>
      </c>
      <c r="W18" s="59">
        <f>IFERROR(aurora_data!U1338,0)</f>
        <v>0</v>
      </c>
      <c r="X18" s="72">
        <f t="shared" si="0"/>
        <v>0</v>
      </c>
      <c r="Y18" s="2"/>
    </row>
    <row r="19" spans="1:25" customFormat="1" ht="16.5" thickBot="1">
      <c r="A19" s="2"/>
      <c r="B19" s="211"/>
      <c r="C19" s="213"/>
      <c r="D19" s="38" t="s">
        <v>100</v>
      </c>
      <c r="E19" s="60">
        <f>IFERROR(aurora_data!D1339,0)</f>
        <v>0</v>
      </c>
      <c r="F19" s="68">
        <f>IFERROR(aurora_data!E1339,0)</f>
        <v>0</v>
      </c>
      <c r="G19" s="68">
        <f>IFERROR(aurora_data!F1339,0)</f>
        <v>0</v>
      </c>
      <c r="H19" s="68">
        <f>IFERROR(aurora_data!G1339,0)</f>
        <v>0</v>
      </c>
      <c r="I19" s="69">
        <f>IFERROR(aurora_data!H1339,0)</f>
        <v>0</v>
      </c>
      <c r="J19" s="60">
        <f>IFERROR(aurora_data!I1339,0)</f>
        <v>0</v>
      </c>
      <c r="K19" s="68">
        <f>IFERROR(aurora_data!J1339,0)</f>
        <v>0</v>
      </c>
      <c r="L19" s="68">
        <f>IFERROR(aurora_data!K1339,0)</f>
        <v>0</v>
      </c>
      <c r="M19" s="68">
        <f>IFERROR(aurora_data!L1339,0)</f>
        <v>0</v>
      </c>
      <c r="N19" s="69">
        <f>IFERROR(aurora_data!M1339,0)</f>
        <v>0</v>
      </c>
      <c r="O19" s="60">
        <f>IFERROR(aurora_data!N1339,0)</f>
        <v>0</v>
      </c>
      <c r="P19" s="68">
        <f>IFERROR(aurora_data!O1339,0)</f>
        <v>0</v>
      </c>
      <c r="Q19" s="68">
        <f>IFERROR(aurora_data!P1339,0)</f>
        <v>0</v>
      </c>
      <c r="R19" s="69">
        <f>IFERROR(aurora_data!Q1339,0)</f>
        <v>0</v>
      </c>
      <c r="S19" s="68">
        <f>IFERROR(aurora_data!R1339,0)</f>
        <v>0</v>
      </c>
      <c r="T19" s="68">
        <f>IFERROR(aurora_data!S1339,0)</f>
        <v>0</v>
      </c>
      <c r="U19" s="74">
        <f>IFERROR(aurora_data!T1339,0)</f>
        <v>0</v>
      </c>
      <c r="V19" s="75" t="s">
        <v>95</v>
      </c>
      <c r="W19" s="60">
        <f>IFERROR(aurora_data!U1339,0)</f>
        <v>0</v>
      </c>
      <c r="X19" s="73">
        <f t="shared" si="0"/>
        <v>0</v>
      </c>
      <c r="Y19" s="2"/>
    </row>
    <row r="20" spans="1:25" customFormat="1">
      <c r="A20" s="2"/>
      <c r="B20" s="210" t="s">
        <v>94</v>
      </c>
      <c r="C20" s="212" t="str">
        <f>aurora_data!A1340</f>
        <v>07.00.00-07.11.30</v>
      </c>
      <c r="D20" s="34" t="s">
        <v>71</v>
      </c>
      <c r="E20" s="39">
        <f>IFERROR(aurora_data!D1340,0)</f>
        <v>0</v>
      </c>
      <c r="F20" s="40">
        <f>IFERROR(aurora_data!E1340,0)</f>
        <v>0</v>
      </c>
      <c r="G20" s="40">
        <f>IFERROR(aurora_data!F1340,0)</f>
        <v>0</v>
      </c>
      <c r="H20" s="40">
        <f>IFERROR(aurora_data!G1340,0)</f>
        <v>0</v>
      </c>
      <c r="I20" s="41">
        <f>IFERROR(aurora_data!H1340,0)</f>
        <v>0</v>
      </c>
      <c r="J20" s="39">
        <f>IFERROR(aurora_data!I1340,0)</f>
        <v>0</v>
      </c>
      <c r="K20" s="40">
        <f>IFERROR(aurora_data!J1340,0)</f>
        <v>0</v>
      </c>
      <c r="L20" s="40">
        <f>IFERROR(aurora_data!K1340,0)</f>
        <v>0</v>
      </c>
      <c r="M20" s="40">
        <f>IFERROR(aurora_data!L1340,0)</f>
        <v>0</v>
      </c>
      <c r="N20" s="41">
        <f>IFERROR(aurora_data!M1340,0)</f>
        <v>0</v>
      </c>
      <c r="O20" s="39">
        <f>IFERROR(aurora_data!N1340,0)</f>
        <v>0</v>
      </c>
      <c r="P20" s="40">
        <f>IFERROR(aurora_data!O1340,0)</f>
        <v>0</v>
      </c>
      <c r="Q20" s="40">
        <f>IFERROR(aurora_data!P1340,0)</f>
        <v>0</v>
      </c>
      <c r="R20" s="41">
        <f>IFERROR(aurora_data!Q1340,0)</f>
        <v>0</v>
      </c>
      <c r="S20" s="40">
        <f>IFERROR(aurora_data!R1340,0)</f>
        <v>0</v>
      </c>
      <c r="T20" s="40">
        <f>IFERROR(aurora_data!S1340,0)</f>
        <v>0</v>
      </c>
      <c r="U20" s="76">
        <f>IFERROR(aurora_data!T1340,0)</f>
        <v>0</v>
      </c>
      <c r="V20" s="61" t="s">
        <v>95</v>
      </c>
      <c r="W20" s="39">
        <f>IFERROR(aurora_data!U1340,0)</f>
        <v>9</v>
      </c>
      <c r="X20" s="70">
        <f>IFERROR(W20/$W$12,0)</f>
        <v>0.9</v>
      </c>
      <c r="Y20" s="2"/>
    </row>
    <row r="21" spans="1:25" customFormat="1">
      <c r="A21" s="2"/>
      <c r="B21" s="211"/>
      <c r="C21" s="213"/>
      <c r="D21" s="35" t="s">
        <v>96</v>
      </c>
      <c r="E21" s="110">
        <f>IFERROR(aurora_data!D1341,0)</f>
        <v>0</v>
      </c>
      <c r="F21" s="62">
        <f>IFERROR(aurora_data!E1341,0)</f>
        <v>0</v>
      </c>
      <c r="G21" s="62">
        <f>IFERROR(aurora_data!F1341,0)</f>
        <v>1</v>
      </c>
      <c r="H21" s="62">
        <f>IFERROR(aurora_data!G1341,0)</f>
        <v>0</v>
      </c>
      <c r="I21" s="63">
        <f>IFERROR(aurora_data!H1341,0)</f>
        <v>0</v>
      </c>
      <c r="J21" s="36">
        <f>IFERROR(aurora_data!I1341,0)</f>
        <v>0</v>
      </c>
      <c r="K21" s="62">
        <f>IFERROR(aurora_data!J1341,0)</f>
        <v>0</v>
      </c>
      <c r="L21" s="62">
        <f>IFERROR(aurora_data!K1341,0)</f>
        <v>0</v>
      </c>
      <c r="M21" s="62">
        <f>IFERROR(aurora_data!L1341,0)</f>
        <v>0</v>
      </c>
      <c r="N21" s="63">
        <f>IFERROR(aurora_data!M1341,0)</f>
        <v>1</v>
      </c>
      <c r="O21" s="36">
        <f>IFERROR(aurora_data!N1341,0)</f>
        <v>0</v>
      </c>
      <c r="P21" s="62">
        <f>IFERROR(aurora_data!O1341,0)</f>
        <v>0</v>
      </c>
      <c r="Q21" s="62">
        <f>IFERROR(aurora_data!P1341,0)</f>
        <v>0</v>
      </c>
      <c r="R21" s="63">
        <f>IFERROR(aurora_data!Q1341,0)</f>
        <v>1</v>
      </c>
      <c r="S21" s="62">
        <f>IFERROR(aurora_data!R1341,0)</f>
        <v>0</v>
      </c>
      <c r="T21" s="62">
        <f>IFERROR(aurora_data!S1341,0)</f>
        <v>1</v>
      </c>
      <c r="U21" s="63">
        <f>IFERROR(aurora_data!T1341,0)</f>
        <v>0</v>
      </c>
      <c r="V21" s="64" t="s">
        <v>95</v>
      </c>
      <c r="W21" s="36">
        <f>IFERROR(aurora_data!U1341,0)</f>
        <v>1</v>
      </c>
      <c r="X21" s="71">
        <f t="shared" ref="X21:X27" si="1">IFERROR(W21/$W$12,0)</f>
        <v>0.1</v>
      </c>
      <c r="Y21" s="2"/>
    </row>
    <row r="22" spans="1:25" customFormat="1">
      <c r="A22" s="2"/>
      <c r="B22" s="211"/>
      <c r="C22" s="213"/>
      <c r="D22" s="35" t="s">
        <v>60</v>
      </c>
      <c r="E22" s="110">
        <f>IFERROR(aurora_data!D1342,0)</f>
        <v>0</v>
      </c>
      <c r="F22" s="62">
        <f>IFERROR(aurora_data!E1342,0)</f>
        <v>0</v>
      </c>
      <c r="G22" s="62">
        <f>IFERROR(aurora_data!F1342,0)</f>
        <v>0</v>
      </c>
      <c r="H22" s="62">
        <f>IFERROR(aurora_data!G1342,0)</f>
        <v>0</v>
      </c>
      <c r="I22" s="63">
        <f>IFERROR(aurora_data!H1342,0)</f>
        <v>0</v>
      </c>
      <c r="J22" s="36">
        <f>IFERROR(aurora_data!I1342,0)</f>
        <v>0</v>
      </c>
      <c r="K22" s="62">
        <f>IFERROR(aurora_data!J1342,0)</f>
        <v>0</v>
      </c>
      <c r="L22" s="62">
        <f>IFERROR(aurora_data!K1342,0)</f>
        <v>0</v>
      </c>
      <c r="M22" s="62">
        <f>IFERROR(aurora_data!L1342,0)</f>
        <v>0</v>
      </c>
      <c r="N22" s="63">
        <f>IFERROR(aurora_data!M1342,0)</f>
        <v>0</v>
      </c>
      <c r="O22" s="36">
        <f>IFERROR(aurora_data!N1342,0)</f>
        <v>0</v>
      </c>
      <c r="P22" s="62">
        <f>IFERROR(aurora_data!O1342,0)</f>
        <v>0</v>
      </c>
      <c r="Q22" s="62">
        <f>IFERROR(aurora_data!P1342,0)</f>
        <v>0</v>
      </c>
      <c r="R22" s="63">
        <f>IFERROR(aurora_data!Q1342,0)</f>
        <v>0</v>
      </c>
      <c r="S22" s="62">
        <f>IFERROR(aurora_data!R1342,0)</f>
        <v>0</v>
      </c>
      <c r="T22" s="62">
        <f>IFERROR(aurora_data!S1342,0)</f>
        <v>0</v>
      </c>
      <c r="U22" s="63">
        <f>IFERROR(aurora_data!T1342,0)</f>
        <v>0</v>
      </c>
      <c r="V22" s="64" t="s">
        <v>95</v>
      </c>
      <c r="W22" s="36">
        <f>IFERROR(aurora_data!U1342,0)</f>
        <v>0</v>
      </c>
      <c r="X22" s="71">
        <f t="shared" si="1"/>
        <v>0</v>
      </c>
      <c r="Y22" s="2"/>
    </row>
    <row r="23" spans="1:25" customFormat="1">
      <c r="A23" s="2"/>
      <c r="B23" s="211"/>
      <c r="C23" s="213"/>
      <c r="D23" s="35" t="s">
        <v>97</v>
      </c>
      <c r="E23" s="36">
        <f>IFERROR(aurora_data!D1343,0)</f>
        <v>0</v>
      </c>
      <c r="F23" s="62">
        <f>IFERROR(aurora_data!E1343,0)</f>
        <v>0</v>
      </c>
      <c r="G23" s="62">
        <f>IFERROR(aurora_data!F1343,0)</f>
        <v>0</v>
      </c>
      <c r="H23" s="62">
        <f>IFERROR(aurora_data!G1343,0)</f>
        <v>0</v>
      </c>
      <c r="I23" s="63">
        <f>IFERROR(aurora_data!H1343,0)</f>
        <v>0</v>
      </c>
      <c r="J23" s="36">
        <f>IFERROR(aurora_data!I1343,0)</f>
        <v>0</v>
      </c>
      <c r="K23" s="62">
        <f>IFERROR(aurora_data!J1343,0)</f>
        <v>0</v>
      </c>
      <c r="L23" s="62">
        <f>IFERROR(aurora_data!K1343,0)</f>
        <v>0</v>
      </c>
      <c r="M23" s="62">
        <f>IFERROR(aurora_data!L1343,0)</f>
        <v>0</v>
      </c>
      <c r="N23" s="63">
        <f>IFERROR(aurora_data!M1343,0)</f>
        <v>0</v>
      </c>
      <c r="O23" s="36">
        <f>IFERROR(aurora_data!N1343,0)</f>
        <v>0</v>
      </c>
      <c r="P23" s="62">
        <f>IFERROR(aurora_data!O1343,0)</f>
        <v>0</v>
      </c>
      <c r="Q23" s="62">
        <f>IFERROR(aurora_data!P1343,0)</f>
        <v>0</v>
      </c>
      <c r="R23" s="63">
        <f>IFERROR(aurora_data!Q1343,0)</f>
        <v>0</v>
      </c>
      <c r="S23" s="62">
        <f>IFERROR(aurora_data!R1343,0)</f>
        <v>0</v>
      </c>
      <c r="T23" s="62">
        <f>IFERROR(aurora_data!S1343,0)</f>
        <v>0</v>
      </c>
      <c r="U23" s="63">
        <f>IFERROR(aurora_data!T1343,0)</f>
        <v>0</v>
      </c>
      <c r="V23" s="64" t="s">
        <v>95</v>
      </c>
      <c r="W23" s="36">
        <f>IFERROR(aurora_data!U1343,0)</f>
        <v>0</v>
      </c>
      <c r="X23" s="71">
        <f t="shared" si="1"/>
        <v>0</v>
      </c>
      <c r="Y23" s="2"/>
    </row>
    <row r="24" spans="1:25" customFormat="1">
      <c r="A24" s="2"/>
      <c r="B24" s="211"/>
      <c r="C24" s="213"/>
      <c r="D24" s="35" t="s">
        <v>98</v>
      </c>
      <c r="E24" s="36">
        <f>IFERROR(aurora_data!D1344,0)</f>
        <v>0</v>
      </c>
      <c r="F24" s="62">
        <f>IFERROR(aurora_data!E1344,0)</f>
        <v>0</v>
      </c>
      <c r="G24" s="62">
        <f>IFERROR(aurora_data!F1344,0)</f>
        <v>0</v>
      </c>
      <c r="H24" s="62">
        <f>IFERROR(aurora_data!G1344,0)</f>
        <v>0</v>
      </c>
      <c r="I24" s="63">
        <f>IFERROR(aurora_data!H1344,0)</f>
        <v>0</v>
      </c>
      <c r="J24" s="36">
        <f>IFERROR(aurora_data!I1344,0)</f>
        <v>0</v>
      </c>
      <c r="K24" s="62">
        <f>IFERROR(aurora_data!J1344,0)</f>
        <v>0</v>
      </c>
      <c r="L24" s="62">
        <f>IFERROR(aurora_data!K1344,0)</f>
        <v>0</v>
      </c>
      <c r="M24" s="62">
        <f>IFERROR(aurora_data!L1344,0)</f>
        <v>0</v>
      </c>
      <c r="N24" s="63">
        <f>IFERROR(aurora_data!M1344,0)</f>
        <v>0</v>
      </c>
      <c r="O24" s="36">
        <f>IFERROR(aurora_data!N1344,0)</f>
        <v>0</v>
      </c>
      <c r="P24" s="62">
        <f>IFERROR(aurora_data!O1344,0)</f>
        <v>0</v>
      </c>
      <c r="Q24" s="62">
        <f>IFERROR(aurora_data!P1344,0)</f>
        <v>0</v>
      </c>
      <c r="R24" s="63">
        <f>IFERROR(aurora_data!Q1344,0)</f>
        <v>0</v>
      </c>
      <c r="S24" s="62">
        <f>IFERROR(aurora_data!R1344,0)</f>
        <v>0</v>
      </c>
      <c r="T24" s="62">
        <f>IFERROR(aurora_data!S1344,0)</f>
        <v>0</v>
      </c>
      <c r="U24" s="63">
        <f>IFERROR(aurora_data!T1344,0)</f>
        <v>0</v>
      </c>
      <c r="V24" s="64" t="s">
        <v>95</v>
      </c>
      <c r="W24" s="36">
        <f>IFERROR(aurora_data!U1344,0)</f>
        <v>0</v>
      </c>
      <c r="X24" s="71">
        <f t="shared" si="1"/>
        <v>0</v>
      </c>
      <c r="Y24" s="2"/>
    </row>
    <row r="25" spans="1:25" customFormat="1" ht="16.5" thickBot="1">
      <c r="A25" s="2"/>
      <c r="B25" s="211"/>
      <c r="C25" s="213"/>
      <c r="D25" s="35" t="s">
        <v>99</v>
      </c>
      <c r="E25" s="36">
        <f>IFERROR(aurora_data!D1345,0)</f>
        <v>0</v>
      </c>
      <c r="F25" s="62">
        <f>IFERROR(aurora_data!E1345,0)</f>
        <v>0</v>
      </c>
      <c r="G25" s="62">
        <f>IFERROR(aurora_data!F1345,0)</f>
        <v>0</v>
      </c>
      <c r="H25" s="62">
        <f>IFERROR(aurora_data!G1345,0)</f>
        <v>0</v>
      </c>
      <c r="I25" s="63">
        <f>IFERROR(aurora_data!H1345,0)</f>
        <v>0</v>
      </c>
      <c r="J25" s="36">
        <f>IFERROR(aurora_data!I1345,0)</f>
        <v>0</v>
      </c>
      <c r="K25" s="62">
        <f>IFERROR(aurora_data!J1345,0)</f>
        <v>0</v>
      </c>
      <c r="L25" s="62">
        <f>IFERROR(aurora_data!K1345,0)</f>
        <v>0</v>
      </c>
      <c r="M25" s="62">
        <f>IFERROR(aurora_data!L1345,0)</f>
        <v>0</v>
      </c>
      <c r="N25" s="63">
        <f>IFERROR(aurora_data!M1345,0)</f>
        <v>0</v>
      </c>
      <c r="O25" s="36">
        <f>IFERROR(aurora_data!N1345,0)</f>
        <v>0</v>
      </c>
      <c r="P25" s="62">
        <f>IFERROR(aurora_data!O1345,0)</f>
        <v>0</v>
      </c>
      <c r="Q25" s="62">
        <f>IFERROR(aurora_data!P1345,0)</f>
        <v>0</v>
      </c>
      <c r="R25" s="63">
        <f>IFERROR(aurora_data!Q1345,0)</f>
        <v>0</v>
      </c>
      <c r="S25" s="62">
        <f>IFERROR(aurora_data!R1345,0)</f>
        <v>0</v>
      </c>
      <c r="T25" s="62">
        <f>IFERROR(aurora_data!S1345,0)</f>
        <v>0</v>
      </c>
      <c r="U25" s="63">
        <f>IFERROR(aurora_data!T1345,0)</f>
        <v>0</v>
      </c>
      <c r="V25" s="64" t="s">
        <v>95</v>
      </c>
      <c r="W25" s="36">
        <f>IFERROR(aurora_data!U1345,0)</f>
        <v>0</v>
      </c>
      <c r="X25" s="71">
        <f t="shared" si="1"/>
        <v>0</v>
      </c>
      <c r="Y25" s="2"/>
    </row>
    <row r="26" spans="1:25" customFormat="1" ht="16.5" thickBot="1">
      <c r="A26" s="2"/>
      <c r="B26" s="211"/>
      <c r="C26" s="213"/>
      <c r="D26" s="37" t="s">
        <v>64</v>
      </c>
      <c r="E26" s="59">
        <f>IFERROR(aurora_data!D1346,0)</f>
        <v>0</v>
      </c>
      <c r="F26" s="65">
        <f>IFERROR(aurora_data!E1346,0)</f>
        <v>0</v>
      </c>
      <c r="G26" s="65">
        <f>IFERROR(aurora_data!F1346,0)</f>
        <v>1</v>
      </c>
      <c r="H26" s="65">
        <f>IFERROR(aurora_data!G1346,0)</f>
        <v>0</v>
      </c>
      <c r="I26" s="66">
        <f>IFERROR(aurora_data!H1346,0)</f>
        <v>0</v>
      </c>
      <c r="J26" s="59">
        <f>IFERROR(aurora_data!I1346,0)</f>
        <v>0</v>
      </c>
      <c r="K26" s="65">
        <f>IFERROR(aurora_data!J1346,0)</f>
        <v>0</v>
      </c>
      <c r="L26" s="65">
        <f>IFERROR(aurora_data!K1346,0)</f>
        <v>0</v>
      </c>
      <c r="M26" s="65">
        <f>IFERROR(aurora_data!L1346,0)</f>
        <v>0</v>
      </c>
      <c r="N26" s="66">
        <f>IFERROR(aurora_data!M1346,0)</f>
        <v>1</v>
      </c>
      <c r="O26" s="59">
        <f>IFERROR(aurora_data!N1346,0)</f>
        <v>0</v>
      </c>
      <c r="P26" s="65">
        <f>IFERROR(aurora_data!O1346,0)</f>
        <v>0</v>
      </c>
      <c r="Q26" s="65">
        <f>IFERROR(aurora_data!P1346,0)</f>
        <v>0</v>
      </c>
      <c r="R26" s="66">
        <f>IFERROR(aurora_data!Q1346,0)</f>
        <v>1</v>
      </c>
      <c r="S26" s="65">
        <f>IFERROR(aurora_data!R1346,0)</f>
        <v>0</v>
      </c>
      <c r="T26" s="65">
        <f>IFERROR(aurora_data!S1346,0)</f>
        <v>1</v>
      </c>
      <c r="U26" s="66">
        <f>IFERROR(aurora_data!T1346,0)</f>
        <v>0</v>
      </c>
      <c r="V26" s="67" t="s">
        <v>95</v>
      </c>
      <c r="W26" s="59">
        <f>IFERROR(aurora_data!U1346,0)</f>
        <v>1</v>
      </c>
      <c r="X26" s="72">
        <f t="shared" si="1"/>
        <v>0.1</v>
      </c>
      <c r="Y26" s="2"/>
    </row>
    <row r="27" spans="1:25" customFormat="1" ht="16.5" thickBot="1">
      <c r="A27" s="2"/>
      <c r="B27" s="211"/>
      <c r="C27" s="213"/>
      <c r="D27" s="38" t="s">
        <v>100</v>
      </c>
      <c r="E27" s="60">
        <f>IFERROR(aurora_data!D1347,0)</f>
        <v>0</v>
      </c>
      <c r="F27" s="68">
        <f>IFERROR(aurora_data!E1347,0)</f>
        <v>0</v>
      </c>
      <c r="G27" s="68">
        <f>IFERROR(aurora_data!F1347,0)</f>
        <v>0</v>
      </c>
      <c r="H27" s="68">
        <f>IFERROR(aurora_data!G1347,0)</f>
        <v>0</v>
      </c>
      <c r="I27" s="69">
        <f>IFERROR(aurora_data!H1347,0)</f>
        <v>0</v>
      </c>
      <c r="J27" s="60">
        <f>IFERROR(aurora_data!I1347,0)</f>
        <v>0</v>
      </c>
      <c r="K27" s="68">
        <f>IFERROR(aurora_data!J1347,0)</f>
        <v>0</v>
      </c>
      <c r="L27" s="68">
        <f>IFERROR(aurora_data!K1347,0)</f>
        <v>0</v>
      </c>
      <c r="M27" s="68">
        <f>IFERROR(aurora_data!L1347,0)</f>
        <v>0</v>
      </c>
      <c r="N27" s="69">
        <f>IFERROR(aurora_data!M1347,0)</f>
        <v>0</v>
      </c>
      <c r="O27" s="60">
        <f>IFERROR(aurora_data!N1347,0)</f>
        <v>0</v>
      </c>
      <c r="P27" s="68">
        <f>IFERROR(aurora_data!O1347,0)</f>
        <v>0</v>
      </c>
      <c r="Q27" s="68">
        <f>IFERROR(aurora_data!P1347,0)</f>
        <v>0</v>
      </c>
      <c r="R27" s="69">
        <f>IFERROR(aurora_data!Q1347,0)</f>
        <v>0</v>
      </c>
      <c r="S27" s="68">
        <f>IFERROR(aurora_data!R1347,0)</f>
        <v>0</v>
      </c>
      <c r="T27" s="68">
        <f>IFERROR(aurora_data!S1347,0)</f>
        <v>0</v>
      </c>
      <c r="U27" s="74">
        <f>IFERROR(aurora_data!T1347,0)</f>
        <v>0</v>
      </c>
      <c r="V27" s="75" t="s">
        <v>95</v>
      </c>
      <c r="W27" s="60">
        <f>IFERROR(aurora_data!U1347,0)</f>
        <v>0</v>
      </c>
      <c r="X27" s="73">
        <f t="shared" si="1"/>
        <v>0</v>
      </c>
      <c r="Y27" s="2"/>
    </row>
    <row r="28" spans="1:25" customFormat="1">
      <c r="A28" s="2"/>
      <c r="B28" s="210" t="s">
        <v>94</v>
      </c>
      <c r="C28" s="212" t="str">
        <f>aurora_data!A1348</f>
        <v>08.00.00-08.11.30</v>
      </c>
      <c r="D28" s="34" t="s">
        <v>71</v>
      </c>
      <c r="E28" s="39">
        <f>IFERROR(aurora_data!D1348,0)</f>
        <v>0</v>
      </c>
      <c r="F28" s="40">
        <f>IFERROR(aurora_data!E1348,0)</f>
        <v>0</v>
      </c>
      <c r="G28" s="40">
        <f>IFERROR(aurora_data!F1348,0)</f>
        <v>0</v>
      </c>
      <c r="H28" s="40">
        <f>IFERROR(aurora_data!G1348,0)</f>
        <v>0</v>
      </c>
      <c r="I28" s="41">
        <f>IFERROR(aurora_data!H1348,0)</f>
        <v>0</v>
      </c>
      <c r="J28" s="39">
        <f>IFERROR(aurora_data!I1348,0)</f>
        <v>0</v>
      </c>
      <c r="K28" s="40">
        <f>IFERROR(aurora_data!J1348,0)</f>
        <v>0</v>
      </c>
      <c r="L28" s="40">
        <f>IFERROR(aurora_data!K1348,0)</f>
        <v>0</v>
      </c>
      <c r="M28" s="40">
        <f>IFERROR(aurora_data!L1348,0)</f>
        <v>0</v>
      </c>
      <c r="N28" s="41">
        <f>IFERROR(aurora_data!M1348,0)</f>
        <v>0</v>
      </c>
      <c r="O28" s="39">
        <f>IFERROR(aurora_data!N1348,0)</f>
        <v>0</v>
      </c>
      <c r="P28" s="40">
        <f>IFERROR(aurora_data!O1348,0)</f>
        <v>0</v>
      </c>
      <c r="Q28" s="40">
        <f>IFERROR(aurora_data!P1348,0)</f>
        <v>0</v>
      </c>
      <c r="R28" s="41">
        <f>IFERROR(aurora_data!Q1348,0)</f>
        <v>0</v>
      </c>
      <c r="S28" s="40">
        <f>IFERROR(aurora_data!R1348,0)</f>
        <v>0</v>
      </c>
      <c r="T28" s="40">
        <f>IFERROR(aurora_data!S1348,0)</f>
        <v>0</v>
      </c>
      <c r="U28" s="76">
        <f>IFERROR(aurora_data!T1348,0)</f>
        <v>0</v>
      </c>
      <c r="V28" s="61" t="s">
        <v>95</v>
      </c>
      <c r="W28" s="39">
        <f>IFERROR(aurora_data!U1348,0)</f>
        <v>10</v>
      </c>
      <c r="X28" s="70">
        <f>IFERROR(W28/$W$12,0)</f>
        <v>1</v>
      </c>
      <c r="Y28" s="2"/>
    </row>
    <row r="29" spans="1:25" customFormat="1">
      <c r="A29" s="2"/>
      <c r="B29" s="211"/>
      <c r="C29" s="213"/>
      <c r="D29" s="35" t="s">
        <v>96</v>
      </c>
      <c r="E29" s="110">
        <f>IFERROR(aurora_data!D1349,0)</f>
        <v>1</v>
      </c>
      <c r="F29" s="62">
        <f>IFERROR(aurora_data!E1349,0)</f>
        <v>0</v>
      </c>
      <c r="G29" s="62">
        <f>IFERROR(aurora_data!F1349,0)</f>
        <v>1</v>
      </c>
      <c r="H29" s="62">
        <f>IFERROR(aurora_data!G1349,0)</f>
        <v>0</v>
      </c>
      <c r="I29" s="63">
        <f>IFERROR(aurora_data!H1349,0)</f>
        <v>0</v>
      </c>
      <c r="J29" s="36">
        <f>IFERROR(aurora_data!I1349,0)</f>
        <v>0</v>
      </c>
      <c r="K29" s="62">
        <f>IFERROR(aurora_data!J1349,0)</f>
        <v>0</v>
      </c>
      <c r="L29" s="62">
        <f>IFERROR(aurora_data!K1349,0)</f>
        <v>0</v>
      </c>
      <c r="M29" s="62">
        <f>IFERROR(aurora_data!L1349,0)</f>
        <v>0</v>
      </c>
      <c r="N29" s="63">
        <f>IFERROR(aurora_data!M1349,0)</f>
        <v>2</v>
      </c>
      <c r="O29" s="36">
        <f>IFERROR(aurora_data!N1349,0)</f>
        <v>2</v>
      </c>
      <c r="P29" s="62">
        <f>IFERROR(aurora_data!O1349,0)</f>
        <v>0</v>
      </c>
      <c r="Q29" s="62">
        <f>IFERROR(aurora_data!P1349,0)</f>
        <v>0</v>
      </c>
      <c r="R29" s="63">
        <f>IFERROR(aurora_data!Q1349,0)</f>
        <v>0</v>
      </c>
      <c r="S29" s="62">
        <f>IFERROR(aurora_data!R1349,0)</f>
        <v>1</v>
      </c>
      <c r="T29" s="62">
        <f>IFERROR(aurora_data!S1349,0)</f>
        <v>1</v>
      </c>
      <c r="U29" s="63">
        <f>IFERROR(aurora_data!T1349,0)</f>
        <v>0</v>
      </c>
      <c r="V29" s="64" t="s">
        <v>95</v>
      </c>
      <c r="W29" s="36">
        <f>IFERROR(aurora_data!U1349,0)</f>
        <v>2</v>
      </c>
      <c r="X29" s="71">
        <f t="shared" ref="X29:X35" si="2">IFERROR(W29/$W$12,0)</f>
        <v>0.2</v>
      </c>
      <c r="Y29" s="2"/>
    </row>
    <row r="30" spans="1:25" customFormat="1">
      <c r="A30" s="2"/>
      <c r="B30" s="211"/>
      <c r="C30" s="213"/>
      <c r="D30" s="35" t="s">
        <v>60</v>
      </c>
      <c r="E30" s="110">
        <f>IFERROR(aurora_data!D1350,0)</f>
        <v>0</v>
      </c>
      <c r="F30" s="62">
        <f>IFERROR(aurora_data!E1350,0)</f>
        <v>0</v>
      </c>
      <c r="G30" s="62">
        <f>IFERROR(aurora_data!F1350,0)</f>
        <v>0</v>
      </c>
      <c r="H30" s="62">
        <f>IFERROR(aurora_data!G1350,0)</f>
        <v>0</v>
      </c>
      <c r="I30" s="63">
        <f>IFERROR(aurora_data!H1350,0)</f>
        <v>0</v>
      </c>
      <c r="J30" s="36">
        <f>IFERROR(aurora_data!I1350,0)</f>
        <v>0</v>
      </c>
      <c r="K30" s="62">
        <f>IFERROR(aurora_data!J1350,0)</f>
        <v>0</v>
      </c>
      <c r="L30" s="62">
        <f>IFERROR(aurora_data!K1350,0)</f>
        <v>0</v>
      </c>
      <c r="M30" s="62">
        <f>IFERROR(aurora_data!L1350,0)</f>
        <v>0</v>
      </c>
      <c r="N30" s="63">
        <f>IFERROR(aurora_data!M1350,0)</f>
        <v>0</v>
      </c>
      <c r="O30" s="36">
        <f>IFERROR(aurora_data!N1350,0)</f>
        <v>0</v>
      </c>
      <c r="P30" s="62">
        <f>IFERROR(aurora_data!O1350,0)</f>
        <v>0</v>
      </c>
      <c r="Q30" s="62">
        <f>IFERROR(aurora_data!P1350,0)</f>
        <v>0</v>
      </c>
      <c r="R30" s="63">
        <f>IFERROR(aurora_data!Q1350,0)</f>
        <v>0</v>
      </c>
      <c r="S30" s="62">
        <f>IFERROR(aurora_data!R1350,0)</f>
        <v>0</v>
      </c>
      <c r="T30" s="62">
        <f>IFERROR(aurora_data!S1350,0)</f>
        <v>0</v>
      </c>
      <c r="U30" s="63">
        <f>IFERROR(aurora_data!T1350,0)</f>
        <v>0</v>
      </c>
      <c r="V30" s="64" t="s">
        <v>95</v>
      </c>
      <c r="W30" s="36">
        <f>IFERROR(aurora_data!U1350,0)</f>
        <v>0</v>
      </c>
      <c r="X30" s="71">
        <f t="shared" si="2"/>
        <v>0</v>
      </c>
      <c r="Y30" s="2"/>
    </row>
    <row r="31" spans="1:25" customFormat="1">
      <c r="A31" s="2"/>
      <c r="B31" s="211"/>
      <c r="C31" s="213"/>
      <c r="D31" s="35" t="s">
        <v>97</v>
      </c>
      <c r="E31" s="36">
        <f>IFERROR(aurora_data!D1351,0)</f>
        <v>0</v>
      </c>
      <c r="F31" s="62">
        <f>IFERROR(aurora_data!E1351,0)</f>
        <v>0</v>
      </c>
      <c r="G31" s="62">
        <f>IFERROR(aurora_data!F1351,0)</f>
        <v>0</v>
      </c>
      <c r="H31" s="62">
        <f>IFERROR(aurora_data!G1351,0)</f>
        <v>0</v>
      </c>
      <c r="I31" s="63">
        <f>IFERROR(aurora_data!H1351,0)</f>
        <v>0</v>
      </c>
      <c r="J31" s="36">
        <f>IFERROR(aurora_data!I1351,0)</f>
        <v>0</v>
      </c>
      <c r="K31" s="62">
        <f>IFERROR(aurora_data!J1351,0)</f>
        <v>0</v>
      </c>
      <c r="L31" s="62">
        <f>IFERROR(aurora_data!K1351,0)</f>
        <v>0</v>
      </c>
      <c r="M31" s="62">
        <f>IFERROR(aurora_data!L1351,0)</f>
        <v>0</v>
      </c>
      <c r="N31" s="63">
        <f>IFERROR(aurora_data!M1351,0)</f>
        <v>0</v>
      </c>
      <c r="O31" s="36">
        <f>IFERROR(aurora_data!N1351,0)</f>
        <v>0</v>
      </c>
      <c r="P31" s="62">
        <f>IFERROR(aurora_data!O1351,0)</f>
        <v>0</v>
      </c>
      <c r="Q31" s="62">
        <f>IFERROR(aurora_data!P1351,0)</f>
        <v>0</v>
      </c>
      <c r="R31" s="63">
        <f>IFERROR(aurora_data!Q1351,0)</f>
        <v>0</v>
      </c>
      <c r="S31" s="62">
        <f>IFERROR(aurora_data!R1351,0)</f>
        <v>0</v>
      </c>
      <c r="T31" s="62">
        <f>IFERROR(aurora_data!S1351,0)</f>
        <v>0</v>
      </c>
      <c r="U31" s="63">
        <f>IFERROR(aurora_data!T1351,0)</f>
        <v>0</v>
      </c>
      <c r="V31" s="64" t="s">
        <v>95</v>
      </c>
      <c r="W31" s="36">
        <f>IFERROR(aurora_data!U1351,0)</f>
        <v>0</v>
      </c>
      <c r="X31" s="71">
        <f t="shared" si="2"/>
        <v>0</v>
      </c>
      <c r="Y31" s="2"/>
    </row>
    <row r="32" spans="1:25" customFormat="1">
      <c r="A32" s="2"/>
      <c r="B32" s="211"/>
      <c r="C32" s="213"/>
      <c r="D32" s="35" t="s">
        <v>98</v>
      </c>
      <c r="E32" s="36">
        <f>IFERROR(aurora_data!D1352,0)</f>
        <v>0</v>
      </c>
      <c r="F32" s="62">
        <f>IFERROR(aurora_data!E1352,0)</f>
        <v>0</v>
      </c>
      <c r="G32" s="62">
        <f>IFERROR(aurora_data!F1352,0)</f>
        <v>0</v>
      </c>
      <c r="H32" s="62">
        <f>IFERROR(aurora_data!G1352,0)</f>
        <v>0</v>
      </c>
      <c r="I32" s="63">
        <f>IFERROR(aurora_data!H1352,0)</f>
        <v>0</v>
      </c>
      <c r="J32" s="36">
        <f>IFERROR(aurora_data!I1352,0)</f>
        <v>0</v>
      </c>
      <c r="K32" s="62">
        <f>IFERROR(aurora_data!J1352,0)</f>
        <v>0</v>
      </c>
      <c r="L32" s="62">
        <f>IFERROR(aurora_data!K1352,0)</f>
        <v>0</v>
      </c>
      <c r="M32" s="62">
        <f>IFERROR(aurora_data!L1352,0)</f>
        <v>0</v>
      </c>
      <c r="N32" s="63">
        <f>IFERROR(aurora_data!M1352,0)</f>
        <v>0</v>
      </c>
      <c r="O32" s="36">
        <f>IFERROR(aurora_data!N1352,0)</f>
        <v>0</v>
      </c>
      <c r="P32" s="62">
        <f>IFERROR(aurora_data!O1352,0)</f>
        <v>0</v>
      </c>
      <c r="Q32" s="62">
        <f>IFERROR(aurora_data!P1352,0)</f>
        <v>0</v>
      </c>
      <c r="R32" s="63">
        <f>IFERROR(aurora_data!Q1352,0)</f>
        <v>0</v>
      </c>
      <c r="S32" s="62">
        <f>IFERROR(aurora_data!R1352,0)</f>
        <v>0</v>
      </c>
      <c r="T32" s="62">
        <f>IFERROR(aurora_data!S1352,0)</f>
        <v>0</v>
      </c>
      <c r="U32" s="63">
        <f>IFERROR(aurora_data!T1352,0)</f>
        <v>0</v>
      </c>
      <c r="V32" s="64" t="s">
        <v>95</v>
      </c>
      <c r="W32" s="36">
        <f>IFERROR(aurora_data!U1352,0)</f>
        <v>0</v>
      </c>
      <c r="X32" s="71">
        <f t="shared" si="2"/>
        <v>0</v>
      </c>
      <c r="Y32" s="2"/>
    </row>
    <row r="33" spans="1:25" customFormat="1" ht="16.5" thickBot="1">
      <c r="A33" s="2"/>
      <c r="B33" s="211"/>
      <c r="C33" s="213"/>
      <c r="D33" s="35" t="s">
        <v>99</v>
      </c>
      <c r="E33" s="36">
        <f>IFERROR(aurora_data!D1353,0)</f>
        <v>0</v>
      </c>
      <c r="F33" s="62">
        <f>IFERROR(aurora_data!E1353,0)</f>
        <v>0</v>
      </c>
      <c r="G33" s="62">
        <f>IFERROR(aurora_data!F1353,0)</f>
        <v>0</v>
      </c>
      <c r="H33" s="62">
        <f>IFERROR(aurora_data!G1353,0)</f>
        <v>0</v>
      </c>
      <c r="I33" s="63">
        <f>IFERROR(aurora_data!H1353,0)</f>
        <v>0</v>
      </c>
      <c r="J33" s="36">
        <f>IFERROR(aurora_data!I1353,0)</f>
        <v>0</v>
      </c>
      <c r="K33" s="62">
        <f>IFERROR(aurora_data!J1353,0)</f>
        <v>0</v>
      </c>
      <c r="L33" s="62">
        <f>IFERROR(aurora_data!K1353,0)</f>
        <v>0</v>
      </c>
      <c r="M33" s="62">
        <f>IFERROR(aurora_data!L1353,0)</f>
        <v>0</v>
      </c>
      <c r="N33" s="63">
        <f>IFERROR(aurora_data!M1353,0)</f>
        <v>0</v>
      </c>
      <c r="O33" s="36">
        <f>IFERROR(aurora_data!N1353,0)</f>
        <v>0</v>
      </c>
      <c r="P33" s="62">
        <f>IFERROR(aurora_data!O1353,0)</f>
        <v>0</v>
      </c>
      <c r="Q33" s="62">
        <f>IFERROR(aurora_data!P1353,0)</f>
        <v>0</v>
      </c>
      <c r="R33" s="63">
        <f>IFERROR(aurora_data!Q1353,0)</f>
        <v>0</v>
      </c>
      <c r="S33" s="62">
        <f>IFERROR(aurora_data!R1353,0)</f>
        <v>0</v>
      </c>
      <c r="T33" s="62">
        <f>IFERROR(aurora_data!S1353,0)</f>
        <v>0</v>
      </c>
      <c r="U33" s="63">
        <f>IFERROR(aurora_data!T1353,0)</f>
        <v>0</v>
      </c>
      <c r="V33" s="64" t="s">
        <v>95</v>
      </c>
      <c r="W33" s="36">
        <f>IFERROR(aurora_data!U1353,0)</f>
        <v>0</v>
      </c>
      <c r="X33" s="71">
        <f t="shared" si="2"/>
        <v>0</v>
      </c>
      <c r="Y33" s="2"/>
    </row>
    <row r="34" spans="1:25" customFormat="1" ht="16.5" thickBot="1">
      <c r="A34" s="2"/>
      <c r="B34" s="211"/>
      <c r="C34" s="213"/>
      <c r="D34" s="37" t="s">
        <v>64</v>
      </c>
      <c r="E34" s="59">
        <f>IFERROR(aurora_data!D1354,0)</f>
        <v>1</v>
      </c>
      <c r="F34" s="65">
        <f>IFERROR(aurora_data!E1354,0)</f>
        <v>0</v>
      </c>
      <c r="G34" s="65">
        <f>IFERROR(aurora_data!F1354,0)</f>
        <v>1</v>
      </c>
      <c r="H34" s="65">
        <f>IFERROR(aurora_data!G1354,0)</f>
        <v>0</v>
      </c>
      <c r="I34" s="66">
        <f>IFERROR(aurora_data!H1354,0)</f>
        <v>0</v>
      </c>
      <c r="J34" s="59">
        <f>IFERROR(aurora_data!I1354,0)</f>
        <v>0</v>
      </c>
      <c r="K34" s="65">
        <f>IFERROR(aurora_data!J1354,0)</f>
        <v>0</v>
      </c>
      <c r="L34" s="65">
        <f>IFERROR(aurora_data!K1354,0)</f>
        <v>0</v>
      </c>
      <c r="M34" s="65">
        <f>IFERROR(aurora_data!L1354,0)</f>
        <v>0</v>
      </c>
      <c r="N34" s="66">
        <f>IFERROR(aurora_data!M1354,0)</f>
        <v>2</v>
      </c>
      <c r="O34" s="59">
        <f>IFERROR(aurora_data!N1354,0)</f>
        <v>2</v>
      </c>
      <c r="P34" s="65">
        <f>IFERROR(aurora_data!O1354,0)</f>
        <v>0</v>
      </c>
      <c r="Q34" s="65">
        <f>IFERROR(aurora_data!P1354,0)</f>
        <v>0</v>
      </c>
      <c r="R34" s="66">
        <f>IFERROR(aurora_data!Q1354,0)</f>
        <v>0</v>
      </c>
      <c r="S34" s="65">
        <f>IFERROR(aurora_data!R1354,0)</f>
        <v>1</v>
      </c>
      <c r="T34" s="65">
        <f>IFERROR(aurora_data!S1354,0)</f>
        <v>1</v>
      </c>
      <c r="U34" s="66">
        <f>IFERROR(aurora_data!T1354,0)</f>
        <v>0</v>
      </c>
      <c r="V34" s="67" t="s">
        <v>95</v>
      </c>
      <c r="W34" s="59">
        <f>IFERROR(aurora_data!U1354,0)</f>
        <v>2</v>
      </c>
      <c r="X34" s="72">
        <f t="shared" si="2"/>
        <v>0.2</v>
      </c>
      <c r="Y34" s="2"/>
    </row>
    <row r="35" spans="1:25" customFormat="1" ht="16.5" thickBot="1">
      <c r="A35" s="2"/>
      <c r="B35" s="211"/>
      <c r="C35" s="213"/>
      <c r="D35" s="38" t="s">
        <v>100</v>
      </c>
      <c r="E35" s="60">
        <f>IFERROR(aurora_data!D1355,0)</f>
        <v>0</v>
      </c>
      <c r="F35" s="68">
        <f>IFERROR(aurora_data!E1355,0)</f>
        <v>0</v>
      </c>
      <c r="G35" s="68">
        <f>IFERROR(aurora_data!F1355,0)</f>
        <v>0</v>
      </c>
      <c r="H35" s="68">
        <f>IFERROR(aurora_data!G1355,0)</f>
        <v>0</v>
      </c>
      <c r="I35" s="69">
        <f>IFERROR(aurora_data!H1355,0)</f>
        <v>0</v>
      </c>
      <c r="J35" s="60">
        <f>IFERROR(aurora_data!I1355,0)</f>
        <v>0</v>
      </c>
      <c r="K35" s="68">
        <f>IFERROR(aurora_data!J1355,0)</f>
        <v>0</v>
      </c>
      <c r="L35" s="68">
        <f>IFERROR(aurora_data!K1355,0)</f>
        <v>0</v>
      </c>
      <c r="M35" s="68">
        <f>IFERROR(aurora_data!L1355,0)</f>
        <v>0</v>
      </c>
      <c r="N35" s="69">
        <f>IFERROR(aurora_data!M1355,0)</f>
        <v>0</v>
      </c>
      <c r="O35" s="60">
        <f>IFERROR(aurora_data!N1355,0)</f>
        <v>0</v>
      </c>
      <c r="P35" s="68">
        <f>IFERROR(aurora_data!O1355,0)</f>
        <v>0</v>
      </c>
      <c r="Q35" s="68">
        <f>IFERROR(aurora_data!P1355,0)</f>
        <v>0</v>
      </c>
      <c r="R35" s="69">
        <f>IFERROR(aurora_data!Q1355,0)</f>
        <v>0</v>
      </c>
      <c r="S35" s="68">
        <f>IFERROR(aurora_data!R1355,0)</f>
        <v>0</v>
      </c>
      <c r="T35" s="68">
        <f>IFERROR(aurora_data!S1355,0)</f>
        <v>0</v>
      </c>
      <c r="U35" s="74">
        <f>IFERROR(aurora_data!T1355,0)</f>
        <v>0</v>
      </c>
      <c r="V35" s="75" t="s">
        <v>95</v>
      </c>
      <c r="W35" s="60">
        <f>IFERROR(aurora_data!U1355,0)</f>
        <v>0</v>
      </c>
      <c r="X35" s="73">
        <f t="shared" si="2"/>
        <v>0</v>
      </c>
      <c r="Y35" s="2"/>
    </row>
    <row r="36" spans="1:25" customFormat="1">
      <c r="A36" s="2"/>
      <c r="B36" s="210" t="s">
        <v>94</v>
      </c>
      <c r="C36" s="212" t="str">
        <f>aurora_data!A1356</f>
        <v>09.00.00-09.11.30</v>
      </c>
      <c r="D36" s="34" t="s">
        <v>71</v>
      </c>
      <c r="E36" s="39">
        <f>IFERROR(aurora_data!D1356,0)</f>
        <v>0</v>
      </c>
      <c r="F36" s="40">
        <f>IFERROR(aurora_data!E1356,0)</f>
        <v>0</v>
      </c>
      <c r="G36" s="40">
        <f>IFERROR(aurora_data!F1356,0)</f>
        <v>0</v>
      </c>
      <c r="H36" s="40">
        <f>IFERROR(aurora_data!G1356,0)</f>
        <v>0</v>
      </c>
      <c r="I36" s="41">
        <f>IFERROR(aurora_data!H1356,0)</f>
        <v>0</v>
      </c>
      <c r="J36" s="39">
        <f>IFERROR(aurora_data!I1356,0)</f>
        <v>0</v>
      </c>
      <c r="K36" s="40">
        <f>IFERROR(aurora_data!J1356,0)</f>
        <v>0</v>
      </c>
      <c r="L36" s="40">
        <f>IFERROR(aurora_data!K1356,0)</f>
        <v>0</v>
      </c>
      <c r="M36" s="40">
        <f>IFERROR(aurora_data!L1356,0)</f>
        <v>0</v>
      </c>
      <c r="N36" s="41">
        <f>IFERROR(aurora_data!M1356,0)</f>
        <v>0</v>
      </c>
      <c r="O36" s="39">
        <f>IFERROR(aurora_data!N1356,0)</f>
        <v>0</v>
      </c>
      <c r="P36" s="40">
        <f>IFERROR(aurora_data!O1356,0)</f>
        <v>0</v>
      </c>
      <c r="Q36" s="40">
        <f>IFERROR(aurora_data!P1356,0)</f>
        <v>0</v>
      </c>
      <c r="R36" s="41">
        <f>IFERROR(aurora_data!Q1356,0)</f>
        <v>0</v>
      </c>
      <c r="S36" s="40">
        <f>IFERROR(aurora_data!R1356,0)</f>
        <v>0</v>
      </c>
      <c r="T36" s="40">
        <f>IFERROR(aurora_data!S1356,0)</f>
        <v>0</v>
      </c>
      <c r="U36" s="76">
        <f>IFERROR(aurora_data!T1356,0)</f>
        <v>0</v>
      </c>
      <c r="V36" s="61" t="s">
        <v>95</v>
      </c>
      <c r="W36" s="39">
        <f>IFERROR(aurora_data!U1356,0)</f>
        <v>9</v>
      </c>
      <c r="X36" s="70">
        <f>IFERROR(W36/$W$12,0)</f>
        <v>0.9</v>
      </c>
      <c r="Y36" s="2"/>
    </row>
    <row r="37" spans="1:25" customFormat="1">
      <c r="A37" s="2"/>
      <c r="B37" s="211"/>
      <c r="C37" s="213"/>
      <c r="D37" s="35" t="s">
        <v>96</v>
      </c>
      <c r="E37" s="110">
        <f>IFERROR(aurora_data!D1357,0)</f>
        <v>0</v>
      </c>
      <c r="F37" s="62">
        <f>IFERROR(aurora_data!E1357,0)</f>
        <v>1</v>
      </c>
      <c r="G37" s="62">
        <f>IFERROR(aurora_data!F1357,0)</f>
        <v>0</v>
      </c>
      <c r="H37" s="62">
        <f>IFERROR(aurora_data!G1357,0)</f>
        <v>0</v>
      </c>
      <c r="I37" s="63">
        <f>IFERROR(aurora_data!H1357,0)</f>
        <v>0</v>
      </c>
      <c r="J37" s="36">
        <f>IFERROR(aurora_data!I1357,0)</f>
        <v>0</v>
      </c>
      <c r="K37" s="62">
        <f>IFERROR(aurora_data!J1357,0)</f>
        <v>1</v>
      </c>
      <c r="L37" s="62">
        <f>IFERROR(aurora_data!K1357,0)</f>
        <v>0</v>
      </c>
      <c r="M37" s="62">
        <f>IFERROR(aurora_data!L1357,0)</f>
        <v>0</v>
      </c>
      <c r="N37" s="63">
        <f>IFERROR(aurora_data!M1357,0)</f>
        <v>0</v>
      </c>
      <c r="O37" s="36">
        <f>IFERROR(aurora_data!N1357,0)</f>
        <v>0</v>
      </c>
      <c r="P37" s="62">
        <f>IFERROR(aurora_data!O1357,0)</f>
        <v>0</v>
      </c>
      <c r="Q37" s="62">
        <f>IFERROR(aurora_data!P1357,0)</f>
        <v>1</v>
      </c>
      <c r="R37" s="63">
        <f>IFERROR(aurora_data!Q1357,0)</f>
        <v>0</v>
      </c>
      <c r="S37" s="62">
        <f>IFERROR(aurora_data!R1357,0)</f>
        <v>0</v>
      </c>
      <c r="T37" s="62">
        <f>IFERROR(aurora_data!S1357,0)</f>
        <v>1</v>
      </c>
      <c r="U37" s="63">
        <f>IFERROR(aurora_data!T1357,0)</f>
        <v>0</v>
      </c>
      <c r="V37" s="64" t="s">
        <v>95</v>
      </c>
      <c r="W37" s="36">
        <f>IFERROR(aurora_data!U1357,0)</f>
        <v>1</v>
      </c>
      <c r="X37" s="71">
        <f t="shared" ref="X37:X43" si="3">IFERROR(W37/$W$12,0)</f>
        <v>0.1</v>
      </c>
      <c r="Y37" s="2"/>
    </row>
    <row r="38" spans="1:25" customFormat="1">
      <c r="A38" s="2"/>
      <c r="B38" s="211"/>
      <c r="C38" s="213"/>
      <c r="D38" s="35" t="s">
        <v>60</v>
      </c>
      <c r="E38" s="110">
        <f>IFERROR(aurora_data!D1358,0)</f>
        <v>0</v>
      </c>
      <c r="F38" s="62">
        <f>IFERROR(aurora_data!E1358,0)</f>
        <v>0</v>
      </c>
      <c r="G38" s="62">
        <f>IFERROR(aurora_data!F1358,0)</f>
        <v>0</v>
      </c>
      <c r="H38" s="62">
        <f>IFERROR(aurora_data!G1358,0)</f>
        <v>0</v>
      </c>
      <c r="I38" s="63">
        <f>IFERROR(aurora_data!H1358,0)</f>
        <v>0</v>
      </c>
      <c r="J38" s="36">
        <f>IFERROR(aurora_data!I1358,0)</f>
        <v>0</v>
      </c>
      <c r="K38" s="62">
        <f>IFERROR(aurora_data!J1358,0)</f>
        <v>0</v>
      </c>
      <c r="L38" s="62">
        <f>IFERROR(aurora_data!K1358,0)</f>
        <v>0</v>
      </c>
      <c r="M38" s="62">
        <f>IFERROR(aurora_data!L1358,0)</f>
        <v>0</v>
      </c>
      <c r="N38" s="63">
        <f>IFERROR(aurora_data!M1358,0)</f>
        <v>0</v>
      </c>
      <c r="O38" s="36">
        <f>IFERROR(aurora_data!N1358,0)</f>
        <v>0</v>
      </c>
      <c r="P38" s="62">
        <f>IFERROR(aurora_data!O1358,0)</f>
        <v>0</v>
      </c>
      <c r="Q38" s="62">
        <f>IFERROR(aurora_data!P1358,0)</f>
        <v>0</v>
      </c>
      <c r="R38" s="63">
        <f>IFERROR(aurora_data!Q1358,0)</f>
        <v>0</v>
      </c>
      <c r="S38" s="62">
        <f>IFERROR(aurora_data!R1358,0)</f>
        <v>0</v>
      </c>
      <c r="T38" s="62">
        <f>IFERROR(aurora_data!S1358,0)</f>
        <v>0</v>
      </c>
      <c r="U38" s="63">
        <f>IFERROR(aurora_data!T1358,0)</f>
        <v>0</v>
      </c>
      <c r="V38" s="64" t="s">
        <v>95</v>
      </c>
      <c r="W38" s="36">
        <f>IFERROR(aurora_data!U1358,0)</f>
        <v>0</v>
      </c>
      <c r="X38" s="71">
        <f t="shared" si="3"/>
        <v>0</v>
      </c>
      <c r="Y38" s="2"/>
    </row>
    <row r="39" spans="1:25" customFormat="1">
      <c r="A39" s="2"/>
      <c r="B39" s="211"/>
      <c r="C39" s="213"/>
      <c r="D39" s="35" t="s">
        <v>97</v>
      </c>
      <c r="E39" s="36">
        <f>IFERROR(aurora_data!D1359,0)</f>
        <v>0</v>
      </c>
      <c r="F39" s="62">
        <f>IFERROR(aurora_data!E1359,0)</f>
        <v>0</v>
      </c>
      <c r="G39" s="62">
        <f>IFERROR(aurora_data!F1359,0)</f>
        <v>0</v>
      </c>
      <c r="H39" s="62">
        <f>IFERROR(aurora_data!G1359,0)</f>
        <v>0</v>
      </c>
      <c r="I39" s="63">
        <f>IFERROR(aurora_data!H1359,0)</f>
        <v>0</v>
      </c>
      <c r="J39" s="36">
        <f>IFERROR(aurora_data!I1359,0)</f>
        <v>0</v>
      </c>
      <c r="K39" s="62">
        <f>IFERROR(aurora_data!J1359,0)</f>
        <v>0</v>
      </c>
      <c r="L39" s="62">
        <f>IFERROR(aurora_data!K1359,0)</f>
        <v>0</v>
      </c>
      <c r="M39" s="62">
        <f>IFERROR(aurora_data!L1359,0)</f>
        <v>0</v>
      </c>
      <c r="N39" s="63">
        <f>IFERROR(aurora_data!M1359,0)</f>
        <v>0</v>
      </c>
      <c r="O39" s="36">
        <f>IFERROR(aurora_data!N1359,0)</f>
        <v>0</v>
      </c>
      <c r="P39" s="62">
        <f>IFERROR(aurora_data!O1359,0)</f>
        <v>0</v>
      </c>
      <c r="Q39" s="62">
        <f>IFERROR(aurora_data!P1359,0)</f>
        <v>0</v>
      </c>
      <c r="R39" s="63">
        <f>IFERROR(aurora_data!Q1359,0)</f>
        <v>0</v>
      </c>
      <c r="S39" s="62">
        <f>IFERROR(aurora_data!R1359,0)</f>
        <v>0</v>
      </c>
      <c r="T39" s="62">
        <f>IFERROR(aurora_data!S1359,0)</f>
        <v>0</v>
      </c>
      <c r="U39" s="63">
        <f>IFERROR(aurora_data!T1359,0)</f>
        <v>0</v>
      </c>
      <c r="V39" s="64" t="s">
        <v>95</v>
      </c>
      <c r="W39" s="36">
        <f>IFERROR(aurora_data!U1359,0)</f>
        <v>0</v>
      </c>
      <c r="X39" s="71">
        <f t="shared" si="3"/>
        <v>0</v>
      </c>
      <c r="Y39" s="2"/>
    </row>
    <row r="40" spans="1:25" customFormat="1">
      <c r="A40" s="2"/>
      <c r="B40" s="211"/>
      <c r="C40" s="213"/>
      <c r="D40" s="35" t="s">
        <v>98</v>
      </c>
      <c r="E40" s="36">
        <f>IFERROR(aurora_data!D1360,0)</f>
        <v>0</v>
      </c>
      <c r="F40" s="62">
        <f>IFERROR(aurora_data!E1360,0)</f>
        <v>0</v>
      </c>
      <c r="G40" s="62">
        <f>IFERROR(aurora_data!F1360,0)</f>
        <v>0</v>
      </c>
      <c r="H40" s="62">
        <f>IFERROR(aurora_data!G1360,0)</f>
        <v>0</v>
      </c>
      <c r="I40" s="63">
        <f>IFERROR(aurora_data!H1360,0)</f>
        <v>0</v>
      </c>
      <c r="J40" s="36">
        <f>IFERROR(aurora_data!I1360,0)</f>
        <v>0</v>
      </c>
      <c r="K40" s="62">
        <f>IFERROR(aurora_data!J1360,0)</f>
        <v>0</v>
      </c>
      <c r="L40" s="62">
        <f>IFERROR(aurora_data!K1360,0)</f>
        <v>0</v>
      </c>
      <c r="M40" s="62">
        <f>IFERROR(aurora_data!L1360,0)</f>
        <v>0</v>
      </c>
      <c r="N40" s="63">
        <f>IFERROR(aurora_data!M1360,0)</f>
        <v>0</v>
      </c>
      <c r="O40" s="36">
        <f>IFERROR(aurora_data!N1360,0)</f>
        <v>0</v>
      </c>
      <c r="P40" s="62">
        <f>IFERROR(aurora_data!O1360,0)</f>
        <v>0</v>
      </c>
      <c r="Q40" s="62">
        <f>IFERROR(aurora_data!P1360,0)</f>
        <v>0</v>
      </c>
      <c r="R40" s="63">
        <f>IFERROR(aurora_data!Q1360,0)</f>
        <v>0</v>
      </c>
      <c r="S40" s="62">
        <f>IFERROR(aurora_data!R1360,0)</f>
        <v>0</v>
      </c>
      <c r="T40" s="62">
        <f>IFERROR(aurora_data!S1360,0)</f>
        <v>0</v>
      </c>
      <c r="U40" s="63">
        <f>IFERROR(aurora_data!T1360,0)</f>
        <v>0</v>
      </c>
      <c r="V40" s="64" t="s">
        <v>95</v>
      </c>
      <c r="W40" s="36">
        <f>IFERROR(aurora_data!U1360,0)</f>
        <v>0</v>
      </c>
      <c r="X40" s="71">
        <f t="shared" si="3"/>
        <v>0</v>
      </c>
      <c r="Y40" s="2"/>
    </row>
    <row r="41" spans="1:25" customFormat="1" ht="16.5" thickBot="1">
      <c r="A41" s="2"/>
      <c r="B41" s="211"/>
      <c r="C41" s="213"/>
      <c r="D41" s="35" t="s">
        <v>99</v>
      </c>
      <c r="E41" s="36">
        <f>IFERROR(aurora_data!D1361,0)</f>
        <v>0</v>
      </c>
      <c r="F41" s="62">
        <f>IFERROR(aurora_data!E1361,0)</f>
        <v>0</v>
      </c>
      <c r="G41" s="62">
        <f>IFERROR(aurora_data!F1361,0)</f>
        <v>0</v>
      </c>
      <c r="H41" s="62">
        <f>IFERROR(aurora_data!G1361,0)</f>
        <v>0</v>
      </c>
      <c r="I41" s="63">
        <f>IFERROR(aurora_data!H1361,0)</f>
        <v>0</v>
      </c>
      <c r="J41" s="36">
        <f>IFERROR(aurora_data!I1361,0)</f>
        <v>0</v>
      </c>
      <c r="K41" s="62">
        <f>IFERROR(aurora_data!J1361,0)</f>
        <v>0</v>
      </c>
      <c r="L41" s="62">
        <f>IFERROR(aurora_data!K1361,0)</f>
        <v>0</v>
      </c>
      <c r="M41" s="62">
        <f>IFERROR(aurora_data!L1361,0)</f>
        <v>0</v>
      </c>
      <c r="N41" s="63">
        <f>IFERROR(aurora_data!M1361,0)</f>
        <v>0</v>
      </c>
      <c r="O41" s="36">
        <f>IFERROR(aurora_data!N1361,0)</f>
        <v>0</v>
      </c>
      <c r="P41" s="62">
        <f>IFERROR(aurora_data!O1361,0)</f>
        <v>0</v>
      </c>
      <c r="Q41" s="62">
        <f>IFERROR(aurora_data!P1361,0)</f>
        <v>0</v>
      </c>
      <c r="R41" s="63">
        <f>IFERROR(aurora_data!Q1361,0)</f>
        <v>0</v>
      </c>
      <c r="S41" s="62">
        <f>IFERROR(aurora_data!R1361,0)</f>
        <v>0</v>
      </c>
      <c r="T41" s="62">
        <f>IFERROR(aurora_data!S1361,0)</f>
        <v>0</v>
      </c>
      <c r="U41" s="63">
        <f>IFERROR(aurora_data!T1361,0)</f>
        <v>0</v>
      </c>
      <c r="V41" s="64" t="s">
        <v>95</v>
      </c>
      <c r="W41" s="36">
        <f>IFERROR(aurora_data!U1361,0)</f>
        <v>0</v>
      </c>
      <c r="X41" s="71">
        <f t="shared" si="3"/>
        <v>0</v>
      </c>
      <c r="Y41" s="2"/>
    </row>
    <row r="42" spans="1:25" customFormat="1" ht="16.5" thickBot="1">
      <c r="A42" s="2"/>
      <c r="B42" s="211"/>
      <c r="C42" s="213"/>
      <c r="D42" s="37" t="s">
        <v>64</v>
      </c>
      <c r="E42" s="59">
        <f>IFERROR(aurora_data!D1362,0)</f>
        <v>0</v>
      </c>
      <c r="F42" s="65">
        <f>IFERROR(aurora_data!E1362,0)</f>
        <v>1</v>
      </c>
      <c r="G42" s="65">
        <f>IFERROR(aurora_data!F1362,0)</f>
        <v>0</v>
      </c>
      <c r="H42" s="65">
        <f>IFERROR(aurora_data!G1362,0)</f>
        <v>0</v>
      </c>
      <c r="I42" s="66">
        <f>IFERROR(aurora_data!H1362,0)</f>
        <v>0</v>
      </c>
      <c r="J42" s="59">
        <f>IFERROR(aurora_data!I1362,0)</f>
        <v>0</v>
      </c>
      <c r="K42" s="65">
        <f>IFERROR(aurora_data!J1362,0)</f>
        <v>1</v>
      </c>
      <c r="L42" s="65">
        <f>IFERROR(aurora_data!K1362,0)</f>
        <v>0</v>
      </c>
      <c r="M42" s="65">
        <f>IFERROR(aurora_data!L1362,0)</f>
        <v>0</v>
      </c>
      <c r="N42" s="66">
        <f>IFERROR(aurora_data!M1362,0)</f>
        <v>0</v>
      </c>
      <c r="O42" s="59">
        <f>IFERROR(aurora_data!N1362,0)</f>
        <v>0</v>
      </c>
      <c r="P42" s="65">
        <f>IFERROR(aurora_data!O1362,0)</f>
        <v>0</v>
      </c>
      <c r="Q42" s="65">
        <f>IFERROR(aurora_data!P1362,0)</f>
        <v>1</v>
      </c>
      <c r="R42" s="66">
        <f>IFERROR(aurora_data!Q1362,0)</f>
        <v>0</v>
      </c>
      <c r="S42" s="65">
        <f>IFERROR(aurora_data!R1362,0)</f>
        <v>0</v>
      </c>
      <c r="T42" s="65">
        <f>IFERROR(aurora_data!S1362,0)</f>
        <v>1</v>
      </c>
      <c r="U42" s="66">
        <f>IFERROR(aurora_data!T1362,0)</f>
        <v>0</v>
      </c>
      <c r="V42" s="67" t="s">
        <v>95</v>
      </c>
      <c r="W42" s="59">
        <f>IFERROR(aurora_data!U1362,0)</f>
        <v>1</v>
      </c>
      <c r="X42" s="72">
        <f t="shared" si="3"/>
        <v>0.1</v>
      </c>
      <c r="Y42" s="2"/>
    </row>
    <row r="43" spans="1:25" customFormat="1" ht="16.5" thickBot="1">
      <c r="A43" s="2"/>
      <c r="B43" s="211"/>
      <c r="C43" s="213"/>
      <c r="D43" s="38" t="s">
        <v>100</v>
      </c>
      <c r="E43" s="60">
        <f>IFERROR(aurora_data!D1363,0)</f>
        <v>0</v>
      </c>
      <c r="F43" s="68">
        <f>IFERROR(aurora_data!E1363,0)</f>
        <v>0</v>
      </c>
      <c r="G43" s="68">
        <f>IFERROR(aurora_data!F1363,0)</f>
        <v>0</v>
      </c>
      <c r="H43" s="68">
        <f>IFERROR(aurora_data!G1363,0)</f>
        <v>0</v>
      </c>
      <c r="I43" s="69">
        <f>IFERROR(aurora_data!H1363,0)</f>
        <v>0</v>
      </c>
      <c r="J43" s="60">
        <f>IFERROR(aurora_data!I1363,0)</f>
        <v>0</v>
      </c>
      <c r="K43" s="68">
        <f>IFERROR(aurora_data!J1363,0)</f>
        <v>0</v>
      </c>
      <c r="L43" s="68">
        <f>IFERROR(aurora_data!K1363,0)</f>
        <v>0</v>
      </c>
      <c r="M43" s="68">
        <f>IFERROR(aurora_data!L1363,0)</f>
        <v>0</v>
      </c>
      <c r="N43" s="69">
        <f>IFERROR(aurora_data!M1363,0)</f>
        <v>0</v>
      </c>
      <c r="O43" s="60">
        <f>IFERROR(aurora_data!N1363,0)</f>
        <v>0</v>
      </c>
      <c r="P43" s="68">
        <f>IFERROR(aurora_data!O1363,0)</f>
        <v>0</v>
      </c>
      <c r="Q43" s="68">
        <f>IFERROR(aurora_data!P1363,0)</f>
        <v>0</v>
      </c>
      <c r="R43" s="69">
        <f>IFERROR(aurora_data!Q1363,0)</f>
        <v>0</v>
      </c>
      <c r="S43" s="68">
        <f>IFERROR(aurora_data!R1363,0)</f>
        <v>0</v>
      </c>
      <c r="T43" s="68">
        <f>IFERROR(aurora_data!S1363,0)</f>
        <v>0</v>
      </c>
      <c r="U43" s="74">
        <f>IFERROR(aurora_data!T1363,0)</f>
        <v>0</v>
      </c>
      <c r="V43" s="75" t="s">
        <v>95</v>
      </c>
      <c r="W43" s="60">
        <f>IFERROR(aurora_data!U1363,0)</f>
        <v>0</v>
      </c>
      <c r="X43" s="73">
        <f t="shared" si="3"/>
        <v>0</v>
      </c>
      <c r="Y43" s="2"/>
    </row>
    <row r="44" spans="1:25" customFormat="1">
      <c r="A44" s="2"/>
      <c r="B44" s="210" t="s">
        <v>94</v>
      </c>
      <c r="C44" s="212" t="str">
        <f>aurora_data!A1364</f>
        <v>10.00.00-10.11.30</v>
      </c>
      <c r="D44" s="34" t="s">
        <v>71</v>
      </c>
      <c r="E44" s="39">
        <f>IFERROR(aurora_data!D1364,0)</f>
        <v>0</v>
      </c>
      <c r="F44" s="40">
        <f>IFERROR(aurora_data!E1364,0)</f>
        <v>0</v>
      </c>
      <c r="G44" s="40">
        <f>IFERROR(aurora_data!F1364,0)</f>
        <v>0</v>
      </c>
      <c r="H44" s="40">
        <f>IFERROR(aurora_data!G1364,0)</f>
        <v>0</v>
      </c>
      <c r="I44" s="41">
        <f>IFERROR(aurora_data!H1364,0)</f>
        <v>0</v>
      </c>
      <c r="J44" s="39">
        <f>IFERROR(aurora_data!I1364,0)</f>
        <v>0</v>
      </c>
      <c r="K44" s="40">
        <f>IFERROR(aurora_data!J1364,0)</f>
        <v>0</v>
      </c>
      <c r="L44" s="40">
        <f>IFERROR(aurora_data!K1364,0)</f>
        <v>0</v>
      </c>
      <c r="M44" s="40">
        <f>IFERROR(aurora_data!L1364,0)</f>
        <v>0</v>
      </c>
      <c r="N44" s="41">
        <f>IFERROR(aurora_data!M1364,0)</f>
        <v>0</v>
      </c>
      <c r="O44" s="39">
        <f>IFERROR(aurora_data!N1364,0)</f>
        <v>0</v>
      </c>
      <c r="P44" s="40">
        <f>IFERROR(aurora_data!O1364,0)</f>
        <v>0</v>
      </c>
      <c r="Q44" s="40">
        <f>IFERROR(aurora_data!P1364,0)</f>
        <v>0</v>
      </c>
      <c r="R44" s="41">
        <f>IFERROR(aurora_data!Q1364,0)</f>
        <v>0</v>
      </c>
      <c r="S44" s="40">
        <f>IFERROR(aurora_data!R1364,0)</f>
        <v>0</v>
      </c>
      <c r="T44" s="40">
        <f>IFERROR(aurora_data!S1364,0)</f>
        <v>0</v>
      </c>
      <c r="U44" s="76">
        <f>IFERROR(aurora_data!T1364,0)</f>
        <v>0</v>
      </c>
      <c r="V44" s="61" t="s">
        <v>95</v>
      </c>
      <c r="W44" s="39">
        <f>IFERROR(aurora_data!U1364,0)</f>
        <v>10</v>
      </c>
      <c r="X44" s="70">
        <f>IFERROR(W44/$W$12,0)</f>
        <v>1</v>
      </c>
      <c r="Y44" s="2"/>
    </row>
    <row r="45" spans="1:25" customFormat="1">
      <c r="A45" s="2"/>
      <c r="B45" s="211"/>
      <c r="C45" s="213"/>
      <c r="D45" s="35" t="s">
        <v>96</v>
      </c>
      <c r="E45" s="110">
        <f>IFERROR(aurora_data!D1365,0)</f>
        <v>1</v>
      </c>
      <c r="F45" s="62">
        <f>IFERROR(aurora_data!E1365,0)</f>
        <v>1</v>
      </c>
      <c r="G45" s="62">
        <f>IFERROR(aurora_data!F1365,0)</f>
        <v>0</v>
      </c>
      <c r="H45" s="62">
        <f>IFERROR(aurora_data!G1365,0)</f>
        <v>0</v>
      </c>
      <c r="I45" s="63">
        <f>IFERROR(aurora_data!H1365,0)</f>
        <v>0</v>
      </c>
      <c r="J45" s="36">
        <f>IFERROR(aurora_data!I1365,0)</f>
        <v>0</v>
      </c>
      <c r="K45" s="62">
        <f>IFERROR(aurora_data!J1365,0)</f>
        <v>1</v>
      </c>
      <c r="L45" s="62">
        <f>IFERROR(aurora_data!K1365,0)</f>
        <v>0</v>
      </c>
      <c r="M45" s="62">
        <f>IFERROR(aurora_data!L1365,0)</f>
        <v>1</v>
      </c>
      <c r="N45" s="63">
        <f>IFERROR(aurora_data!M1365,0)</f>
        <v>0</v>
      </c>
      <c r="O45" s="36">
        <f>IFERROR(aurora_data!N1365,0)</f>
        <v>0</v>
      </c>
      <c r="P45" s="62">
        <f>IFERROR(aurora_data!O1365,0)</f>
        <v>0</v>
      </c>
      <c r="Q45" s="62">
        <f>IFERROR(aurora_data!P1365,0)</f>
        <v>2</v>
      </c>
      <c r="R45" s="63">
        <f>IFERROR(aurora_data!Q1365,0)</f>
        <v>0</v>
      </c>
      <c r="S45" s="62">
        <f>IFERROR(aurora_data!R1365,0)</f>
        <v>0</v>
      </c>
      <c r="T45" s="62">
        <f>IFERROR(aurora_data!S1365,0)</f>
        <v>2</v>
      </c>
      <c r="U45" s="63">
        <f>IFERROR(aurora_data!T1365,0)</f>
        <v>0</v>
      </c>
      <c r="V45" s="64" t="s">
        <v>95</v>
      </c>
      <c r="W45" s="36">
        <f>IFERROR(aurora_data!U1365,0)</f>
        <v>2</v>
      </c>
      <c r="X45" s="71">
        <f t="shared" ref="X45:X51" si="4">IFERROR(W45/$W$12,0)</f>
        <v>0.2</v>
      </c>
      <c r="Y45" s="2"/>
    </row>
    <row r="46" spans="1:25" customFormat="1">
      <c r="A46" s="2"/>
      <c r="B46" s="211"/>
      <c r="C46" s="213"/>
      <c r="D46" s="35" t="s">
        <v>60</v>
      </c>
      <c r="E46" s="110">
        <f>IFERROR(aurora_data!D1366,0)</f>
        <v>0</v>
      </c>
      <c r="F46" s="62">
        <f>IFERROR(aurora_data!E1366,0)</f>
        <v>0</v>
      </c>
      <c r="G46" s="62">
        <f>IFERROR(aurora_data!F1366,0)</f>
        <v>0</v>
      </c>
      <c r="H46" s="62">
        <f>IFERROR(aurora_data!G1366,0)</f>
        <v>0</v>
      </c>
      <c r="I46" s="63">
        <f>IFERROR(aurora_data!H1366,0)</f>
        <v>0</v>
      </c>
      <c r="J46" s="36">
        <f>IFERROR(aurora_data!I1366,0)</f>
        <v>0</v>
      </c>
      <c r="K46" s="62">
        <f>IFERROR(aurora_data!J1366,0)</f>
        <v>0</v>
      </c>
      <c r="L46" s="62">
        <f>IFERROR(aurora_data!K1366,0)</f>
        <v>0</v>
      </c>
      <c r="M46" s="62">
        <f>IFERROR(aurora_data!L1366,0)</f>
        <v>0</v>
      </c>
      <c r="N46" s="63">
        <f>IFERROR(aurora_data!M1366,0)</f>
        <v>0</v>
      </c>
      <c r="O46" s="36">
        <f>IFERROR(aurora_data!N1366,0)</f>
        <v>0</v>
      </c>
      <c r="P46" s="62">
        <f>IFERROR(aurora_data!O1366,0)</f>
        <v>0</v>
      </c>
      <c r="Q46" s="62">
        <f>IFERROR(aurora_data!P1366,0)</f>
        <v>0</v>
      </c>
      <c r="R46" s="63">
        <f>IFERROR(aurora_data!Q1366,0)</f>
        <v>0</v>
      </c>
      <c r="S46" s="62">
        <f>IFERROR(aurora_data!R1366,0)</f>
        <v>0</v>
      </c>
      <c r="T46" s="62">
        <f>IFERROR(aurora_data!S1366,0)</f>
        <v>0</v>
      </c>
      <c r="U46" s="63">
        <f>IFERROR(aurora_data!T1366,0)</f>
        <v>0</v>
      </c>
      <c r="V46" s="64" t="s">
        <v>95</v>
      </c>
      <c r="W46" s="36">
        <f>IFERROR(aurora_data!U1366,0)</f>
        <v>0</v>
      </c>
      <c r="X46" s="71">
        <f t="shared" si="4"/>
        <v>0</v>
      </c>
      <c r="Y46" s="2"/>
    </row>
    <row r="47" spans="1:25" customFormat="1">
      <c r="A47" s="2"/>
      <c r="B47" s="211"/>
      <c r="C47" s="213"/>
      <c r="D47" s="35" t="s">
        <v>97</v>
      </c>
      <c r="E47" s="36">
        <f>IFERROR(aurora_data!D1367,0)</f>
        <v>0</v>
      </c>
      <c r="F47" s="62">
        <f>IFERROR(aurora_data!E1367,0)</f>
        <v>0</v>
      </c>
      <c r="G47" s="62">
        <f>IFERROR(aurora_data!F1367,0)</f>
        <v>0</v>
      </c>
      <c r="H47" s="62">
        <f>IFERROR(aurora_data!G1367,0)</f>
        <v>0</v>
      </c>
      <c r="I47" s="63">
        <f>IFERROR(aurora_data!H1367,0)</f>
        <v>0</v>
      </c>
      <c r="J47" s="36">
        <f>IFERROR(aurora_data!I1367,0)</f>
        <v>0</v>
      </c>
      <c r="K47" s="62">
        <f>IFERROR(aurora_data!J1367,0)</f>
        <v>0</v>
      </c>
      <c r="L47" s="62">
        <f>IFERROR(aurora_data!K1367,0)</f>
        <v>0</v>
      </c>
      <c r="M47" s="62">
        <f>IFERROR(aurora_data!L1367,0)</f>
        <v>0</v>
      </c>
      <c r="N47" s="63">
        <f>IFERROR(aurora_data!M1367,0)</f>
        <v>0</v>
      </c>
      <c r="O47" s="36">
        <f>IFERROR(aurora_data!N1367,0)</f>
        <v>0</v>
      </c>
      <c r="P47" s="62">
        <f>IFERROR(aurora_data!O1367,0)</f>
        <v>0</v>
      </c>
      <c r="Q47" s="62">
        <f>IFERROR(aurora_data!P1367,0)</f>
        <v>0</v>
      </c>
      <c r="R47" s="63">
        <f>IFERROR(aurora_data!Q1367,0)</f>
        <v>0</v>
      </c>
      <c r="S47" s="62">
        <f>IFERROR(aurora_data!R1367,0)</f>
        <v>0</v>
      </c>
      <c r="T47" s="62">
        <f>IFERROR(aurora_data!S1367,0)</f>
        <v>0</v>
      </c>
      <c r="U47" s="63">
        <f>IFERROR(aurora_data!T1367,0)</f>
        <v>0</v>
      </c>
      <c r="V47" s="64" t="s">
        <v>95</v>
      </c>
      <c r="W47" s="36">
        <f>IFERROR(aurora_data!U1367,0)</f>
        <v>0</v>
      </c>
      <c r="X47" s="71">
        <f t="shared" si="4"/>
        <v>0</v>
      </c>
      <c r="Y47" s="2"/>
    </row>
    <row r="48" spans="1:25" customFormat="1">
      <c r="A48" s="2"/>
      <c r="B48" s="211"/>
      <c r="C48" s="213"/>
      <c r="D48" s="35" t="s">
        <v>98</v>
      </c>
      <c r="E48" s="36">
        <f>IFERROR(aurora_data!D1368,0)</f>
        <v>0</v>
      </c>
      <c r="F48" s="62">
        <f>IFERROR(aurora_data!E1368,0)</f>
        <v>0</v>
      </c>
      <c r="G48" s="62">
        <f>IFERROR(aurora_data!F1368,0)</f>
        <v>0</v>
      </c>
      <c r="H48" s="62">
        <f>IFERROR(aurora_data!G1368,0)</f>
        <v>0</v>
      </c>
      <c r="I48" s="63">
        <f>IFERROR(aurora_data!H1368,0)</f>
        <v>0</v>
      </c>
      <c r="J48" s="36">
        <f>IFERROR(aurora_data!I1368,0)</f>
        <v>0</v>
      </c>
      <c r="K48" s="62">
        <f>IFERROR(aurora_data!J1368,0)</f>
        <v>0</v>
      </c>
      <c r="L48" s="62">
        <f>IFERROR(aurora_data!K1368,0)</f>
        <v>0</v>
      </c>
      <c r="M48" s="62">
        <f>IFERROR(aurora_data!L1368,0)</f>
        <v>0</v>
      </c>
      <c r="N48" s="63">
        <f>IFERROR(aurora_data!M1368,0)</f>
        <v>0</v>
      </c>
      <c r="O48" s="36">
        <f>IFERROR(aurora_data!N1368,0)</f>
        <v>0</v>
      </c>
      <c r="P48" s="62">
        <f>IFERROR(aurora_data!O1368,0)</f>
        <v>0</v>
      </c>
      <c r="Q48" s="62">
        <f>IFERROR(aurora_data!P1368,0)</f>
        <v>0</v>
      </c>
      <c r="R48" s="63">
        <f>IFERROR(aurora_data!Q1368,0)</f>
        <v>0</v>
      </c>
      <c r="S48" s="62">
        <f>IFERROR(aurora_data!R1368,0)</f>
        <v>0</v>
      </c>
      <c r="T48" s="62">
        <f>IFERROR(aurora_data!S1368,0)</f>
        <v>0</v>
      </c>
      <c r="U48" s="63">
        <f>IFERROR(aurora_data!T1368,0)</f>
        <v>0</v>
      </c>
      <c r="V48" s="64" t="s">
        <v>95</v>
      </c>
      <c r="W48" s="36">
        <f>IFERROR(aurora_data!U1368,0)</f>
        <v>0</v>
      </c>
      <c r="X48" s="71">
        <f t="shared" si="4"/>
        <v>0</v>
      </c>
      <c r="Y48" s="2"/>
    </row>
    <row r="49" spans="1:25" customFormat="1" ht="16.5" thickBot="1">
      <c r="A49" s="2"/>
      <c r="B49" s="211"/>
      <c r="C49" s="213"/>
      <c r="D49" s="35" t="s">
        <v>99</v>
      </c>
      <c r="E49" s="36">
        <f>IFERROR(aurora_data!D1369,0)</f>
        <v>0</v>
      </c>
      <c r="F49" s="62">
        <f>IFERROR(aurora_data!E1369,0)</f>
        <v>0</v>
      </c>
      <c r="G49" s="62">
        <f>IFERROR(aurora_data!F1369,0)</f>
        <v>0</v>
      </c>
      <c r="H49" s="62">
        <f>IFERROR(aurora_data!G1369,0)</f>
        <v>0</v>
      </c>
      <c r="I49" s="63">
        <f>IFERROR(aurora_data!H1369,0)</f>
        <v>0</v>
      </c>
      <c r="J49" s="36">
        <f>IFERROR(aurora_data!I1369,0)</f>
        <v>0</v>
      </c>
      <c r="K49" s="62">
        <f>IFERROR(aurora_data!J1369,0)</f>
        <v>0</v>
      </c>
      <c r="L49" s="62">
        <f>IFERROR(aurora_data!K1369,0)</f>
        <v>0</v>
      </c>
      <c r="M49" s="62">
        <f>IFERROR(aurora_data!L1369,0)</f>
        <v>0</v>
      </c>
      <c r="N49" s="63">
        <f>IFERROR(aurora_data!M1369,0)</f>
        <v>0</v>
      </c>
      <c r="O49" s="36">
        <f>IFERROR(aurora_data!N1369,0)</f>
        <v>0</v>
      </c>
      <c r="P49" s="62">
        <f>IFERROR(aurora_data!O1369,0)</f>
        <v>0</v>
      </c>
      <c r="Q49" s="62">
        <f>IFERROR(aurora_data!P1369,0)</f>
        <v>0</v>
      </c>
      <c r="R49" s="63">
        <f>IFERROR(aurora_data!Q1369,0)</f>
        <v>0</v>
      </c>
      <c r="S49" s="62">
        <f>IFERROR(aurora_data!R1369,0)</f>
        <v>0</v>
      </c>
      <c r="T49" s="62">
        <f>IFERROR(aurora_data!S1369,0)</f>
        <v>0</v>
      </c>
      <c r="U49" s="63">
        <f>IFERROR(aurora_data!T1369,0)</f>
        <v>0</v>
      </c>
      <c r="V49" s="64" t="s">
        <v>95</v>
      </c>
      <c r="W49" s="36">
        <f>IFERROR(aurora_data!U1369,0)</f>
        <v>0</v>
      </c>
      <c r="X49" s="71">
        <f t="shared" si="4"/>
        <v>0</v>
      </c>
      <c r="Y49" s="2"/>
    </row>
    <row r="50" spans="1:25" customFormat="1" ht="16.5" thickBot="1">
      <c r="A50" s="2"/>
      <c r="B50" s="211"/>
      <c r="C50" s="213"/>
      <c r="D50" s="37" t="s">
        <v>64</v>
      </c>
      <c r="E50" s="59">
        <f>IFERROR(aurora_data!D1370,0)</f>
        <v>1</v>
      </c>
      <c r="F50" s="65">
        <f>IFERROR(aurora_data!E1370,0)</f>
        <v>1</v>
      </c>
      <c r="G50" s="65">
        <f>IFERROR(aurora_data!F1370,0)</f>
        <v>0</v>
      </c>
      <c r="H50" s="65">
        <f>IFERROR(aurora_data!G1370,0)</f>
        <v>0</v>
      </c>
      <c r="I50" s="66">
        <f>IFERROR(aurora_data!H1370,0)</f>
        <v>0</v>
      </c>
      <c r="J50" s="59">
        <f>IFERROR(aurora_data!I1370,0)</f>
        <v>0</v>
      </c>
      <c r="K50" s="65">
        <f>IFERROR(aurora_data!J1370,0)</f>
        <v>1</v>
      </c>
      <c r="L50" s="65">
        <f>IFERROR(aurora_data!K1370,0)</f>
        <v>0</v>
      </c>
      <c r="M50" s="65">
        <f>IFERROR(aurora_data!L1370,0)</f>
        <v>1</v>
      </c>
      <c r="N50" s="66">
        <f>IFERROR(aurora_data!M1370,0)</f>
        <v>0</v>
      </c>
      <c r="O50" s="59">
        <f>IFERROR(aurora_data!N1370,0)</f>
        <v>0</v>
      </c>
      <c r="P50" s="65">
        <f>IFERROR(aurora_data!O1370,0)</f>
        <v>0</v>
      </c>
      <c r="Q50" s="65">
        <f>IFERROR(aurora_data!P1370,0)</f>
        <v>2</v>
      </c>
      <c r="R50" s="66">
        <f>IFERROR(aurora_data!Q1370,0)</f>
        <v>0</v>
      </c>
      <c r="S50" s="65">
        <f>IFERROR(aurora_data!R1370,0)</f>
        <v>0</v>
      </c>
      <c r="T50" s="65">
        <f>IFERROR(aurora_data!S1370,0)</f>
        <v>2</v>
      </c>
      <c r="U50" s="66">
        <f>IFERROR(aurora_data!T1370,0)</f>
        <v>0</v>
      </c>
      <c r="V50" s="67" t="s">
        <v>95</v>
      </c>
      <c r="W50" s="59">
        <f>IFERROR(aurora_data!U1370,0)</f>
        <v>2</v>
      </c>
      <c r="X50" s="72">
        <f t="shared" si="4"/>
        <v>0.2</v>
      </c>
      <c r="Y50" s="2"/>
    </row>
    <row r="51" spans="1:25" customFormat="1" ht="16.5" thickBot="1">
      <c r="A51" s="2"/>
      <c r="B51" s="211"/>
      <c r="C51" s="213"/>
      <c r="D51" s="38" t="s">
        <v>100</v>
      </c>
      <c r="E51" s="60">
        <f>IFERROR(aurora_data!D1371,0)</f>
        <v>0</v>
      </c>
      <c r="F51" s="68">
        <f>IFERROR(aurora_data!E1371,0)</f>
        <v>0</v>
      </c>
      <c r="G51" s="68">
        <f>IFERROR(aurora_data!F1371,0)</f>
        <v>0</v>
      </c>
      <c r="H51" s="68">
        <f>IFERROR(aurora_data!G1371,0)</f>
        <v>0</v>
      </c>
      <c r="I51" s="69">
        <f>IFERROR(aurora_data!H1371,0)</f>
        <v>0</v>
      </c>
      <c r="J51" s="60">
        <f>IFERROR(aurora_data!I1371,0)</f>
        <v>0</v>
      </c>
      <c r="K51" s="68">
        <f>IFERROR(aurora_data!J1371,0)</f>
        <v>0</v>
      </c>
      <c r="L51" s="68">
        <f>IFERROR(aurora_data!K1371,0)</f>
        <v>0</v>
      </c>
      <c r="M51" s="68">
        <f>IFERROR(aurora_data!L1371,0)</f>
        <v>0</v>
      </c>
      <c r="N51" s="69">
        <f>IFERROR(aurora_data!M1371,0)</f>
        <v>0</v>
      </c>
      <c r="O51" s="60">
        <f>IFERROR(aurora_data!N1371,0)</f>
        <v>0</v>
      </c>
      <c r="P51" s="68">
        <f>IFERROR(aurora_data!O1371,0)</f>
        <v>0</v>
      </c>
      <c r="Q51" s="68">
        <f>IFERROR(aurora_data!P1371,0)</f>
        <v>0</v>
      </c>
      <c r="R51" s="69">
        <f>IFERROR(aurora_data!Q1371,0)</f>
        <v>0</v>
      </c>
      <c r="S51" s="68">
        <f>IFERROR(aurora_data!R1371,0)</f>
        <v>0</v>
      </c>
      <c r="T51" s="68">
        <f>IFERROR(aurora_data!S1371,0)</f>
        <v>0</v>
      </c>
      <c r="U51" s="74">
        <f>IFERROR(aurora_data!T1371,0)</f>
        <v>0</v>
      </c>
      <c r="V51" s="75" t="s">
        <v>95</v>
      </c>
      <c r="W51" s="60">
        <f>IFERROR(aurora_data!U1371,0)</f>
        <v>0</v>
      </c>
      <c r="X51" s="73">
        <f t="shared" si="4"/>
        <v>0</v>
      </c>
      <c r="Y51" s="2"/>
    </row>
    <row r="52" spans="1:25" customFormat="1">
      <c r="A52" s="2"/>
      <c r="B52" s="210" t="s">
        <v>94</v>
      </c>
      <c r="C52" s="212" t="str">
        <f>aurora_data!A1372</f>
        <v>11.00.00-11.11.30</v>
      </c>
      <c r="D52" s="34" t="s">
        <v>71</v>
      </c>
      <c r="E52" s="39">
        <f>IFERROR(aurora_data!D1372,0)</f>
        <v>0</v>
      </c>
      <c r="F52" s="40">
        <f>IFERROR(aurora_data!E1372,0)</f>
        <v>0</v>
      </c>
      <c r="G52" s="40">
        <f>IFERROR(aurora_data!F1372,0)</f>
        <v>0</v>
      </c>
      <c r="H52" s="40">
        <f>IFERROR(aurora_data!G1372,0)</f>
        <v>0</v>
      </c>
      <c r="I52" s="41">
        <f>IFERROR(aurora_data!H1372,0)</f>
        <v>0</v>
      </c>
      <c r="J52" s="39">
        <f>IFERROR(aurora_data!I1372,0)</f>
        <v>0</v>
      </c>
      <c r="K52" s="40">
        <f>IFERROR(aurora_data!J1372,0)</f>
        <v>0</v>
      </c>
      <c r="L52" s="40">
        <f>IFERROR(aurora_data!K1372,0)</f>
        <v>0</v>
      </c>
      <c r="M52" s="40">
        <f>IFERROR(aurora_data!L1372,0)</f>
        <v>0</v>
      </c>
      <c r="N52" s="41">
        <f>IFERROR(aurora_data!M1372,0)</f>
        <v>0</v>
      </c>
      <c r="O52" s="39">
        <f>IFERROR(aurora_data!N1372,0)</f>
        <v>0</v>
      </c>
      <c r="P52" s="40">
        <f>IFERROR(aurora_data!O1372,0)</f>
        <v>0</v>
      </c>
      <c r="Q52" s="40">
        <f>IFERROR(aurora_data!P1372,0)</f>
        <v>0</v>
      </c>
      <c r="R52" s="41">
        <f>IFERROR(aurora_data!Q1372,0)</f>
        <v>0</v>
      </c>
      <c r="S52" s="40">
        <f>IFERROR(aurora_data!R1372,0)</f>
        <v>0</v>
      </c>
      <c r="T52" s="40">
        <f>IFERROR(aurora_data!S1372,0)</f>
        <v>0</v>
      </c>
      <c r="U52" s="76">
        <f>IFERROR(aurora_data!T1372,0)</f>
        <v>0</v>
      </c>
      <c r="V52" s="61" t="s">
        <v>95</v>
      </c>
      <c r="W52" s="39">
        <f>IFERROR(aurora_data!U1372,0)</f>
        <v>10</v>
      </c>
      <c r="X52" s="70">
        <f>IFERROR(W52/$W$12,0)</f>
        <v>1</v>
      </c>
      <c r="Y52" s="2"/>
    </row>
    <row r="53" spans="1:25" customFormat="1">
      <c r="A53" s="2"/>
      <c r="B53" s="211"/>
      <c r="C53" s="213"/>
      <c r="D53" s="35" t="s">
        <v>96</v>
      </c>
      <c r="E53" s="110">
        <f>IFERROR(aurora_data!D1373,0)</f>
        <v>0</v>
      </c>
      <c r="F53" s="62">
        <f>IFERROR(aurora_data!E1373,0)</f>
        <v>0</v>
      </c>
      <c r="G53" s="62">
        <f>IFERROR(aurora_data!F1373,0)</f>
        <v>0</v>
      </c>
      <c r="H53" s="62">
        <f>IFERROR(aurora_data!G1373,0)</f>
        <v>1</v>
      </c>
      <c r="I53" s="63">
        <f>IFERROR(aurora_data!H1373,0)</f>
        <v>0</v>
      </c>
      <c r="J53" s="36">
        <f>IFERROR(aurora_data!I1373,0)</f>
        <v>0</v>
      </c>
      <c r="K53" s="62">
        <f>IFERROR(aurora_data!J1373,0)</f>
        <v>0</v>
      </c>
      <c r="L53" s="62">
        <f>IFERROR(aurora_data!K1373,0)</f>
        <v>0</v>
      </c>
      <c r="M53" s="62">
        <f>IFERROR(aurora_data!L1373,0)</f>
        <v>0</v>
      </c>
      <c r="N53" s="63">
        <f>IFERROR(aurora_data!M1373,0)</f>
        <v>1</v>
      </c>
      <c r="O53" s="36">
        <f>IFERROR(aurora_data!N1373,0)</f>
        <v>0</v>
      </c>
      <c r="P53" s="62">
        <f>IFERROR(aurora_data!O1373,0)</f>
        <v>0</v>
      </c>
      <c r="Q53" s="62">
        <f>IFERROR(aurora_data!P1373,0)</f>
        <v>1</v>
      </c>
      <c r="R53" s="63">
        <f>IFERROR(aurora_data!Q1373,0)</f>
        <v>0</v>
      </c>
      <c r="S53" s="62">
        <f>IFERROR(aurora_data!R1373,0)</f>
        <v>0</v>
      </c>
      <c r="T53" s="62">
        <f>IFERROR(aurora_data!S1373,0)</f>
        <v>1</v>
      </c>
      <c r="U53" s="63">
        <f>IFERROR(aurora_data!T1373,0)</f>
        <v>0</v>
      </c>
      <c r="V53" s="64" t="s">
        <v>95</v>
      </c>
      <c r="W53" s="36">
        <f>IFERROR(aurora_data!U1373,0)</f>
        <v>1</v>
      </c>
      <c r="X53" s="71">
        <f t="shared" ref="X53:X59" si="5">IFERROR(W53/$W$12,0)</f>
        <v>0.1</v>
      </c>
      <c r="Y53" s="2"/>
    </row>
    <row r="54" spans="1:25" customFormat="1">
      <c r="A54" s="2"/>
      <c r="B54" s="211"/>
      <c r="C54" s="213"/>
      <c r="D54" s="35" t="s">
        <v>60</v>
      </c>
      <c r="E54" s="110">
        <f>IFERROR(aurora_data!D1374,0)</f>
        <v>0</v>
      </c>
      <c r="F54" s="62">
        <f>IFERROR(aurora_data!E1374,0)</f>
        <v>0</v>
      </c>
      <c r="G54" s="62">
        <f>IFERROR(aurora_data!F1374,0)</f>
        <v>0</v>
      </c>
      <c r="H54" s="62">
        <f>IFERROR(aurora_data!G1374,0)</f>
        <v>0</v>
      </c>
      <c r="I54" s="63">
        <f>IFERROR(aurora_data!H1374,0)</f>
        <v>0</v>
      </c>
      <c r="J54" s="36">
        <f>IFERROR(aurora_data!I1374,0)</f>
        <v>0</v>
      </c>
      <c r="K54" s="62">
        <f>IFERROR(aurora_data!J1374,0)</f>
        <v>0</v>
      </c>
      <c r="L54" s="62">
        <f>IFERROR(aurora_data!K1374,0)</f>
        <v>0</v>
      </c>
      <c r="M54" s="62">
        <f>IFERROR(aurora_data!L1374,0)</f>
        <v>0</v>
      </c>
      <c r="N54" s="63">
        <f>IFERROR(aurora_data!M1374,0)</f>
        <v>0</v>
      </c>
      <c r="O54" s="36">
        <f>IFERROR(aurora_data!N1374,0)</f>
        <v>0</v>
      </c>
      <c r="P54" s="62">
        <f>IFERROR(aurora_data!O1374,0)</f>
        <v>0</v>
      </c>
      <c r="Q54" s="62">
        <f>IFERROR(aurora_data!P1374,0)</f>
        <v>0</v>
      </c>
      <c r="R54" s="63">
        <f>IFERROR(aurora_data!Q1374,0)</f>
        <v>0</v>
      </c>
      <c r="S54" s="62">
        <f>IFERROR(aurora_data!R1374,0)</f>
        <v>0</v>
      </c>
      <c r="T54" s="62">
        <f>IFERROR(aurora_data!S1374,0)</f>
        <v>0</v>
      </c>
      <c r="U54" s="63">
        <f>IFERROR(aurora_data!T1374,0)</f>
        <v>0</v>
      </c>
      <c r="V54" s="64" t="s">
        <v>95</v>
      </c>
      <c r="W54" s="36">
        <f>IFERROR(aurora_data!U1374,0)</f>
        <v>0</v>
      </c>
      <c r="X54" s="71">
        <f t="shared" si="5"/>
        <v>0</v>
      </c>
      <c r="Y54" s="2"/>
    </row>
    <row r="55" spans="1:25" customFormat="1">
      <c r="A55" s="2"/>
      <c r="B55" s="211"/>
      <c r="C55" s="213"/>
      <c r="D55" s="35" t="s">
        <v>97</v>
      </c>
      <c r="E55" s="36">
        <f>IFERROR(aurora_data!D1375,0)</f>
        <v>0</v>
      </c>
      <c r="F55" s="62">
        <f>IFERROR(aurora_data!E1375,0)</f>
        <v>0</v>
      </c>
      <c r="G55" s="62">
        <f>IFERROR(aurora_data!F1375,0)</f>
        <v>0</v>
      </c>
      <c r="H55" s="62">
        <f>IFERROR(aurora_data!G1375,0)</f>
        <v>0</v>
      </c>
      <c r="I55" s="63">
        <f>IFERROR(aurora_data!H1375,0)</f>
        <v>0</v>
      </c>
      <c r="J55" s="36">
        <f>IFERROR(aurora_data!I1375,0)</f>
        <v>0</v>
      </c>
      <c r="K55" s="62">
        <f>IFERROR(aurora_data!J1375,0)</f>
        <v>0</v>
      </c>
      <c r="L55" s="62">
        <f>IFERROR(aurora_data!K1375,0)</f>
        <v>0</v>
      </c>
      <c r="M55" s="62">
        <f>IFERROR(aurora_data!L1375,0)</f>
        <v>0</v>
      </c>
      <c r="N55" s="63">
        <f>IFERROR(aurora_data!M1375,0)</f>
        <v>0</v>
      </c>
      <c r="O55" s="36">
        <f>IFERROR(aurora_data!N1375,0)</f>
        <v>0</v>
      </c>
      <c r="P55" s="62">
        <f>IFERROR(aurora_data!O1375,0)</f>
        <v>0</v>
      </c>
      <c r="Q55" s="62">
        <f>IFERROR(aurora_data!P1375,0)</f>
        <v>0</v>
      </c>
      <c r="R55" s="63">
        <f>IFERROR(aurora_data!Q1375,0)</f>
        <v>0</v>
      </c>
      <c r="S55" s="62">
        <f>IFERROR(aurora_data!R1375,0)</f>
        <v>0</v>
      </c>
      <c r="T55" s="62">
        <f>IFERROR(aurora_data!S1375,0)</f>
        <v>0</v>
      </c>
      <c r="U55" s="63">
        <f>IFERROR(aurora_data!T1375,0)</f>
        <v>0</v>
      </c>
      <c r="V55" s="64" t="s">
        <v>95</v>
      </c>
      <c r="W55" s="36">
        <f>IFERROR(aurora_data!U1375,0)</f>
        <v>0</v>
      </c>
      <c r="X55" s="71">
        <f t="shared" si="5"/>
        <v>0</v>
      </c>
      <c r="Y55" s="2"/>
    </row>
    <row r="56" spans="1:25" customFormat="1">
      <c r="A56" s="2"/>
      <c r="B56" s="211"/>
      <c r="C56" s="213"/>
      <c r="D56" s="35" t="s">
        <v>98</v>
      </c>
      <c r="E56" s="36">
        <f>IFERROR(aurora_data!D1376,0)</f>
        <v>0</v>
      </c>
      <c r="F56" s="62">
        <f>IFERROR(aurora_data!E1376,0)</f>
        <v>1</v>
      </c>
      <c r="G56" s="62">
        <f>IFERROR(aurora_data!F1376,0)</f>
        <v>0</v>
      </c>
      <c r="H56" s="62">
        <f>IFERROR(aurora_data!G1376,0)</f>
        <v>0</v>
      </c>
      <c r="I56" s="63">
        <f>IFERROR(aurora_data!H1376,0)</f>
        <v>0</v>
      </c>
      <c r="J56" s="36">
        <f>IFERROR(aurora_data!I1376,0)</f>
        <v>0</v>
      </c>
      <c r="K56" s="62">
        <f>IFERROR(aurora_data!J1376,0)</f>
        <v>0</v>
      </c>
      <c r="L56" s="62">
        <f>IFERROR(aurora_data!K1376,0)</f>
        <v>0</v>
      </c>
      <c r="M56" s="62">
        <f>IFERROR(aurora_data!L1376,0)</f>
        <v>0</v>
      </c>
      <c r="N56" s="63">
        <f>IFERROR(aurora_data!M1376,0)</f>
        <v>1</v>
      </c>
      <c r="O56" s="36">
        <f>IFERROR(aurora_data!N1376,0)</f>
        <v>0</v>
      </c>
      <c r="P56" s="62">
        <f>IFERROR(aurora_data!O1376,0)</f>
        <v>0</v>
      </c>
      <c r="Q56" s="62">
        <f>IFERROR(aurora_data!P1376,0)</f>
        <v>1</v>
      </c>
      <c r="R56" s="63">
        <f>IFERROR(aurora_data!Q1376,0)</f>
        <v>0</v>
      </c>
      <c r="S56" s="62">
        <f>IFERROR(aurora_data!R1376,0)</f>
        <v>1</v>
      </c>
      <c r="T56" s="62">
        <f>IFERROR(aurora_data!S1376,0)</f>
        <v>0</v>
      </c>
      <c r="U56" s="63">
        <f>IFERROR(aurora_data!T1376,0)</f>
        <v>0</v>
      </c>
      <c r="V56" s="64" t="s">
        <v>95</v>
      </c>
      <c r="W56" s="36">
        <f>IFERROR(aurora_data!U1376,0)</f>
        <v>1</v>
      </c>
      <c r="X56" s="71">
        <f t="shared" si="5"/>
        <v>0.1</v>
      </c>
      <c r="Y56" s="2"/>
    </row>
    <row r="57" spans="1:25" customFormat="1" ht="16.5" thickBot="1">
      <c r="A57" s="2"/>
      <c r="B57" s="211"/>
      <c r="C57" s="213"/>
      <c r="D57" s="35" t="s">
        <v>99</v>
      </c>
      <c r="E57" s="36">
        <f>IFERROR(aurora_data!D1377,0)</f>
        <v>0</v>
      </c>
      <c r="F57" s="62">
        <f>IFERROR(aurora_data!E1377,0)</f>
        <v>0</v>
      </c>
      <c r="G57" s="62">
        <f>IFERROR(aurora_data!F1377,0)</f>
        <v>0</v>
      </c>
      <c r="H57" s="62">
        <f>IFERROR(aurora_data!G1377,0)</f>
        <v>0</v>
      </c>
      <c r="I57" s="63">
        <f>IFERROR(aurora_data!H1377,0)</f>
        <v>0</v>
      </c>
      <c r="J57" s="36">
        <f>IFERROR(aurora_data!I1377,0)</f>
        <v>0</v>
      </c>
      <c r="K57" s="62">
        <f>IFERROR(aurora_data!J1377,0)</f>
        <v>0</v>
      </c>
      <c r="L57" s="62">
        <f>IFERROR(aurora_data!K1377,0)</f>
        <v>0</v>
      </c>
      <c r="M57" s="62">
        <f>IFERROR(aurora_data!L1377,0)</f>
        <v>0</v>
      </c>
      <c r="N57" s="63">
        <f>IFERROR(aurora_data!M1377,0)</f>
        <v>0</v>
      </c>
      <c r="O57" s="36">
        <f>IFERROR(aurora_data!N1377,0)</f>
        <v>0</v>
      </c>
      <c r="P57" s="62">
        <f>IFERROR(aurora_data!O1377,0)</f>
        <v>0</v>
      </c>
      <c r="Q57" s="62">
        <f>IFERROR(aurora_data!P1377,0)</f>
        <v>0</v>
      </c>
      <c r="R57" s="63">
        <f>IFERROR(aurora_data!Q1377,0)</f>
        <v>0</v>
      </c>
      <c r="S57" s="62">
        <f>IFERROR(aurora_data!R1377,0)</f>
        <v>0</v>
      </c>
      <c r="T57" s="62">
        <f>IFERROR(aurora_data!S1377,0)</f>
        <v>0</v>
      </c>
      <c r="U57" s="63">
        <f>IFERROR(aurora_data!T1377,0)</f>
        <v>0</v>
      </c>
      <c r="V57" s="64" t="s">
        <v>95</v>
      </c>
      <c r="W57" s="36">
        <f>IFERROR(aurora_data!U1377,0)</f>
        <v>0</v>
      </c>
      <c r="X57" s="71">
        <f t="shared" si="5"/>
        <v>0</v>
      </c>
      <c r="Y57" s="2"/>
    </row>
    <row r="58" spans="1:25" customFormat="1" ht="16.5" thickBot="1">
      <c r="A58" s="2"/>
      <c r="B58" s="211"/>
      <c r="C58" s="213"/>
      <c r="D58" s="37" t="s">
        <v>64</v>
      </c>
      <c r="E58" s="59">
        <f>IFERROR(aurora_data!D1378,0)</f>
        <v>0</v>
      </c>
      <c r="F58" s="65">
        <f>IFERROR(aurora_data!E1378,0)</f>
        <v>1</v>
      </c>
      <c r="G58" s="65">
        <f>IFERROR(aurora_data!F1378,0)</f>
        <v>0</v>
      </c>
      <c r="H58" s="65">
        <f>IFERROR(aurora_data!G1378,0)</f>
        <v>1</v>
      </c>
      <c r="I58" s="66">
        <f>IFERROR(aurora_data!H1378,0)</f>
        <v>0</v>
      </c>
      <c r="J58" s="59">
        <f>IFERROR(aurora_data!I1378,0)</f>
        <v>0</v>
      </c>
      <c r="K58" s="65">
        <f>IFERROR(aurora_data!J1378,0)</f>
        <v>0</v>
      </c>
      <c r="L58" s="65">
        <f>IFERROR(aurora_data!K1378,0)</f>
        <v>0</v>
      </c>
      <c r="M58" s="65">
        <f>IFERROR(aurora_data!L1378,0)</f>
        <v>0</v>
      </c>
      <c r="N58" s="66">
        <f>IFERROR(aurora_data!M1378,0)</f>
        <v>2</v>
      </c>
      <c r="O58" s="59">
        <f>IFERROR(aurora_data!N1378,0)</f>
        <v>0</v>
      </c>
      <c r="P58" s="65">
        <f>IFERROR(aurora_data!O1378,0)</f>
        <v>0</v>
      </c>
      <c r="Q58" s="65">
        <f>IFERROR(aurora_data!P1378,0)</f>
        <v>2</v>
      </c>
      <c r="R58" s="66">
        <f>IFERROR(aurora_data!Q1378,0)</f>
        <v>0</v>
      </c>
      <c r="S58" s="65">
        <f>IFERROR(aurora_data!R1378,0)</f>
        <v>1</v>
      </c>
      <c r="T58" s="65">
        <f>IFERROR(aurora_data!S1378,0)</f>
        <v>1</v>
      </c>
      <c r="U58" s="66">
        <f>IFERROR(aurora_data!T1378,0)</f>
        <v>0</v>
      </c>
      <c r="V58" s="67" t="s">
        <v>95</v>
      </c>
      <c r="W58" s="59">
        <f>IFERROR(aurora_data!U1378,0)</f>
        <v>2</v>
      </c>
      <c r="X58" s="72">
        <f t="shared" si="5"/>
        <v>0.2</v>
      </c>
      <c r="Y58" s="2"/>
    </row>
    <row r="59" spans="1:25" customFormat="1" ht="16.5" thickBot="1">
      <c r="A59" s="2"/>
      <c r="B59" s="211"/>
      <c r="C59" s="213"/>
      <c r="D59" s="38" t="s">
        <v>100</v>
      </c>
      <c r="E59" s="60">
        <f>IFERROR(aurora_data!D1379,0)</f>
        <v>0</v>
      </c>
      <c r="F59" s="68">
        <f>IFERROR(aurora_data!E1379,0)</f>
        <v>0</v>
      </c>
      <c r="G59" s="68">
        <f>IFERROR(aurora_data!F1379,0)</f>
        <v>0</v>
      </c>
      <c r="H59" s="68">
        <f>IFERROR(aurora_data!G1379,0)</f>
        <v>0</v>
      </c>
      <c r="I59" s="69">
        <f>IFERROR(aurora_data!H1379,0)</f>
        <v>0</v>
      </c>
      <c r="J59" s="60">
        <f>IFERROR(aurora_data!I1379,0)</f>
        <v>0</v>
      </c>
      <c r="K59" s="68">
        <f>IFERROR(aurora_data!J1379,0)</f>
        <v>0</v>
      </c>
      <c r="L59" s="68">
        <f>IFERROR(aurora_data!K1379,0)</f>
        <v>0</v>
      </c>
      <c r="M59" s="68">
        <f>IFERROR(aurora_data!L1379,0)</f>
        <v>0</v>
      </c>
      <c r="N59" s="69">
        <f>IFERROR(aurora_data!M1379,0)</f>
        <v>0</v>
      </c>
      <c r="O59" s="60">
        <f>IFERROR(aurora_data!N1379,0)</f>
        <v>0</v>
      </c>
      <c r="P59" s="68">
        <f>IFERROR(aurora_data!O1379,0)</f>
        <v>0</v>
      </c>
      <c r="Q59" s="68">
        <f>IFERROR(aurora_data!P1379,0)</f>
        <v>0</v>
      </c>
      <c r="R59" s="69">
        <f>IFERROR(aurora_data!Q1379,0)</f>
        <v>0</v>
      </c>
      <c r="S59" s="68">
        <f>IFERROR(aurora_data!R1379,0)</f>
        <v>0</v>
      </c>
      <c r="T59" s="68">
        <f>IFERROR(aurora_data!S1379,0)</f>
        <v>0</v>
      </c>
      <c r="U59" s="74">
        <f>IFERROR(aurora_data!T1379,0)</f>
        <v>0</v>
      </c>
      <c r="V59" s="75" t="s">
        <v>95</v>
      </c>
      <c r="W59" s="60">
        <f>IFERROR(aurora_data!U1379,0)</f>
        <v>0</v>
      </c>
      <c r="X59" s="73">
        <f t="shared" si="5"/>
        <v>0</v>
      </c>
      <c r="Y59" s="2"/>
    </row>
    <row r="60" spans="1:25" customFormat="1">
      <c r="A60" s="2"/>
      <c r="B60" s="210" t="s">
        <v>94</v>
      </c>
      <c r="C60" s="212" t="str">
        <f>aurora_data!A1380</f>
        <v>12.00.00-12.11.30</v>
      </c>
      <c r="D60" s="34" t="s">
        <v>71</v>
      </c>
      <c r="E60" s="39">
        <f>IFERROR(aurora_data!D1380,0)</f>
        <v>0</v>
      </c>
      <c r="F60" s="40">
        <f>IFERROR(aurora_data!E1380,0)</f>
        <v>0</v>
      </c>
      <c r="G60" s="40">
        <f>IFERROR(aurora_data!F1380,0)</f>
        <v>0</v>
      </c>
      <c r="H60" s="40">
        <f>IFERROR(aurora_data!G1380,0)</f>
        <v>0</v>
      </c>
      <c r="I60" s="41">
        <f>IFERROR(aurora_data!H1380,0)</f>
        <v>0</v>
      </c>
      <c r="J60" s="39">
        <f>IFERROR(aurora_data!I1380,0)</f>
        <v>0</v>
      </c>
      <c r="K60" s="40">
        <f>IFERROR(aurora_data!J1380,0)</f>
        <v>0</v>
      </c>
      <c r="L60" s="40">
        <f>IFERROR(aurora_data!K1380,0)</f>
        <v>0</v>
      </c>
      <c r="M60" s="40">
        <f>IFERROR(aurora_data!L1380,0)</f>
        <v>0</v>
      </c>
      <c r="N60" s="41">
        <f>IFERROR(aurora_data!M1380,0)</f>
        <v>0</v>
      </c>
      <c r="O60" s="39">
        <f>IFERROR(aurora_data!N1380,0)</f>
        <v>0</v>
      </c>
      <c r="P60" s="40">
        <f>IFERROR(aurora_data!O1380,0)</f>
        <v>0</v>
      </c>
      <c r="Q60" s="40">
        <f>IFERROR(aurora_data!P1380,0)</f>
        <v>0</v>
      </c>
      <c r="R60" s="41">
        <f>IFERROR(aurora_data!Q1380,0)</f>
        <v>0</v>
      </c>
      <c r="S60" s="40">
        <f>IFERROR(aurora_data!R1380,0)</f>
        <v>0</v>
      </c>
      <c r="T60" s="40">
        <f>IFERROR(aurora_data!S1380,0)</f>
        <v>0</v>
      </c>
      <c r="U60" s="76">
        <f>IFERROR(aurora_data!T1380,0)</f>
        <v>0</v>
      </c>
      <c r="V60" s="61" t="s">
        <v>95</v>
      </c>
      <c r="W60" s="39">
        <f>IFERROR(aurora_data!U1380,0)</f>
        <v>10</v>
      </c>
      <c r="X60" s="70">
        <f>IFERROR(W60/$W$12,0)</f>
        <v>1</v>
      </c>
      <c r="Y60" s="2"/>
    </row>
    <row r="61" spans="1:25" customFormat="1">
      <c r="A61" s="2"/>
      <c r="B61" s="211"/>
      <c r="C61" s="213"/>
      <c r="D61" s="35" t="s">
        <v>96</v>
      </c>
      <c r="E61" s="110">
        <f>IFERROR(aurora_data!D1381,0)</f>
        <v>0</v>
      </c>
      <c r="F61" s="62">
        <f>IFERROR(aurora_data!E1381,0)</f>
        <v>1</v>
      </c>
      <c r="G61" s="62">
        <f>IFERROR(aurora_data!F1381,0)</f>
        <v>1</v>
      </c>
      <c r="H61" s="62">
        <f>IFERROR(aurora_data!G1381,0)</f>
        <v>0</v>
      </c>
      <c r="I61" s="63">
        <f>IFERROR(aurora_data!H1381,0)</f>
        <v>0</v>
      </c>
      <c r="J61" s="36">
        <f>IFERROR(aurora_data!I1381,0)</f>
        <v>0</v>
      </c>
      <c r="K61" s="62">
        <f>IFERROR(aurora_data!J1381,0)</f>
        <v>1</v>
      </c>
      <c r="L61" s="62">
        <f>IFERROR(aurora_data!K1381,0)</f>
        <v>0</v>
      </c>
      <c r="M61" s="62">
        <f>IFERROR(aurora_data!L1381,0)</f>
        <v>1</v>
      </c>
      <c r="N61" s="63">
        <f>IFERROR(aurora_data!M1381,0)</f>
        <v>0</v>
      </c>
      <c r="O61" s="36">
        <f>IFERROR(aurora_data!N1381,0)</f>
        <v>0</v>
      </c>
      <c r="P61" s="62">
        <f>IFERROR(aurora_data!O1381,0)</f>
        <v>1</v>
      </c>
      <c r="Q61" s="62">
        <f>IFERROR(aurora_data!P1381,0)</f>
        <v>1</v>
      </c>
      <c r="R61" s="63">
        <f>IFERROR(aurora_data!Q1381,0)</f>
        <v>0</v>
      </c>
      <c r="S61" s="62">
        <f>IFERROR(aurora_data!R1381,0)</f>
        <v>1</v>
      </c>
      <c r="T61" s="62">
        <f>IFERROR(aurora_data!S1381,0)</f>
        <v>1</v>
      </c>
      <c r="U61" s="63">
        <f>IFERROR(aurora_data!T1381,0)</f>
        <v>0</v>
      </c>
      <c r="V61" s="64" t="s">
        <v>95</v>
      </c>
      <c r="W61" s="36">
        <f>IFERROR(aurora_data!U1381,0)</f>
        <v>2</v>
      </c>
      <c r="X61" s="71">
        <f t="shared" ref="X61:X67" si="6">IFERROR(W61/$W$12,0)</f>
        <v>0.2</v>
      </c>
      <c r="Y61" s="2"/>
    </row>
    <row r="62" spans="1:25" customFormat="1">
      <c r="A62" s="2"/>
      <c r="B62" s="211"/>
      <c r="C62" s="213"/>
      <c r="D62" s="35" t="s">
        <v>60</v>
      </c>
      <c r="E62" s="110">
        <f>IFERROR(aurora_data!D1382,0)</f>
        <v>0</v>
      </c>
      <c r="F62" s="62">
        <f>IFERROR(aurora_data!E1382,0)</f>
        <v>0</v>
      </c>
      <c r="G62" s="62">
        <f>IFERROR(aurora_data!F1382,0)</f>
        <v>0</v>
      </c>
      <c r="H62" s="62">
        <f>IFERROR(aurora_data!G1382,0)</f>
        <v>0</v>
      </c>
      <c r="I62" s="63">
        <f>IFERROR(aurora_data!H1382,0)</f>
        <v>0</v>
      </c>
      <c r="J62" s="36">
        <f>IFERROR(aurora_data!I1382,0)</f>
        <v>0</v>
      </c>
      <c r="K62" s="62">
        <f>IFERROR(aurora_data!J1382,0)</f>
        <v>0</v>
      </c>
      <c r="L62" s="62">
        <f>IFERROR(aurora_data!K1382,0)</f>
        <v>0</v>
      </c>
      <c r="M62" s="62">
        <f>IFERROR(aurora_data!L1382,0)</f>
        <v>0</v>
      </c>
      <c r="N62" s="63">
        <f>IFERROR(aurora_data!M1382,0)</f>
        <v>0</v>
      </c>
      <c r="O62" s="36">
        <f>IFERROR(aurora_data!N1382,0)</f>
        <v>0</v>
      </c>
      <c r="P62" s="62">
        <f>IFERROR(aurora_data!O1382,0)</f>
        <v>0</v>
      </c>
      <c r="Q62" s="62">
        <f>IFERROR(aurora_data!P1382,0)</f>
        <v>0</v>
      </c>
      <c r="R62" s="63">
        <f>IFERROR(aurora_data!Q1382,0)</f>
        <v>0</v>
      </c>
      <c r="S62" s="62">
        <f>IFERROR(aurora_data!R1382,0)</f>
        <v>0</v>
      </c>
      <c r="T62" s="62">
        <f>IFERROR(aurora_data!S1382,0)</f>
        <v>0</v>
      </c>
      <c r="U62" s="63">
        <f>IFERROR(aurora_data!T1382,0)</f>
        <v>0</v>
      </c>
      <c r="V62" s="64" t="s">
        <v>95</v>
      </c>
      <c r="W62" s="36">
        <f>IFERROR(aurora_data!U1382,0)</f>
        <v>0</v>
      </c>
      <c r="X62" s="71">
        <f t="shared" si="6"/>
        <v>0</v>
      </c>
      <c r="Y62" s="2"/>
    </row>
    <row r="63" spans="1:25" customFormat="1">
      <c r="A63" s="2"/>
      <c r="B63" s="211"/>
      <c r="C63" s="213"/>
      <c r="D63" s="35" t="s">
        <v>97</v>
      </c>
      <c r="E63" s="36">
        <f>IFERROR(aurora_data!D1383,0)</f>
        <v>0</v>
      </c>
      <c r="F63" s="62">
        <f>IFERROR(aurora_data!E1383,0)</f>
        <v>0</v>
      </c>
      <c r="G63" s="62">
        <f>IFERROR(aurora_data!F1383,0)</f>
        <v>0</v>
      </c>
      <c r="H63" s="62">
        <f>IFERROR(aurora_data!G1383,0)</f>
        <v>0</v>
      </c>
      <c r="I63" s="63">
        <f>IFERROR(aurora_data!H1383,0)</f>
        <v>0</v>
      </c>
      <c r="J63" s="36">
        <f>IFERROR(aurora_data!I1383,0)</f>
        <v>0</v>
      </c>
      <c r="K63" s="62">
        <f>IFERROR(aurora_data!J1383,0)</f>
        <v>0</v>
      </c>
      <c r="L63" s="62">
        <f>IFERROR(aurora_data!K1383,0)</f>
        <v>0</v>
      </c>
      <c r="M63" s="62">
        <f>IFERROR(aurora_data!L1383,0)</f>
        <v>0</v>
      </c>
      <c r="N63" s="63">
        <f>IFERROR(aurora_data!M1383,0)</f>
        <v>0</v>
      </c>
      <c r="O63" s="36">
        <f>IFERROR(aurora_data!N1383,0)</f>
        <v>0</v>
      </c>
      <c r="P63" s="62">
        <f>IFERROR(aurora_data!O1383,0)</f>
        <v>0</v>
      </c>
      <c r="Q63" s="62">
        <f>IFERROR(aurora_data!P1383,0)</f>
        <v>0</v>
      </c>
      <c r="R63" s="63">
        <f>IFERROR(aurora_data!Q1383,0)</f>
        <v>0</v>
      </c>
      <c r="S63" s="62">
        <f>IFERROR(aurora_data!R1383,0)</f>
        <v>0</v>
      </c>
      <c r="T63" s="62">
        <f>IFERROR(aurora_data!S1383,0)</f>
        <v>0</v>
      </c>
      <c r="U63" s="63">
        <f>IFERROR(aurora_data!T1383,0)</f>
        <v>0</v>
      </c>
      <c r="V63" s="64" t="s">
        <v>95</v>
      </c>
      <c r="W63" s="36">
        <f>IFERROR(aurora_data!U1383,0)</f>
        <v>0</v>
      </c>
      <c r="X63" s="71">
        <f t="shared" si="6"/>
        <v>0</v>
      </c>
      <c r="Y63" s="2"/>
    </row>
    <row r="64" spans="1:25" customFormat="1">
      <c r="A64" s="2"/>
      <c r="B64" s="211"/>
      <c r="C64" s="213"/>
      <c r="D64" s="35" t="s">
        <v>98</v>
      </c>
      <c r="E64" s="36">
        <f>IFERROR(aurora_data!D1384,0)</f>
        <v>0</v>
      </c>
      <c r="F64" s="62">
        <f>IFERROR(aurora_data!E1384,0)</f>
        <v>0</v>
      </c>
      <c r="G64" s="62">
        <f>IFERROR(aurora_data!F1384,0)</f>
        <v>0</v>
      </c>
      <c r="H64" s="62">
        <f>IFERROR(aurora_data!G1384,0)</f>
        <v>0</v>
      </c>
      <c r="I64" s="63">
        <f>IFERROR(aurora_data!H1384,0)</f>
        <v>0</v>
      </c>
      <c r="J64" s="36">
        <f>IFERROR(aurora_data!I1384,0)</f>
        <v>0</v>
      </c>
      <c r="K64" s="62">
        <f>IFERROR(aurora_data!J1384,0)</f>
        <v>0</v>
      </c>
      <c r="L64" s="62">
        <f>IFERROR(aurora_data!K1384,0)</f>
        <v>0</v>
      </c>
      <c r="M64" s="62">
        <f>IFERROR(aurora_data!L1384,0)</f>
        <v>0</v>
      </c>
      <c r="N64" s="63">
        <f>IFERROR(aurora_data!M1384,0)</f>
        <v>0</v>
      </c>
      <c r="O64" s="36">
        <f>IFERROR(aurora_data!N1384,0)</f>
        <v>0</v>
      </c>
      <c r="P64" s="62">
        <f>IFERROR(aurora_data!O1384,0)</f>
        <v>0</v>
      </c>
      <c r="Q64" s="62">
        <f>IFERROR(aurora_data!P1384,0)</f>
        <v>0</v>
      </c>
      <c r="R64" s="63">
        <f>IFERROR(aurora_data!Q1384,0)</f>
        <v>0</v>
      </c>
      <c r="S64" s="62">
        <f>IFERROR(aurora_data!R1384,0)</f>
        <v>0</v>
      </c>
      <c r="T64" s="62">
        <f>IFERROR(aurora_data!S1384,0)</f>
        <v>0</v>
      </c>
      <c r="U64" s="63">
        <f>IFERROR(aurora_data!T1384,0)</f>
        <v>0</v>
      </c>
      <c r="V64" s="64" t="s">
        <v>95</v>
      </c>
      <c r="W64" s="36">
        <f>IFERROR(aurora_data!U1384,0)</f>
        <v>0</v>
      </c>
      <c r="X64" s="71">
        <f t="shared" si="6"/>
        <v>0</v>
      </c>
      <c r="Y64" s="2"/>
    </row>
    <row r="65" spans="1:25" customFormat="1" ht="16.5" thickBot="1">
      <c r="A65" s="2"/>
      <c r="B65" s="211"/>
      <c r="C65" s="213"/>
      <c r="D65" s="35" t="s">
        <v>99</v>
      </c>
      <c r="E65" s="36">
        <f>IFERROR(aurora_data!D1385,0)</f>
        <v>0</v>
      </c>
      <c r="F65" s="62">
        <f>IFERROR(aurora_data!E1385,0)</f>
        <v>0</v>
      </c>
      <c r="G65" s="62">
        <f>IFERROR(aurora_data!F1385,0)</f>
        <v>0</v>
      </c>
      <c r="H65" s="62">
        <f>IFERROR(aurora_data!G1385,0)</f>
        <v>0</v>
      </c>
      <c r="I65" s="63">
        <f>IFERROR(aurora_data!H1385,0)</f>
        <v>0</v>
      </c>
      <c r="J65" s="36">
        <f>IFERROR(aurora_data!I1385,0)</f>
        <v>0</v>
      </c>
      <c r="K65" s="62">
        <f>IFERROR(aurora_data!J1385,0)</f>
        <v>0</v>
      </c>
      <c r="L65" s="62">
        <f>IFERROR(aurora_data!K1385,0)</f>
        <v>0</v>
      </c>
      <c r="M65" s="62">
        <f>IFERROR(aurora_data!L1385,0)</f>
        <v>0</v>
      </c>
      <c r="N65" s="63">
        <f>IFERROR(aurora_data!M1385,0)</f>
        <v>0</v>
      </c>
      <c r="O65" s="36">
        <f>IFERROR(aurora_data!N1385,0)</f>
        <v>0</v>
      </c>
      <c r="P65" s="62">
        <f>IFERROR(aurora_data!O1385,0)</f>
        <v>0</v>
      </c>
      <c r="Q65" s="62">
        <f>IFERROR(aurora_data!P1385,0)</f>
        <v>0</v>
      </c>
      <c r="R65" s="63">
        <f>IFERROR(aurora_data!Q1385,0)</f>
        <v>0</v>
      </c>
      <c r="S65" s="62">
        <f>IFERROR(aurora_data!R1385,0)</f>
        <v>0</v>
      </c>
      <c r="T65" s="62">
        <f>IFERROR(aurora_data!S1385,0)</f>
        <v>0</v>
      </c>
      <c r="U65" s="63">
        <f>IFERROR(aurora_data!T1385,0)</f>
        <v>0</v>
      </c>
      <c r="V65" s="64" t="s">
        <v>95</v>
      </c>
      <c r="W65" s="36">
        <f>IFERROR(aurora_data!U1385,0)</f>
        <v>0</v>
      </c>
      <c r="X65" s="71">
        <f t="shared" si="6"/>
        <v>0</v>
      </c>
      <c r="Y65" s="2"/>
    </row>
    <row r="66" spans="1:25" customFormat="1" ht="16.5" thickBot="1">
      <c r="A66" s="2"/>
      <c r="B66" s="211"/>
      <c r="C66" s="213"/>
      <c r="D66" s="37" t="s">
        <v>64</v>
      </c>
      <c r="E66" s="59">
        <f>IFERROR(aurora_data!D1386,0)</f>
        <v>0</v>
      </c>
      <c r="F66" s="65">
        <f>IFERROR(aurora_data!E1386,0)</f>
        <v>1</v>
      </c>
      <c r="G66" s="65">
        <f>IFERROR(aurora_data!F1386,0)</f>
        <v>1</v>
      </c>
      <c r="H66" s="65">
        <f>IFERROR(aurora_data!G1386,0)</f>
        <v>0</v>
      </c>
      <c r="I66" s="66">
        <f>IFERROR(aurora_data!H1386,0)</f>
        <v>0</v>
      </c>
      <c r="J66" s="59">
        <f>IFERROR(aurora_data!I1386,0)</f>
        <v>0</v>
      </c>
      <c r="K66" s="65">
        <f>IFERROR(aurora_data!J1386,0)</f>
        <v>1</v>
      </c>
      <c r="L66" s="65">
        <f>IFERROR(aurora_data!K1386,0)</f>
        <v>0</v>
      </c>
      <c r="M66" s="65">
        <f>IFERROR(aurora_data!L1386,0)</f>
        <v>1</v>
      </c>
      <c r="N66" s="66">
        <f>IFERROR(aurora_data!M1386,0)</f>
        <v>0</v>
      </c>
      <c r="O66" s="59">
        <f>IFERROR(aurora_data!N1386,0)</f>
        <v>0</v>
      </c>
      <c r="P66" s="65">
        <f>IFERROR(aurora_data!O1386,0)</f>
        <v>1</v>
      </c>
      <c r="Q66" s="65">
        <f>IFERROR(aurora_data!P1386,0)</f>
        <v>1</v>
      </c>
      <c r="R66" s="66">
        <f>IFERROR(aurora_data!Q1386,0)</f>
        <v>0</v>
      </c>
      <c r="S66" s="65">
        <f>IFERROR(aurora_data!R1386,0)</f>
        <v>1</v>
      </c>
      <c r="T66" s="65">
        <f>IFERROR(aurora_data!S1386,0)</f>
        <v>1</v>
      </c>
      <c r="U66" s="66">
        <f>IFERROR(aurora_data!T1386,0)</f>
        <v>0</v>
      </c>
      <c r="V66" s="67" t="s">
        <v>95</v>
      </c>
      <c r="W66" s="59">
        <f>IFERROR(aurora_data!U1386,0)</f>
        <v>2</v>
      </c>
      <c r="X66" s="72">
        <f t="shared" si="6"/>
        <v>0.2</v>
      </c>
      <c r="Y66" s="2"/>
    </row>
    <row r="67" spans="1:25" customFormat="1" ht="16.5" thickBot="1">
      <c r="A67" s="2"/>
      <c r="B67" s="211"/>
      <c r="C67" s="213"/>
      <c r="D67" s="38" t="s">
        <v>100</v>
      </c>
      <c r="E67" s="60">
        <f>IFERROR(aurora_data!D1387,0)</f>
        <v>0</v>
      </c>
      <c r="F67" s="68">
        <f>IFERROR(aurora_data!E1387,0)</f>
        <v>0</v>
      </c>
      <c r="G67" s="68">
        <f>IFERROR(aurora_data!F1387,0)</f>
        <v>0</v>
      </c>
      <c r="H67" s="68">
        <f>IFERROR(aurora_data!G1387,0)</f>
        <v>0</v>
      </c>
      <c r="I67" s="69">
        <f>IFERROR(aurora_data!H1387,0)</f>
        <v>0</v>
      </c>
      <c r="J67" s="60">
        <f>IFERROR(aurora_data!I1387,0)</f>
        <v>0</v>
      </c>
      <c r="K67" s="68">
        <f>IFERROR(aurora_data!J1387,0)</f>
        <v>0</v>
      </c>
      <c r="L67" s="68">
        <f>IFERROR(aurora_data!K1387,0)</f>
        <v>0</v>
      </c>
      <c r="M67" s="68">
        <f>IFERROR(aurora_data!L1387,0)</f>
        <v>0</v>
      </c>
      <c r="N67" s="69">
        <f>IFERROR(aurora_data!M1387,0)</f>
        <v>0</v>
      </c>
      <c r="O67" s="60">
        <f>IFERROR(aurora_data!N1387,0)</f>
        <v>0</v>
      </c>
      <c r="P67" s="68">
        <f>IFERROR(aurora_data!O1387,0)</f>
        <v>0</v>
      </c>
      <c r="Q67" s="68">
        <f>IFERROR(aurora_data!P1387,0)</f>
        <v>0</v>
      </c>
      <c r="R67" s="69">
        <f>IFERROR(aurora_data!Q1387,0)</f>
        <v>0</v>
      </c>
      <c r="S67" s="68">
        <f>IFERROR(aurora_data!R1387,0)</f>
        <v>0</v>
      </c>
      <c r="T67" s="68">
        <f>IFERROR(aurora_data!S1387,0)</f>
        <v>0</v>
      </c>
      <c r="U67" s="74">
        <f>IFERROR(aurora_data!T1387,0)</f>
        <v>0</v>
      </c>
      <c r="V67" s="75" t="s">
        <v>95</v>
      </c>
      <c r="W67" s="60">
        <f>IFERROR(aurora_data!U1387,0)</f>
        <v>0</v>
      </c>
      <c r="X67" s="73">
        <f t="shared" si="6"/>
        <v>0</v>
      </c>
      <c r="Y67" s="2"/>
    </row>
    <row r="68" spans="1:25" customFormat="1">
      <c r="A68" s="2"/>
      <c r="B68" s="210" t="s">
        <v>94</v>
      </c>
      <c r="C68" s="212" t="str">
        <f>aurora_data!A1388</f>
        <v>13.00.00-13.11.30</v>
      </c>
      <c r="D68" s="34" t="s">
        <v>71</v>
      </c>
      <c r="E68" s="39">
        <f>IFERROR(aurora_data!D1388,0)</f>
        <v>0</v>
      </c>
      <c r="F68" s="40">
        <f>IFERROR(aurora_data!E1388,0)</f>
        <v>0</v>
      </c>
      <c r="G68" s="40">
        <f>IFERROR(aurora_data!F1388,0)</f>
        <v>0</v>
      </c>
      <c r="H68" s="40">
        <f>IFERROR(aurora_data!G1388,0)</f>
        <v>0</v>
      </c>
      <c r="I68" s="41">
        <f>IFERROR(aurora_data!H1388,0)</f>
        <v>0</v>
      </c>
      <c r="J68" s="39">
        <f>IFERROR(aurora_data!I1388,0)</f>
        <v>0</v>
      </c>
      <c r="K68" s="40">
        <f>IFERROR(aurora_data!J1388,0)</f>
        <v>0</v>
      </c>
      <c r="L68" s="40">
        <f>IFERROR(aurora_data!K1388,0)</f>
        <v>0</v>
      </c>
      <c r="M68" s="40">
        <f>IFERROR(aurora_data!L1388,0)</f>
        <v>0</v>
      </c>
      <c r="N68" s="41">
        <f>IFERROR(aurora_data!M1388,0)</f>
        <v>0</v>
      </c>
      <c r="O68" s="39">
        <f>IFERROR(aurora_data!N1388,0)</f>
        <v>0</v>
      </c>
      <c r="P68" s="40">
        <f>IFERROR(aurora_data!O1388,0)</f>
        <v>0</v>
      </c>
      <c r="Q68" s="40">
        <f>IFERROR(aurora_data!P1388,0)</f>
        <v>0</v>
      </c>
      <c r="R68" s="41">
        <f>IFERROR(aurora_data!Q1388,0)</f>
        <v>0</v>
      </c>
      <c r="S68" s="40">
        <f>IFERROR(aurora_data!R1388,0)</f>
        <v>0</v>
      </c>
      <c r="T68" s="40">
        <f>IFERROR(aurora_data!S1388,0)</f>
        <v>0</v>
      </c>
      <c r="U68" s="76">
        <f>IFERROR(aurora_data!T1388,0)</f>
        <v>0</v>
      </c>
      <c r="V68" s="61" t="s">
        <v>95</v>
      </c>
      <c r="W68" s="39">
        <f>IFERROR(aurora_data!U1388,0)</f>
        <v>10</v>
      </c>
      <c r="X68" s="70">
        <f>IFERROR(W68/$W$12,0)</f>
        <v>1</v>
      </c>
      <c r="Y68" s="2"/>
    </row>
    <row r="69" spans="1:25" customFormat="1">
      <c r="A69" s="2"/>
      <c r="B69" s="211"/>
      <c r="C69" s="213"/>
      <c r="D69" s="35" t="s">
        <v>96</v>
      </c>
      <c r="E69" s="110">
        <f>IFERROR(aurora_data!D1389,0)</f>
        <v>0</v>
      </c>
      <c r="F69" s="62">
        <f>IFERROR(aurora_data!E1389,0)</f>
        <v>1</v>
      </c>
      <c r="G69" s="62">
        <f>IFERROR(aurora_data!F1389,0)</f>
        <v>0</v>
      </c>
      <c r="H69" s="62">
        <f>IFERROR(aurora_data!G1389,0)</f>
        <v>0</v>
      </c>
      <c r="I69" s="63">
        <f>IFERROR(aurora_data!H1389,0)</f>
        <v>1</v>
      </c>
      <c r="J69" s="36">
        <f>IFERROR(aurora_data!I1389,0)</f>
        <v>0</v>
      </c>
      <c r="K69" s="62">
        <f>IFERROR(aurora_data!J1389,0)</f>
        <v>1</v>
      </c>
      <c r="L69" s="62">
        <f>IFERROR(aurora_data!K1389,0)</f>
        <v>0</v>
      </c>
      <c r="M69" s="62">
        <f>IFERROR(aurora_data!L1389,0)</f>
        <v>0</v>
      </c>
      <c r="N69" s="63">
        <f>IFERROR(aurora_data!M1389,0)</f>
        <v>1</v>
      </c>
      <c r="O69" s="36">
        <f>IFERROR(aurora_data!N1389,0)</f>
        <v>0</v>
      </c>
      <c r="P69" s="62">
        <f>IFERROR(aurora_data!O1389,0)</f>
        <v>1</v>
      </c>
      <c r="Q69" s="62">
        <f>IFERROR(aurora_data!P1389,0)</f>
        <v>1</v>
      </c>
      <c r="R69" s="63">
        <f>IFERROR(aurora_data!Q1389,0)</f>
        <v>0</v>
      </c>
      <c r="S69" s="62">
        <f>IFERROR(aurora_data!R1389,0)</f>
        <v>1</v>
      </c>
      <c r="T69" s="62">
        <f>IFERROR(aurora_data!S1389,0)</f>
        <v>1</v>
      </c>
      <c r="U69" s="63">
        <f>IFERROR(aurora_data!T1389,0)</f>
        <v>0</v>
      </c>
      <c r="V69" s="64" t="s">
        <v>95</v>
      </c>
      <c r="W69" s="36">
        <f>IFERROR(aurora_data!U1389,0)</f>
        <v>2</v>
      </c>
      <c r="X69" s="71">
        <f t="shared" ref="X69:X75" si="7">IFERROR(W69/$W$12,0)</f>
        <v>0.2</v>
      </c>
      <c r="Y69" s="2"/>
    </row>
    <row r="70" spans="1:25" customFormat="1">
      <c r="A70" s="2"/>
      <c r="B70" s="211"/>
      <c r="C70" s="213"/>
      <c r="D70" s="35" t="s">
        <v>60</v>
      </c>
      <c r="E70" s="110">
        <f>IFERROR(aurora_data!D1390,0)</f>
        <v>0</v>
      </c>
      <c r="F70" s="62">
        <f>IFERROR(aurora_data!E1390,0)</f>
        <v>0</v>
      </c>
      <c r="G70" s="62">
        <f>IFERROR(aurora_data!F1390,0)</f>
        <v>0</v>
      </c>
      <c r="H70" s="62">
        <f>IFERROR(aurora_data!G1390,0)</f>
        <v>0</v>
      </c>
      <c r="I70" s="63">
        <f>IFERROR(aurora_data!H1390,0)</f>
        <v>0</v>
      </c>
      <c r="J70" s="36">
        <f>IFERROR(aurora_data!I1390,0)</f>
        <v>0</v>
      </c>
      <c r="K70" s="62">
        <f>IFERROR(aurora_data!J1390,0)</f>
        <v>0</v>
      </c>
      <c r="L70" s="62">
        <f>IFERROR(aurora_data!K1390,0)</f>
        <v>0</v>
      </c>
      <c r="M70" s="62">
        <f>IFERROR(aurora_data!L1390,0)</f>
        <v>0</v>
      </c>
      <c r="N70" s="63">
        <f>IFERROR(aurora_data!M1390,0)</f>
        <v>0</v>
      </c>
      <c r="O70" s="36">
        <f>IFERROR(aurora_data!N1390,0)</f>
        <v>0</v>
      </c>
      <c r="P70" s="62">
        <f>IFERROR(aurora_data!O1390,0)</f>
        <v>0</v>
      </c>
      <c r="Q70" s="62">
        <f>IFERROR(aurora_data!P1390,0)</f>
        <v>0</v>
      </c>
      <c r="R70" s="63">
        <f>IFERROR(aurora_data!Q1390,0)</f>
        <v>0</v>
      </c>
      <c r="S70" s="62">
        <f>IFERROR(aurora_data!R1390,0)</f>
        <v>0</v>
      </c>
      <c r="T70" s="62">
        <f>IFERROR(aurora_data!S1390,0)</f>
        <v>0</v>
      </c>
      <c r="U70" s="63">
        <f>IFERROR(aurora_data!T1390,0)</f>
        <v>0</v>
      </c>
      <c r="V70" s="64" t="s">
        <v>95</v>
      </c>
      <c r="W70" s="36">
        <f>IFERROR(aurora_data!U1390,0)</f>
        <v>0</v>
      </c>
      <c r="X70" s="71">
        <f t="shared" si="7"/>
        <v>0</v>
      </c>
      <c r="Y70" s="2"/>
    </row>
    <row r="71" spans="1:25" customFormat="1">
      <c r="A71" s="2"/>
      <c r="B71" s="211"/>
      <c r="C71" s="213"/>
      <c r="D71" s="35" t="s">
        <v>97</v>
      </c>
      <c r="E71" s="36">
        <f>IFERROR(aurora_data!D1391,0)</f>
        <v>0</v>
      </c>
      <c r="F71" s="62">
        <f>IFERROR(aurora_data!E1391,0)</f>
        <v>0</v>
      </c>
      <c r="G71" s="62">
        <f>IFERROR(aurora_data!F1391,0)</f>
        <v>0</v>
      </c>
      <c r="H71" s="62">
        <f>IFERROR(aurora_data!G1391,0)</f>
        <v>0</v>
      </c>
      <c r="I71" s="63">
        <f>IFERROR(aurora_data!H1391,0)</f>
        <v>0</v>
      </c>
      <c r="J71" s="36">
        <f>IFERROR(aurora_data!I1391,0)</f>
        <v>0</v>
      </c>
      <c r="K71" s="62">
        <f>IFERROR(aurora_data!J1391,0)</f>
        <v>0</v>
      </c>
      <c r="L71" s="62">
        <f>IFERROR(aurora_data!K1391,0)</f>
        <v>0</v>
      </c>
      <c r="M71" s="62">
        <f>IFERROR(aurora_data!L1391,0)</f>
        <v>0</v>
      </c>
      <c r="N71" s="63">
        <f>IFERROR(aurora_data!M1391,0)</f>
        <v>0</v>
      </c>
      <c r="O71" s="36">
        <f>IFERROR(aurora_data!N1391,0)</f>
        <v>0</v>
      </c>
      <c r="P71" s="62">
        <f>IFERROR(aurora_data!O1391,0)</f>
        <v>0</v>
      </c>
      <c r="Q71" s="62">
        <f>IFERROR(aurora_data!P1391,0)</f>
        <v>0</v>
      </c>
      <c r="R71" s="63">
        <f>IFERROR(aurora_data!Q1391,0)</f>
        <v>0</v>
      </c>
      <c r="S71" s="62">
        <f>IFERROR(aurora_data!R1391,0)</f>
        <v>0</v>
      </c>
      <c r="T71" s="62">
        <f>IFERROR(aurora_data!S1391,0)</f>
        <v>0</v>
      </c>
      <c r="U71" s="63">
        <f>IFERROR(aurora_data!T1391,0)</f>
        <v>0</v>
      </c>
      <c r="V71" s="64" t="s">
        <v>95</v>
      </c>
      <c r="W71" s="36">
        <f>IFERROR(aurora_data!U1391,0)</f>
        <v>0</v>
      </c>
      <c r="X71" s="71">
        <f t="shared" si="7"/>
        <v>0</v>
      </c>
      <c r="Y71" s="2"/>
    </row>
    <row r="72" spans="1:25" customFormat="1">
      <c r="A72" s="2"/>
      <c r="B72" s="211"/>
      <c r="C72" s="213"/>
      <c r="D72" s="35" t="s">
        <v>98</v>
      </c>
      <c r="E72" s="36">
        <f>IFERROR(aurora_data!D1392,0)</f>
        <v>0</v>
      </c>
      <c r="F72" s="62">
        <f>IFERROR(aurora_data!E1392,0)</f>
        <v>0</v>
      </c>
      <c r="G72" s="62">
        <f>IFERROR(aurora_data!F1392,0)</f>
        <v>0</v>
      </c>
      <c r="H72" s="62">
        <f>IFERROR(aurora_data!G1392,0)</f>
        <v>0</v>
      </c>
      <c r="I72" s="63">
        <f>IFERROR(aurora_data!H1392,0)</f>
        <v>0</v>
      </c>
      <c r="J72" s="36">
        <f>IFERROR(aurora_data!I1392,0)</f>
        <v>0</v>
      </c>
      <c r="K72" s="62">
        <f>IFERROR(aurora_data!J1392,0)</f>
        <v>0</v>
      </c>
      <c r="L72" s="62">
        <f>IFERROR(aurora_data!K1392,0)</f>
        <v>0</v>
      </c>
      <c r="M72" s="62">
        <f>IFERROR(aurora_data!L1392,0)</f>
        <v>0</v>
      </c>
      <c r="N72" s="63">
        <f>IFERROR(aurora_data!M1392,0)</f>
        <v>0</v>
      </c>
      <c r="O72" s="36">
        <f>IFERROR(aurora_data!N1392,0)</f>
        <v>0</v>
      </c>
      <c r="P72" s="62">
        <f>IFERROR(aurora_data!O1392,0)</f>
        <v>0</v>
      </c>
      <c r="Q72" s="62">
        <f>IFERROR(aurora_data!P1392,0)</f>
        <v>0</v>
      </c>
      <c r="R72" s="63">
        <f>IFERROR(aurora_data!Q1392,0)</f>
        <v>0</v>
      </c>
      <c r="S72" s="62">
        <f>IFERROR(aurora_data!R1392,0)</f>
        <v>0</v>
      </c>
      <c r="T72" s="62">
        <f>IFERROR(aurora_data!S1392,0)</f>
        <v>0</v>
      </c>
      <c r="U72" s="63">
        <f>IFERROR(aurora_data!T1392,0)</f>
        <v>0</v>
      </c>
      <c r="V72" s="64" t="s">
        <v>95</v>
      </c>
      <c r="W72" s="36">
        <f>IFERROR(aurora_data!U1392,0)</f>
        <v>0</v>
      </c>
      <c r="X72" s="71">
        <f t="shared" si="7"/>
        <v>0</v>
      </c>
      <c r="Y72" s="2"/>
    </row>
    <row r="73" spans="1:25" customFormat="1" ht="16.5" thickBot="1">
      <c r="A73" s="2"/>
      <c r="B73" s="211"/>
      <c r="C73" s="213"/>
      <c r="D73" s="35" t="s">
        <v>99</v>
      </c>
      <c r="E73" s="36">
        <f>IFERROR(aurora_data!D1393,0)</f>
        <v>0</v>
      </c>
      <c r="F73" s="62">
        <f>IFERROR(aurora_data!E1393,0)</f>
        <v>0</v>
      </c>
      <c r="G73" s="62">
        <f>IFERROR(aurora_data!F1393,0)</f>
        <v>0</v>
      </c>
      <c r="H73" s="62">
        <f>IFERROR(aurora_data!G1393,0)</f>
        <v>0</v>
      </c>
      <c r="I73" s="63">
        <f>IFERROR(aurora_data!H1393,0)</f>
        <v>0</v>
      </c>
      <c r="J73" s="36">
        <f>IFERROR(aurora_data!I1393,0)</f>
        <v>0</v>
      </c>
      <c r="K73" s="62">
        <f>IFERROR(aurora_data!J1393,0)</f>
        <v>0</v>
      </c>
      <c r="L73" s="62">
        <f>IFERROR(aurora_data!K1393,0)</f>
        <v>0</v>
      </c>
      <c r="M73" s="62">
        <f>IFERROR(aurora_data!L1393,0)</f>
        <v>0</v>
      </c>
      <c r="N73" s="63">
        <f>IFERROR(aurora_data!M1393,0)</f>
        <v>0</v>
      </c>
      <c r="O73" s="36">
        <f>IFERROR(aurora_data!N1393,0)</f>
        <v>0</v>
      </c>
      <c r="P73" s="62">
        <f>IFERROR(aurora_data!O1393,0)</f>
        <v>0</v>
      </c>
      <c r="Q73" s="62">
        <f>IFERROR(aurora_data!P1393,0)</f>
        <v>0</v>
      </c>
      <c r="R73" s="63">
        <f>IFERROR(aurora_data!Q1393,0)</f>
        <v>0</v>
      </c>
      <c r="S73" s="62">
        <f>IFERROR(aurora_data!R1393,0)</f>
        <v>0</v>
      </c>
      <c r="T73" s="62">
        <f>IFERROR(aurora_data!S1393,0)</f>
        <v>0</v>
      </c>
      <c r="U73" s="63">
        <f>IFERROR(aurora_data!T1393,0)</f>
        <v>0</v>
      </c>
      <c r="V73" s="64" t="s">
        <v>95</v>
      </c>
      <c r="W73" s="36">
        <f>IFERROR(aurora_data!U1393,0)</f>
        <v>0</v>
      </c>
      <c r="X73" s="71">
        <f t="shared" si="7"/>
        <v>0</v>
      </c>
      <c r="Y73" s="2"/>
    </row>
    <row r="74" spans="1:25" customFormat="1" ht="16.5" thickBot="1">
      <c r="A74" s="2"/>
      <c r="B74" s="211"/>
      <c r="C74" s="213"/>
      <c r="D74" s="37" t="s">
        <v>64</v>
      </c>
      <c r="E74" s="59">
        <f>IFERROR(aurora_data!D1394,0)</f>
        <v>0</v>
      </c>
      <c r="F74" s="65">
        <f>IFERROR(aurora_data!E1394,0)</f>
        <v>1</v>
      </c>
      <c r="G74" s="65">
        <f>IFERROR(aurora_data!F1394,0)</f>
        <v>0</v>
      </c>
      <c r="H74" s="65">
        <f>IFERROR(aurora_data!G1394,0)</f>
        <v>0</v>
      </c>
      <c r="I74" s="66">
        <f>IFERROR(aurora_data!H1394,0)</f>
        <v>1</v>
      </c>
      <c r="J74" s="59">
        <f>IFERROR(aurora_data!I1394,0)</f>
        <v>0</v>
      </c>
      <c r="K74" s="65">
        <f>IFERROR(aurora_data!J1394,0)</f>
        <v>1</v>
      </c>
      <c r="L74" s="65">
        <f>IFERROR(aurora_data!K1394,0)</f>
        <v>0</v>
      </c>
      <c r="M74" s="65">
        <f>IFERROR(aurora_data!L1394,0)</f>
        <v>0</v>
      </c>
      <c r="N74" s="66">
        <f>IFERROR(aurora_data!M1394,0)</f>
        <v>1</v>
      </c>
      <c r="O74" s="59">
        <f>IFERROR(aurora_data!N1394,0)</f>
        <v>0</v>
      </c>
      <c r="P74" s="65">
        <f>IFERROR(aurora_data!O1394,0)</f>
        <v>1</v>
      </c>
      <c r="Q74" s="65">
        <f>IFERROR(aurora_data!P1394,0)</f>
        <v>1</v>
      </c>
      <c r="R74" s="66">
        <f>IFERROR(aurora_data!Q1394,0)</f>
        <v>0</v>
      </c>
      <c r="S74" s="65">
        <f>IFERROR(aurora_data!R1394,0)</f>
        <v>1</v>
      </c>
      <c r="T74" s="65">
        <f>IFERROR(aurora_data!S1394,0)</f>
        <v>1</v>
      </c>
      <c r="U74" s="66">
        <f>IFERROR(aurora_data!T1394,0)</f>
        <v>0</v>
      </c>
      <c r="V74" s="67" t="s">
        <v>95</v>
      </c>
      <c r="W74" s="59">
        <f>IFERROR(aurora_data!U1394,0)</f>
        <v>2</v>
      </c>
      <c r="X74" s="72">
        <f t="shared" si="7"/>
        <v>0.2</v>
      </c>
      <c r="Y74" s="2"/>
    </row>
    <row r="75" spans="1:25" customFormat="1" ht="16.5" thickBot="1">
      <c r="A75" s="2"/>
      <c r="B75" s="211"/>
      <c r="C75" s="213"/>
      <c r="D75" s="38" t="s">
        <v>100</v>
      </c>
      <c r="E75" s="60">
        <f>IFERROR(aurora_data!D1395,0)</f>
        <v>0</v>
      </c>
      <c r="F75" s="68">
        <f>IFERROR(aurora_data!E1395,0)</f>
        <v>0</v>
      </c>
      <c r="G75" s="68">
        <f>IFERROR(aurora_data!F1395,0)</f>
        <v>0</v>
      </c>
      <c r="H75" s="68">
        <f>IFERROR(aurora_data!G1395,0)</f>
        <v>0</v>
      </c>
      <c r="I75" s="69">
        <f>IFERROR(aurora_data!H1395,0)</f>
        <v>0</v>
      </c>
      <c r="J75" s="60">
        <f>IFERROR(aurora_data!I1395,0)</f>
        <v>0</v>
      </c>
      <c r="K75" s="68">
        <f>IFERROR(aurora_data!J1395,0)</f>
        <v>0</v>
      </c>
      <c r="L75" s="68">
        <f>IFERROR(aurora_data!K1395,0)</f>
        <v>0</v>
      </c>
      <c r="M75" s="68">
        <f>IFERROR(aurora_data!L1395,0)</f>
        <v>0</v>
      </c>
      <c r="N75" s="69">
        <f>IFERROR(aurora_data!M1395,0)</f>
        <v>0</v>
      </c>
      <c r="O75" s="60">
        <f>IFERROR(aurora_data!N1395,0)</f>
        <v>0</v>
      </c>
      <c r="P75" s="68">
        <f>IFERROR(aurora_data!O1395,0)</f>
        <v>0</v>
      </c>
      <c r="Q75" s="68">
        <f>IFERROR(aurora_data!P1395,0)</f>
        <v>0</v>
      </c>
      <c r="R75" s="69">
        <f>IFERROR(aurora_data!Q1395,0)</f>
        <v>0</v>
      </c>
      <c r="S75" s="68">
        <f>IFERROR(aurora_data!R1395,0)</f>
        <v>0</v>
      </c>
      <c r="T75" s="68">
        <f>IFERROR(aurora_data!S1395,0)</f>
        <v>0</v>
      </c>
      <c r="U75" s="74">
        <f>IFERROR(aurora_data!T1395,0)</f>
        <v>0</v>
      </c>
      <c r="V75" s="75" t="s">
        <v>95</v>
      </c>
      <c r="W75" s="60">
        <f>IFERROR(aurora_data!U1395,0)</f>
        <v>0</v>
      </c>
      <c r="X75" s="73">
        <f t="shared" si="7"/>
        <v>0</v>
      </c>
      <c r="Y75" s="2"/>
    </row>
    <row r="76" spans="1:25" customFormat="1">
      <c r="A76" s="2"/>
      <c r="B76" s="210" t="s">
        <v>94</v>
      </c>
      <c r="C76" s="212" t="str">
        <f>aurora_data!A1396</f>
        <v>14.00.00-14.11.30</v>
      </c>
      <c r="D76" s="34" t="s">
        <v>71</v>
      </c>
      <c r="E76" s="39">
        <f>IFERROR(aurora_data!D1396,0)</f>
        <v>0</v>
      </c>
      <c r="F76" s="40">
        <f>IFERROR(aurora_data!E1396,0)</f>
        <v>0</v>
      </c>
      <c r="G76" s="40">
        <f>IFERROR(aurora_data!F1396,0)</f>
        <v>0</v>
      </c>
      <c r="H76" s="40">
        <f>IFERROR(aurora_data!G1396,0)</f>
        <v>0</v>
      </c>
      <c r="I76" s="41">
        <f>IFERROR(aurora_data!H1396,0)</f>
        <v>0</v>
      </c>
      <c r="J76" s="39">
        <f>IFERROR(aurora_data!I1396,0)</f>
        <v>0</v>
      </c>
      <c r="K76" s="40">
        <f>IFERROR(aurora_data!J1396,0)</f>
        <v>0</v>
      </c>
      <c r="L76" s="40">
        <f>IFERROR(aurora_data!K1396,0)</f>
        <v>0</v>
      </c>
      <c r="M76" s="40">
        <f>IFERROR(aurora_data!L1396,0)</f>
        <v>0</v>
      </c>
      <c r="N76" s="41">
        <f>IFERROR(aurora_data!M1396,0)</f>
        <v>0</v>
      </c>
      <c r="O76" s="39">
        <f>IFERROR(aurora_data!N1396,0)</f>
        <v>0</v>
      </c>
      <c r="P76" s="40">
        <f>IFERROR(aurora_data!O1396,0)</f>
        <v>0</v>
      </c>
      <c r="Q76" s="40">
        <f>IFERROR(aurora_data!P1396,0)</f>
        <v>0</v>
      </c>
      <c r="R76" s="41">
        <f>IFERROR(aurora_data!Q1396,0)</f>
        <v>0</v>
      </c>
      <c r="S76" s="40">
        <f>IFERROR(aurora_data!R1396,0)</f>
        <v>0</v>
      </c>
      <c r="T76" s="40">
        <f>IFERROR(aurora_data!S1396,0)</f>
        <v>0</v>
      </c>
      <c r="U76" s="76">
        <f>IFERROR(aurora_data!T1396,0)</f>
        <v>0</v>
      </c>
      <c r="V76" s="61" t="s">
        <v>95</v>
      </c>
      <c r="W76" s="39">
        <f>IFERROR(aurora_data!U1396,0)</f>
        <v>10</v>
      </c>
      <c r="X76" s="70">
        <f>IFERROR(W76/$W$12,0)</f>
        <v>1</v>
      </c>
      <c r="Y76" s="2"/>
    </row>
    <row r="77" spans="1:25" customFormat="1">
      <c r="A77" s="2"/>
      <c r="B77" s="211"/>
      <c r="C77" s="213"/>
      <c r="D77" s="35" t="s">
        <v>96</v>
      </c>
      <c r="E77" s="110">
        <f>IFERROR(aurora_data!D1397,0)</f>
        <v>0</v>
      </c>
      <c r="F77" s="62">
        <f>IFERROR(aurora_data!E1397,0)</f>
        <v>0</v>
      </c>
      <c r="G77" s="62">
        <f>IFERROR(aurora_data!F1397,0)</f>
        <v>2</v>
      </c>
      <c r="H77" s="62">
        <f>IFERROR(aurora_data!G1397,0)</f>
        <v>0</v>
      </c>
      <c r="I77" s="63">
        <f>IFERROR(aurora_data!H1397,0)</f>
        <v>0</v>
      </c>
      <c r="J77" s="36">
        <f>IFERROR(aurora_data!I1397,0)</f>
        <v>0</v>
      </c>
      <c r="K77" s="62">
        <f>IFERROR(aurora_data!J1397,0)</f>
        <v>0</v>
      </c>
      <c r="L77" s="62">
        <f>IFERROR(aurora_data!K1397,0)</f>
        <v>0</v>
      </c>
      <c r="M77" s="62">
        <f>IFERROR(aurora_data!L1397,0)</f>
        <v>0</v>
      </c>
      <c r="N77" s="63">
        <f>IFERROR(aurora_data!M1397,0)</f>
        <v>2</v>
      </c>
      <c r="O77" s="36">
        <f>IFERROR(aurora_data!N1397,0)</f>
        <v>1</v>
      </c>
      <c r="P77" s="62">
        <f>IFERROR(aurora_data!O1397,0)</f>
        <v>0</v>
      </c>
      <c r="Q77" s="62">
        <f>IFERROR(aurora_data!P1397,0)</f>
        <v>0</v>
      </c>
      <c r="R77" s="63">
        <f>IFERROR(aurora_data!Q1397,0)</f>
        <v>1</v>
      </c>
      <c r="S77" s="62">
        <f>IFERROR(aurora_data!R1397,0)</f>
        <v>2</v>
      </c>
      <c r="T77" s="62">
        <f>IFERROR(aurora_data!S1397,0)</f>
        <v>0</v>
      </c>
      <c r="U77" s="63">
        <f>IFERROR(aurora_data!T1397,0)</f>
        <v>0</v>
      </c>
      <c r="V77" s="64" t="s">
        <v>95</v>
      </c>
      <c r="W77" s="36">
        <f>IFERROR(aurora_data!U1397,0)</f>
        <v>2</v>
      </c>
      <c r="X77" s="71">
        <f t="shared" ref="X77:X83" si="8">IFERROR(W77/$W$12,0)</f>
        <v>0.2</v>
      </c>
      <c r="Y77" s="2"/>
    </row>
    <row r="78" spans="1:25" customFormat="1">
      <c r="A78" s="2"/>
      <c r="B78" s="211"/>
      <c r="C78" s="213"/>
      <c r="D78" s="35" t="s">
        <v>60</v>
      </c>
      <c r="E78" s="110">
        <f>IFERROR(aurora_data!D1398,0)</f>
        <v>0</v>
      </c>
      <c r="F78" s="62">
        <f>IFERROR(aurora_data!E1398,0)</f>
        <v>0</v>
      </c>
      <c r="G78" s="62">
        <f>IFERROR(aurora_data!F1398,0)</f>
        <v>0</v>
      </c>
      <c r="H78" s="62">
        <f>IFERROR(aurora_data!G1398,0)</f>
        <v>0</v>
      </c>
      <c r="I78" s="63">
        <f>IFERROR(aurora_data!H1398,0)</f>
        <v>0</v>
      </c>
      <c r="J78" s="36">
        <f>IFERROR(aurora_data!I1398,0)</f>
        <v>0</v>
      </c>
      <c r="K78" s="62">
        <f>IFERROR(aurora_data!J1398,0)</f>
        <v>0</v>
      </c>
      <c r="L78" s="62">
        <f>IFERROR(aurora_data!K1398,0)</f>
        <v>0</v>
      </c>
      <c r="M78" s="62">
        <f>IFERROR(aurora_data!L1398,0)</f>
        <v>0</v>
      </c>
      <c r="N78" s="63">
        <f>IFERROR(aurora_data!M1398,0)</f>
        <v>0</v>
      </c>
      <c r="O78" s="36">
        <f>IFERROR(aurora_data!N1398,0)</f>
        <v>0</v>
      </c>
      <c r="P78" s="62">
        <f>IFERROR(aurora_data!O1398,0)</f>
        <v>0</v>
      </c>
      <c r="Q78" s="62">
        <f>IFERROR(aurora_data!P1398,0)</f>
        <v>0</v>
      </c>
      <c r="R78" s="63">
        <f>IFERROR(aurora_data!Q1398,0)</f>
        <v>0</v>
      </c>
      <c r="S78" s="62">
        <f>IFERROR(aurora_data!R1398,0)</f>
        <v>0</v>
      </c>
      <c r="T78" s="62">
        <f>IFERROR(aurora_data!S1398,0)</f>
        <v>0</v>
      </c>
      <c r="U78" s="63">
        <f>IFERROR(aurora_data!T1398,0)</f>
        <v>0</v>
      </c>
      <c r="V78" s="64" t="s">
        <v>95</v>
      </c>
      <c r="W78" s="36">
        <f>IFERROR(aurora_data!U1398,0)</f>
        <v>0</v>
      </c>
      <c r="X78" s="71">
        <f t="shared" si="8"/>
        <v>0</v>
      </c>
      <c r="Y78" s="2"/>
    </row>
    <row r="79" spans="1:25" customFormat="1">
      <c r="A79" s="2"/>
      <c r="B79" s="211"/>
      <c r="C79" s="213"/>
      <c r="D79" s="35" t="s">
        <v>97</v>
      </c>
      <c r="E79" s="36">
        <f>IFERROR(aurora_data!D1399,0)</f>
        <v>0</v>
      </c>
      <c r="F79" s="62">
        <f>IFERROR(aurora_data!E1399,0)</f>
        <v>0</v>
      </c>
      <c r="G79" s="62">
        <f>IFERROR(aurora_data!F1399,0)</f>
        <v>0</v>
      </c>
      <c r="H79" s="62">
        <f>IFERROR(aurora_data!G1399,0)</f>
        <v>0</v>
      </c>
      <c r="I79" s="63">
        <f>IFERROR(aurora_data!H1399,0)</f>
        <v>0</v>
      </c>
      <c r="J79" s="36">
        <f>IFERROR(aurora_data!I1399,0)</f>
        <v>0</v>
      </c>
      <c r="K79" s="62">
        <f>IFERROR(aurora_data!J1399,0)</f>
        <v>0</v>
      </c>
      <c r="L79" s="62">
        <f>IFERROR(aurora_data!K1399,0)</f>
        <v>0</v>
      </c>
      <c r="M79" s="62">
        <f>IFERROR(aurora_data!L1399,0)</f>
        <v>0</v>
      </c>
      <c r="N79" s="63">
        <f>IFERROR(aurora_data!M1399,0)</f>
        <v>0</v>
      </c>
      <c r="O79" s="36">
        <f>IFERROR(aurora_data!N1399,0)</f>
        <v>0</v>
      </c>
      <c r="P79" s="62">
        <f>IFERROR(aurora_data!O1399,0)</f>
        <v>0</v>
      </c>
      <c r="Q79" s="62">
        <f>IFERROR(aurora_data!P1399,0)</f>
        <v>0</v>
      </c>
      <c r="R79" s="63">
        <f>IFERROR(aurora_data!Q1399,0)</f>
        <v>0</v>
      </c>
      <c r="S79" s="62">
        <f>IFERROR(aurora_data!R1399,0)</f>
        <v>0</v>
      </c>
      <c r="T79" s="62">
        <f>IFERROR(aurora_data!S1399,0)</f>
        <v>0</v>
      </c>
      <c r="U79" s="63">
        <f>IFERROR(aurora_data!T1399,0)</f>
        <v>0</v>
      </c>
      <c r="V79" s="64" t="s">
        <v>95</v>
      </c>
      <c r="W79" s="36">
        <f>IFERROR(aurora_data!U1399,0)</f>
        <v>0</v>
      </c>
      <c r="X79" s="71">
        <f t="shared" si="8"/>
        <v>0</v>
      </c>
      <c r="Y79" s="2"/>
    </row>
    <row r="80" spans="1:25" customFormat="1">
      <c r="A80" s="2"/>
      <c r="B80" s="211"/>
      <c r="C80" s="213"/>
      <c r="D80" s="35" t="s">
        <v>98</v>
      </c>
      <c r="E80" s="36">
        <f>IFERROR(aurora_data!D1400,0)</f>
        <v>0</v>
      </c>
      <c r="F80" s="62">
        <f>IFERROR(aurora_data!E1400,0)</f>
        <v>1</v>
      </c>
      <c r="G80" s="62">
        <f>IFERROR(aurora_data!F1400,0)</f>
        <v>0</v>
      </c>
      <c r="H80" s="62">
        <f>IFERROR(aurora_data!G1400,0)</f>
        <v>1</v>
      </c>
      <c r="I80" s="63">
        <f>IFERROR(aurora_data!H1400,0)</f>
        <v>0</v>
      </c>
      <c r="J80" s="36">
        <f>IFERROR(aurora_data!I1400,0)</f>
        <v>0</v>
      </c>
      <c r="K80" s="62">
        <f>IFERROR(aurora_data!J1400,0)</f>
        <v>0</v>
      </c>
      <c r="L80" s="62">
        <f>IFERROR(aurora_data!K1400,0)</f>
        <v>1</v>
      </c>
      <c r="M80" s="62">
        <f>IFERROR(aurora_data!L1400,0)</f>
        <v>0</v>
      </c>
      <c r="N80" s="63">
        <f>IFERROR(aurora_data!M1400,0)</f>
        <v>1</v>
      </c>
      <c r="O80" s="36">
        <f>IFERROR(aurora_data!N1400,0)</f>
        <v>1</v>
      </c>
      <c r="P80" s="62">
        <f>IFERROR(aurora_data!O1400,0)</f>
        <v>0</v>
      </c>
      <c r="Q80" s="62">
        <f>IFERROR(aurora_data!P1400,0)</f>
        <v>0</v>
      </c>
      <c r="R80" s="63">
        <f>IFERROR(aurora_data!Q1400,0)</f>
        <v>1</v>
      </c>
      <c r="S80" s="62">
        <f>IFERROR(aurora_data!R1400,0)</f>
        <v>1</v>
      </c>
      <c r="T80" s="62">
        <f>IFERROR(aurora_data!S1400,0)</f>
        <v>1</v>
      </c>
      <c r="U80" s="63">
        <f>IFERROR(aurora_data!T1400,0)</f>
        <v>0</v>
      </c>
      <c r="V80" s="64" t="s">
        <v>95</v>
      </c>
      <c r="W80" s="36">
        <f>IFERROR(aurora_data!U1400,0)</f>
        <v>2</v>
      </c>
      <c r="X80" s="71">
        <f t="shared" si="8"/>
        <v>0.2</v>
      </c>
      <c r="Y80" s="2"/>
    </row>
    <row r="81" spans="1:25" customFormat="1" ht="16.5" thickBot="1">
      <c r="A81" s="2"/>
      <c r="B81" s="211"/>
      <c r="C81" s="213"/>
      <c r="D81" s="35" t="s">
        <v>99</v>
      </c>
      <c r="E81" s="36">
        <f>IFERROR(aurora_data!D1401,0)</f>
        <v>0</v>
      </c>
      <c r="F81" s="62">
        <f>IFERROR(aurora_data!E1401,0)</f>
        <v>0</v>
      </c>
      <c r="G81" s="62">
        <f>IFERROR(aurora_data!F1401,0)</f>
        <v>0</v>
      </c>
      <c r="H81" s="62">
        <f>IFERROR(aurora_data!G1401,0)</f>
        <v>0</v>
      </c>
      <c r="I81" s="63">
        <f>IFERROR(aurora_data!H1401,0)</f>
        <v>0</v>
      </c>
      <c r="J81" s="36">
        <f>IFERROR(aurora_data!I1401,0)</f>
        <v>0</v>
      </c>
      <c r="K81" s="62">
        <f>IFERROR(aurora_data!J1401,0)</f>
        <v>0</v>
      </c>
      <c r="L81" s="62">
        <f>IFERROR(aurora_data!K1401,0)</f>
        <v>0</v>
      </c>
      <c r="M81" s="62">
        <f>IFERROR(aurora_data!L1401,0)</f>
        <v>0</v>
      </c>
      <c r="N81" s="63">
        <f>IFERROR(aurora_data!M1401,0)</f>
        <v>0</v>
      </c>
      <c r="O81" s="36">
        <f>IFERROR(aurora_data!N1401,0)</f>
        <v>0</v>
      </c>
      <c r="P81" s="62">
        <f>IFERROR(aurora_data!O1401,0)</f>
        <v>0</v>
      </c>
      <c r="Q81" s="62">
        <f>IFERROR(aurora_data!P1401,0)</f>
        <v>0</v>
      </c>
      <c r="R81" s="63">
        <f>IFERROR(aurora_data!Q1401,0)</f>
        <v>0</v>
      </c>
      <c r="S81" s="62">
        <f>IFERROR(aurora_data!R1401,0)</f>
        <v>0</v>
      </c>
      <c r="T81" s="62">
        <f>IFERROR(aurora_data!S1401,0)</f>
        <v>0</v>
      </c>
      <c r="U81" s="63">
        <f>IFERROR(aurora_data!T1401,0)</f>
        <v>0</v>
      </c>
      <c r="V81" s="64" t="s">
        <v>95</v>
      </c>
      <c r="W81" s="36">
        <f>IFERROR(aurora_data!U1401,0)</f>
        <v>0</v>
      </c>
      <c r="X81" s="71">
        <f t="shared" si="8"/>
        <v>0</v>
      </c>
      <c r="Y81" s="2"/>
    </row>
    <row r="82" spans="1:25" customFormat="1" ht="16.5" thickBot="1">
      <c r="A82" s="2"/>
      <c r="B82" s="211"/>
      <c r="C82" s="213"/>
      <c r="D82" s="37" t="s">
        <v>64</v>
      </c>
      <c r="E82" s="59">
        <f>IFERROR(aurora_data!D1402,0)</f>
        <v>0</v>
      </c>
      <c r="F82" s="65">
        <f>IFERROR(aurora_data!E1402,0)</f>
        <v>1</v>
      </c>
      <c r="G82" s="65">
        <f>IFERROR(aurora_data!F1402,0)</f>
        <v>2</v>
      </c>
      <c r="H82" s="65">
        <f>IFERROR(aurora_data!G1402,0)</f>
        <v>1</v>
      </c>
      <c r="I82" s="66">
        <f>IFERROR(aurora_data!H1402,0)</f>
        <v>0</v>
      </c>
      <c r="J82" s="59">
        <f>IFERROR(aurora_data!I1402,0)</f>
        <v>0</v>
      </c>
      <c r="K82" s="65">
        <f>IFERROR(aurora_data!J1402,0)</f>
        <v>0</v>
      </c>
      <c r="L82" s="65">
        <f>IFERROR(aurora_data!K1402,0)</f>
        <v>1</v>
      </c>
      <c r="M82" s="65">
        <f>IFERROR(aurora_data!L1402,0)</f>
        <v>0</v>
      </c>
      <c r="N82" s="66">
        <f>IFERROR(aurora_data!M1402,0)</f>
        <v>3</v>
      </c>
      <c r="O82" s="59">
        <f>IFERROR(aurora_data!N1402,0)</f>
        <v>2</v>
      </c>
      <c r="P82" s="65">
        <f>IFERROR(aurora_data!O1402,0)</f>
        <v>0</v>
      </c>
      <c r="Q82" s="65">
        <f>IFERROR(aurora_data!P1402,0)</f>
        <v>0</v>
      </c>
      <c r="R82" s="66">
        <f>IFERROR(aurora_data!Q1402,0)</f>
        <v>2</v>
      </c>
      <c r="S82" s="65">
        <f>IFERROR(aurora_data!R1402,0)</f>
        <v>3</v>
      </c>
      <c r="T82" s="65">
        <f>IFERROR(aurora_data!S1402,0)</f>
        <v>1</v>
      </c>
      <c r="U82" s="66">
        <f>IFERROR(aurora_data!T1402,0)</f>
        <v>0</v>
      </c>
      <c r="V82" s="67" t="s">
        <v>95</v>
      </c>
      <c r="W82" s="59">
        <f>IFERROR(aurora_data!U1402,0)</f>
        <v>4</v>
      </c>
      <c r="X82" s="72">
        <f t="shared" si="8"/>
        <v>0.4</v>
      </c>
      <c r="Y82" s="2"/>
    </row>
    <row r="83" spans="1:25" customFormat="1" ht="16.5" thickBot="1">
      <c r="A83" s="2"/>
      <c r="B83" s="211"/>
      <c r="C83" s="213"/>
      <c r="D83" s="38" t="s">
        <v>100</v>
      </c>
      <c r="E83" s="60">
        <f>IFERROR(aurora_data!D1403,0)</f>
        <v>0</v>
      </c>
      <c r="F83" s="68">
        <f>IFERROR(aurora_data!E1403,0)</f>
        <v>0</v>
      </c>
      <c r="G83" s="68">
        <f>IFERROR(aurora_data!F1403,0)</f>
        <v>0</v>
      </c>
      <c r="H83" s="68">
        <f>IFERROR(aurora_data!G1403,0)</f>
        <v>0</v>
      </c>
      <c r="I83" s="69">
        <f>IFERROR(aurora_data!H1403,0)</f>
        <v>0</v>
      </c>
      <c r="J83" s="60">
        <f>IFERROR(aurora_data!I1403,0)</f>
        <v>0</v>
      </c>
      <c r="K83" s="68">
        <f>IFERROR(aurora_data!J1403,0)</f>
        <v>0</v>
      </c>
      <c r="L83" s="68">
        <f>IFERROR(aurora_data!K1403,0)</f>
        <v>0</v>
      </c>
      <c r="M83" s="68">
        <f>IFERROR(aurora_data!L1403,0)</f>
        <v>0</v>
      </c>
      <c r="N83" s="69">
        <f>IFERROR(aurora_data!M1403,0)</f>
        <v>0</v>
      </c>
      <c r="O83" s="60">
        <f>IFERROR(aurora_data!N1403,0)</f>
        <v>0</v>
      </c>
      <c r="P83" s="68">
        <f>IFERROR(aurora_data!O1403,0)</f>
        <v>0</v>
      </c>
      <c r="Q83" s="68">
        <f>IFERROR(aurora_data!P1403,0)</f>
        <v>0</v>
      </c>
      <c r="R83" s="69">
        <f>IFERROR(aurora_data!Q1403,0)</f>
        <v>0</v>
      </c>
      <c r="S83" s="68">
        <f>IFERROR(aurora_data!R1403,0)</f>
        <v>0</v>
      </c>
      <c r="T83" s="68">
        <f>IFERROR(aurora_data!S1403,0)</f>
        <v>0</v>
      </c>
      <c r="U83" s="74">
        <f>IFERROR(aurora_data!T1403,0)</f>
        <v>0</v>
      </c>
      <c r="V83" s="75" t="s">
        <v>95</v>
      </c>
      <c r="W83" s="60">
        <f>IFERROR(aurora_data!U1403,0)</f>
        <v>0</v>
      </c>
      <c r="X83" s="73">
        <f t="shared" si="8"/>
        <v>0</v>
      </c>
      <c r="Y83" s="2"/>
    </row>
    <row r="84" spans="1:25" customFormat="1">
      <c r="A84" s="2"/>
      <c r="B84" s="210" t="s">
        <v>94</v>
      </c>
      <c r="C84" s="212" t="str">
        <f>aurora_data!A1404</f>
        <v>15.00.00-15.11.30</v>
      </c>
      <c r="D84" s="34" t="s">
        <v>71</v>
      </c>
      <c r="E84" s="39">
        <f>IFERROR(aurora_data!D1404,0)</f>
        <v>0</v>
      </c>
      <c r="F84" s="40">
        <f>IFERROR(aurora_data!E1404,0)</f>
        <v>0</v>
      </c>
      <c r="G84" s="40">
        <f>IFERROR(aurora_data!F1404,0)</f>
        <v>0</v>
      </c>
      <c r="H84" s="40">
        <f>IFERROR(aurora_data!G1404,0)</f>
        <v>0</v>
      </c>
      <c r="I84" s="41">
        <f>IFERROR(aurora_data!H1404,0)</f>
        <v>0</v>
      </c>
      <c r="J84" s="39">
        <f>IFERROR(aurora_data!I1404,0)</f>
        <v>0</v>
      </c>
      <c r="K84" s="40">
        <f>IFERROR(aurora_data!J1404,0)</f>
        <v>0</v>
      </c>
      <c r="L84" s="40">
        <f>IFERROR(aurora_data!K1404,0)</f>
        <v>0</v>
      </c>
      <c r="M84" s="40">
        <f>IFERROR(aurora_data!L1404,0)</f>
        <v>0</v>
      </c>
      <c r="N84" s="41">
        <f>IFERROR(aurora_data!M1404,0)</f>
        <v>0</v>
      </c>
      <c r="O84" s="39">
        <f>IFERROR(aurora_data!N1404,0)</f>
        <v>0</v>
      </c>
      <c r="P84" s="40">
        <f>IFERROR(aurora_data!O1404,0)</f>
        <v>0</v>
      </c>
      <c r="Q84" s="40">
        <f>IFERROR(aurora_data!P1404,0)</f>
        <v>0</v>
      </c>
      <c r="R84" s="41">
        <f>IFERROR(aurora_data!Q1404,0)</f>
        <v>0</v>
      </c>
      <c r="S84" s="40">
        <f>IFERROR(aurora_data!R1404,0)</f>
        <v>0</v>
      </c>
      <c r="T84" s="40">
        <f>IFERROR(aurora_data!S1404,0)</f>
        <v>0</v>
      </c>
      <c r="U84" s="76">
        <f>IFERROR(aurora_data!T1404,0)</f>
        <v>0</v>
      </c>
      <c r="V84" s="61" t="s">
        <v>95</v>
      </c>
      <c r="W84" s="39">
        <f>IFERROR(aurora_data!U1404,0)</f>
        <v>10</v>
      </c>
      <c r="X84" s="70">
        <f>IFERROR(W84/$W$12,0)</f>
        <v>1</v>
      </c>
      <c r="Y84" s="2"/>
    </row>
    <row r="85" spans="1:25" customFormat="1">
      <c r="A85" s="2"/>
      <c r="B85" s="211"/>
      <c r="C85" s="213"/>
      <c r="D85" s="35" t="s">
        <v>96</v>
      </c>
      <c r="E85" s="110">
        <f>IFERROR(aurora_data!D1405,0)</f>
        <v>1</v>
      </c>
      <c r="F85" s="62">
        <f>IFERROR(aurora_data!E1405,0)</f>
        <v>0</v>
      </c>
      <c r="G85" s="62">
        <f>IFERROR(aurora_data!F1405,0)</f>
        <v>0</v>
      </c>
      <c r="H85" s="62">
        <f>IFERROR(aurora_data!G1405,0)</f>
        <v>0</v>
      </c>
      <c r="I85" s="63">
        <f>IFERROR(aurora_data!H1405,0)</f>
        <v>1</v>
      </c>
      <c r="J85" s="36">
        <f>IFERROR(aurora_data!I1405,0)</f>
        <v>1</v>
      </c>
      <c r="K85" s="62">
        <f>IFERROR(aurora_data!J1405,0)</f>
        <v>0</v>
      </c>
      <c r="L85" s="62">
        <f>IFERROR(aurora_data!K1405,0)</f>
        <v>0</v>
      </c>
      <c r="M85" s="62">
        <f>IFERROR(aurora_data!L1405,0)</f>
        <v>0</v>
      </c>
      <c r="N85" s="63">
        <f>IFERROR(aurora_data!M1405,0)</f>
        <v>1</v>
      </c>
      <c r="O85" s="36">
        <f>IFERROR(aurora_data!N1405,0)</f>
        <v>1</v>
      </c>
      <c r="P85" s="62">
        <f>IFERROR(aurora_data!O1405,0)</f>
        <v>0</v>
      </c>
      <c r="Q85" s="62">
        <f>IFERROR(aurora_data!P1405,0)</f>
        <v>1</v>
      </c>
      <c r="R85" s="63">
        <f>IFERROR(aurora_data!Q1405,0)</f>
        <v>0</v>
      </c>
      <c r="S85" s="62">
        <f>IFERROR(aurora_data!R1405,0)</f>
        <v>1</v>
      </c>
      <c r="T85" s="62">
        <f>IFERROR(aurora_data!S1405,0)</f>
        <v>1</v>
      </c>
      <c r="U85" s="63">
        <f>IFERROR(aurora_data!T1405,0)</f>
        <v>0</v>
      </c>
      <c r="V85" s="64" t="s">
        <v>95</v>
      </c>
      <c r="W85" s="36">
        <f>IFERROR(aurora_data!U1405,0)</f>
        <v>2</v>
      </c>
      <c r="X85" s="71">
        <f t="shared" ref="X85:X91" si="9">IFERROR(W85/$W$12,0)</f>
        <v>0.2</v>
      </c>
      <c r="Y85" s="2"/>
    </row>
    <row r="86" spans="1:25" customFormat="1">
      <c r="A86" s="2"/>
      <c r="B86" s="211"/>
      <c r="C86" s="213"/>
      <c r="D86" s="35" t="s">
        <v>60</v>
      </c>
      <c r="E86" s="110">
        <f>IFERROR(aurora_data!D1406,0)</f>
        <v>0</v>
      </c>
      <c r="F86" s="62">
        <f>IFERROR(aurora_data!E1406,0)</f>
        <v>0</v>
      </c>
      <c r="G86" s="62">
        <f>IFERROR(aurora_data!F1406,0)</f>
        <v>0</v>
      </c>
      <c r="H86" s="62">
        <f>IFERROR(aurora_data!G1406,0)</f>
        <v>0</v>
      </c>
      <c r="I86" s="63">
        <f>IFERROR(aurora_data!H1406,0)</f>
        <v>0</v>
      </c>
      <c r="J86" s="36">
        <f>IFERROR(aurora_data!I1406,0)</f>
        <v>0</v>
      </c>
      <c r="K86" s="62">
        <f>IFERROR(aurora_data!J1406,0)</f>
        <v>0</v>
      </c>
      <c r="L86" s="62">
        <f>IFERROR(aurora_data!K1406,0)</f>
        <v>0</v>
      </c>
      <c r="M86" s="62">
        <f>IFERROR(aurora_data!L1406,0)</f>
        <v>0</v>
      </c>
      <c r="N86" s="63">
        <f>IFERROR(aurora_data!M1406,0)</f>
        <v>0</v>
      </c>
      <c r="O86" s="36">
        <f>IFERROR(aurora_data!N1406,0)</f>
        <v>0</v>
      </c>
      <c r="P86" s="62">
        <f>IFERROR(aurora_data!O1406,0)</f>
        <v>0</v>
      </c>
      <c r="Q86" s="62">
        <f>IFERROR(aurora_data!P1406,0)</f>
        <v>0</v>
      </c>
      <c r="R86" s="63">
        <f>IFERROR(aurora_data!Q1406,0)</f>
        <v>0</v>
      </c>
      <c r="S86" s="62">
        <f>IFERROR(aurora_data!R1406,0)</f>
        <v>0</v>
      </c>
      <c r="T86" s="62">
        <f>IFERROR(aurora_data!S1406,0)</f>
        <v>0</v>
      </c>
      <c r="U86" s="63">
        <f>IFERROR(aurora_data!T1406,0)</f>
        <v>0</v>
      </c>
      <c r="V86" s="64" t="s">
        <v>95</v>
      </c>
      <c r="W86" s="36">
        <f>IFERROR(aurora_data!U1406,0)</f>
        <v>0</v>
      </c>
      <c r="X86" s="71">
        <f t="shared" si="9"/>
        <v>0</v>
      </c>
      <c r="Y86" s="2"/>
    </row>
    <row r="87" spans="1:25" customFormat="1">
      <c r="A87" s="2"/>
      <c r="B87" s="211"/>
      <c r="C87" s="213"/>
      <c r="D87" s="35" t="s">
        <v>97</v>
      </c>
      <c r="E87" s="36">
        <f>IFERROR(aurora_data!D1407,0)</f>
        <v>0</v>
      </c>
      <c r="F87" s="62">
        <f>IFERROR(aurora_data!E1407,0)</f>
        <v>0</v>
      </c>
      <c r="G87" s="62">
        <f>IFERROR(aurora_data!F1407,0)</f>
        <v>0</v>
      </c>
      <c r="H87" s="62">
        <f>IFERROR(aurora_data!G1407,0)</f>
        <v>0</v>
      </c>
      <c r="I87" s="63">
        <f>IFERROR(aurora_data!H1407,0)</f>
        <v>0</v>
      </c>
      <c r="J87" s="36">
        <f>IFERROR(aurora_data!I1407,0)</f>
        <v>0</v>
      </c>
      <c r="K87" s="62">
        <f>IFERROR(aurora_data!J1407,0)</f>
        <v>0</v>
      </c>
      <c r="L87" s="62">
        <f>IFERROR(aurora_data!K1407,0)</f>
        <v>0</v>
      </c>
      <c r="M87" s="62">
        <f>IFERROR(aurora_data!L1407,0)</f>
        <v>0</v>
      </c>
      <c r="N87" s="63">
        <f>IFERROR(aurora_data!M1407,0)</f>
        <v>0</v>
      </c>
      <c r="O87" s="36">
        <f>IFERROR(aurora_data!N1407,0)</f>
        <v>0</v>
      </c>
      <c r="P87" s="62">
        <f>IFERROR(aurora_data!O1407,0)</f>
        <v>0</v>
      </c>
      <c r="Q87" s="62">
        <f>IFERROR(aurora_data!P1407,0)</f>
        <v>0</v>
      </c>
      <c r="R87" s="63">
        <f>IFERROR(aurora_data!Q1407,0)</f>
        <v>0</v>
      </c>
      <c r="S87" s="62">
        <f>IFERROR(aurora_data!R1407,0)</f>
        <v>0</v>
      </c>
      <c r="T87" s="62">
        <f>IFERROR(aurora_data!S1407,0)</f>
        <v>0</v>
      </c>
      <c r="U87" s="63">
        <f>IFERROR(aurora_data!T1407,0)</f>
        <v>0</v>
      </c>
      <c r="V87" s="64" t="s">
        <v>95</v>
      </c>
      <c r="W87" s="36">
        <f>IFERROR(aurora_data!U1407,0)</f>
        <v>0</v>
      </c>
      <c r="X87" s="71">
        <f t="shared" si="9"/>
        <v>0</v>
      </c>
      <c r="Y87" s="2"/>
    </row>
    <row r="88" spans="1:25" customFormat="1">
      <c r="A88" s="2"/>
      <c r="B88" s="211"/>
      <c r="C88" s="213"/>
      <c r="D88" s="35" t="s">
        <v>98</v>
      </c>
      <c r="E88" s="36">
        <f>IFERROR(aurora_data!D1408,0)</f>
        <v>0</v>
      </c>
      <c r="F88" s="62">
        <f>IFERROR(aurora_data!E1408,0)</f>
        <v>0</v>
      </c>
      <c r="G88" s="62">
        <f>IFERROR(aurora_data!F1408,0)</f>
        <v>0</v>
      </c>
      <c r="H88" s="62">
        <f>IFERROR(aurora_data!G1408,0)</f>
        <v>0</v>
      </c>
      <c r="I88" s="63">
        <f>IFERROR(aurora_data!H1408,0)</f>
        <v>0</v>
      </c>
      <c r="J88" s="36">
        <f>IFERROR(aurora_data!I1408,0)</f>
        <v>0</v>
      </c>
      <c r="K88" s="62">
        <f>IFERROR(aurora_data!J1408,0)</f>
        <v>0</v>
      </c>
      <c r="L88" s="62">
        <f>IFERROR(aurora_data!K1408,0)</f>
        <v>0</v>
      </c>
      <c r="M88" s="62">
        <f>IFERROR(aurora_data!L1408,0)</f>
        <v>0</v>
      </c>
      <c r="N88" s="63">
        <f>IFERROR(aurora_data!M1408,0)</f>
        <v>0</v>
      </c>
      <c r="O88" s="36">
        <f>IFERROR(aurora_data!N1408,0)</f>
        <v>0</v>
      </c>
      <c r="P88" s="62">
        <f>IFERROR(aurora_data!O1408,0)</f>
        <v>0</v>
      </c>
      <c r="Q88" s="62">
        <f>IFERROR(aurora_data!P1408,0)</f>
        <v>0</v>
      </c>
      <c r="R88" s="63">
        <f>IFERROR(aurora_data!Q1408,0)</f>
        <v>0</v>
      </c>
      <c r="S88" s="62">
        <f>IFERROR(aurora_data!R1408,0)</f>
        <v>0</v>
      </c>
      <c r="T88" s="62">
        <f>IFERROR(aurora_data!S1408,0)</f>
        <v>0</v>
      </c>
      <c r="U88" s="63">
        <f>IFERROR(aurora_data!T1408,0)</f>
        <v>0</v>
      </c>
      <c r="V88" s="64" t="s">
        <v>95</v>
      </c>
      <c r="W88" s="36">
        <f>IFERROR(aurora_data!U1408,0)</f>
        <v>0</v>
      </c>
      <c r="X88" s="71">
        <f t="shared" si="9"/>
        <v>0</v>
      </c>
      <c r="Y88" s="2"/>
    </row>
    <row r="89" spans="1:25" customFormat="1" ht="16.5" thickBot="1">
      <c r="A89" s="2"/>
      <c r="B89" s="211"/>
      <c r="C89" s="213"/>
      <c r="D89" s="35" t="s">
        <v>99</v>
      </c>
      <c r="E89" s="36">
        <f>IFERROR(aurora_data!D1409,0)</f>
        <v>0</v>
      </c>
      <c r="F89" s="62">
        <f>IFERROR(aurora_data!E1409,0)</f>
        <v>0</v>
      </c>
      <c r="G89" s="62">
        <f>IFERROR(aurora_data!F1409,0)</f>
        <v>0</v>
      </c>
      <c r="H89" s="62">
        <f>IFERROR(aurora_data!G1409,0)</f>
        <v>0</v>
      </c>
      <c r="I89" s="63">
        <f>IFERROR(aurora_data!H1409,0)</f>
        <v>0</v>
      </c>
      <c r="J89" s="36">
        <f>IFERROR(aurora_data!I1409,0)</f>
        <v>0</v>
      </c>
      <c r="K89" s="62">
        <f>IFERROR(aurora_data!J1409,0)</f>
        <v>0</v>
      </c>
      <c r="L89" s="62">
        <f>IFERROR(aurora_data!K1409,0)</f>
        <v>0</v>
      </c>
      <c r="M89" s="62">
        <f>IFERROR(aurora_data!L1409,0)</f>
        <v>0</v>
      </c>
      <c r="N89" s="63">
        <f>IFERROR(aurora_data!M1409,0)</f>
        <v>0</v>
      </c>
      <c r="O89" s="36">
        <f>IFERROR(aurora_data!N1409,0)</f>
        <v>0</v>
      </c>
      <c r="P89" s="62">
        <f>IFERROR(aurora_data!O1409,0)</f>
        <v>0</v>
      </c>
      <c r="Q89" s="62">
        <f>IFERROR(aurora_data!P1409,0)</f>
        <v>0</v>
      </c>
      <c r="R89" s="63">
        <f>IFERROR(aurora_data!Q1409,0)</f>
        <v>0</v>
      </c>
      <c r="S89" s="62">
        <f>IFERROR(aurora_data!R1409,0)</f>
        <v>0</v>
      </c>
      <c r="T89" s="62">
        <f>IFERROR(aurora_data!S1409,0)</f>
        <v>0</v>
      </c>
      <c r="U89" s="63">
        <f>IFERROR(aurora_data!T1409,0)</f>
        <v>0</v>
      </c>
      <c r="V89" s="64" t="s">
        <v>95</v>
      </c>
      <c r="W89" s="36">
        <f>IFERROR(aurora_data!U1409,0)</f>
        <v>0</v>
      </c>
      <c r="X89" s="71">
        <f t="shared" si="9"/>
        <v>0</v>
      </c>
      <c r="Y89" s="2"/>
    </row>
    <row r="90" spans="1:25" customFormat="1" ht="16.5" thickBot="1">
      <c r="A90" s="2"/>
      <c r="B90" s="211"/>
      <c r="C90" s="213"/>
      <c r="D90" s="37" t="s">
        <v>64</v>
      </c>
      <c r="E90" s="59">
        <f>IFERROR(aurora_data!D1410,0)</f>
        <v>1</v>
      </c>
      <c r="F90" s="65">
        <f>IFERROR(aurora_data!E1410,0)</f>
        <v>0</v>
      </c>
      <c r="G90" s="65">
        <f>IFERROR(aurora_data!F1410,0)</f>
        <v>0</v>
      </c>
      <c r="H90" s="65">
        <f>IFERROR(aurora_data!G1410,0)</f>
        <v>0</v>
      </c>
      <c r="I90" s="66">
        <f>IFERROR(aurora_data!H1410,0)</f>
        <v>1</v>
      </c>
      <c r="J90" s="59">
        <f>IFERROR(aurora_data!I1410,0)</f>
        <v>1</v>
      </c>
      <c r="K90" s="65">
        <f>IFERROR(aurora_data!J1410,0)</f>
        <v>0</v>
      </c>
      <c r="L90" s="65">
        <f>IFERROR(aurora_data!K1410,0)</f>
        <v>0</v>
      </c>
      <c r="M90" s="65">
        <f>IFERROR(aurora_data!L1410,0)</f>
        <v>0</v>
      </c>
      <c r="N90" s="66">
        <f>IFERROR(aurora_data!M1410,0)</f>
        <v>1</v>
      </c>
      <c r="O90" s="59">
        <f>IFERROR(aurora_data!N1410,0)</f>
        <v>1</v>
      </c>
      <c r="P90" s="65">
        <f>IFERROR(aurora_data!O1410,0)</f>
        <v>0</v>
      </c>
      <c r="Q90" s="65">
        <f>IFERROR(aurora_data!P1410,0)</f>
        <v>1</v>
      </c>
      <c r="R90" s="66">
        <f>IFERROR(aurora_data!Q1410,0)</f>
        <v>0</v>
      </c>
      <c r="S90" s="65">
        <f>IFERROR(aurora_data!R1410,0)</f>
        <v>1</v>
      </c>
      <c r="T90" s="65">
        <f>IFERROR(aurora_data!S1410,0)</f>
        <v>1</v>
      </c>
      <c r="U90" s="66">
        <f>IFERROR(aurora_data!T1410,0)</f>
        <v>0</v>
      </c>
      <c r="V90" s="67" t="s">
        <v>95</v>
      </c>
      <c r="W90" s="59">
        <f>IFERROR(aurora_data!U1410,0)</f>
        <v>2</v>
      </c>
      <c r="X90" s="72">
        <f t="shared" si="9"/>
        <v>0.2</v>
      </c>
      <c r="Y90" s="2"/>
    </row>
    <row r="91" spans="1:25" customFormat="1" ht="16.5" thickBot="1">
      <c r="A91" s="2"/>
      <c r="B91" s="211"/>
      <c r="C91" s="213"/>
      <c r="D91" s="38" t="s">
        <v>100</v>
      </c>
      <c r="E91" s="60">
        <f>IFERROR(aurora_data!D1411,0)</f>
        <v>0</v>
      </c>
      <c r="F91" s="68">
        <f>IFERROR(aurora_data!E1411,0)</f>
        <v>0</v>
      </c>
      <c r="G91" s="68">
        <f>IFERROR(aurora_data!F1411,0)</f>
        <v>0</v>
      </c>
      <c r="H91" s="68">
        <f>IFERROR(aurora_data!G1411,0)</f>
        <v>0</v>
      </c>
      <c r="I91" s="69">
        <f>IFERROR(aurora_data!H1411,0)</f>
        <v>0</v>
      </c>
      <c r="J91" s="60">
        <f>IFERROR(aurora_data!I1411,0)</f>
        <v>0</v>
      </c>
      <c r="K91" s="68">
        <f>IFERROR(aurora_data!J1411,0)</f>
        <v>0</v>
      </c>
      <c r="L91" s="68">
        <f>IFERROR(aurora_data!K1411,0)</f>
        <v>0</v>
      </c>
      <c r="M91" s="68">
        <f>IFERROR(aurora_data!L1411,0)</f>
        <v>0</v>
      </c>
      <c r="N91" s="69">
        <f>IFERROR(aurora_data!M1411,0)</f>
        <v>0</v>
      </c>
      <c r="O91" s="60">
        <f>IFERROR(aurora_data!N1411,0)</f>
        <v>0</v>
      </c>
      <c r="P91" s="68">
        <f>IFERROR(aurora_data!O1411,0)</f>
        <v>0</v>
      </c>
      <c r="Q91" s="68">
        <f>IFERROR(aurora_data!P1411,0)</f>
        <v>0</v>
      </c>
      <c r="R91" s="69">
        <f>IFERROR(aurora_data!Q1411,0)</f>
        <v>0</v>
      </c>
      <c r="S91" s="68">
        <f>IFERROR(aurora_data!R1411,0)</f>
        <v>0</v>
      </c>
      <c r="T91" s="68">
        <f>IFERROR(aurora_data!S1411,0)</f>
        <v>0</v>
      </c>
      <c r="U91" s="74">
        <f>IFERROR(aurora_data!T1411,0)</f>
        <v>0</v>
      </c>
      <c r="V91" s="75" t="s">
        <v>95</v>
      </c>
      <c r="W91" s="60">
        <f>IFERROR(aurora_data!U1411,0)</f>
        <v>0</v>
      </c>
      <c r="X91" s="73">
        <f t="shared" si="9"/>
        <v>0</v>
      </c>
      <c r="Y91" s="2"/>
    </row>
    <row r="92" spans="1:25" customFormat="1">
      <c r="A92" s="2"/>
      <c r="B92" s="210" t="s">
        <v>94</v>
      </c>
      <c r="C92" s="212" t="str">
        <f>aurora_data!A1412</f>
        <v>16.00.00-16.11.30</v>
      </c>
      <c r="D92" s="34" t="s">
        <v>71</v>
      </c>
      <c r="E92" s="39">
        <f>IFERROR(aurora_data!D1412,0)</f>
        <v>0</v>
      </c>
      <c r="F92" s="40">
        <f>IFERROR(aurora_data!E1412,0)</f>
        <v>0</v>
      </c>
      <c r="G92" s="40">
        <f>IFERROR(aurora_data!F1412,0)</f>
        <v>0</v>
      </c>
      <c r="H92" s="40">
        <f>IFERROR(aurora_data!G1412,0)</f>
        <v>0</v>
      </c>
      <c r="I92" s="41">
        <f>IFERROR(aurora_data!H1412,0)</f>
        <v>0</v>
      </c>
      <c r="J92" s="39">
        <f>IFERROR(aurora_data!I1412,0)</f>
        <v>0</v>
      </c>
      <c r="K92" s="40">
        <f>IFERROR(aurora_data!J1412,0)</f>
        <v>0</v>
      </c>
      <c r="L92" s="40">
        <f>IFERROR(aurora_data!K1412,0)</f>
        <v>0</v>
      </c>
      <c r="M92" s="40">
        <f>IFERROR(aurora_data!L1412,0)</f>
        <v>0</v>
      </c>
      <c r="N92" s="41">
        <f>IFERROR(aurora_data!M1412,0)</f>
        <v>0</v>
      </c>
      <c r="O92" s="39">
        <f>IFERROR(aurora_data!N1412,0)</f>
        <v>0</v>
      </c>
      <c r="P92" s="40">
        <f>IFERROR(aurora_data!O1412,0)</f>
        <v>0</v>
      </c>
      <c r="Q92" s="40">
        <f>IFERROR(aurora_data!P1412,0)</f>
        <v>0</v>
      </c>
      <c r="R92" s="41">
        <f>IFERROR(aurora_data!Q1412,0)</f>
        <v>0</v>
      </c>
      <c r="S92" s="40">
        <f>IFERROR(aurora_data!R1412,0)</f>
        <v>0</v>
      </c>
      <c r="T92" s="40">
        <f>IFERROR(aurora_data!S1412,0)</f>
        <v>0</v>
      </c>
      <c r="U92" s="76">
        <f>IFERROR(aurora_data!T1412,0)</f>
        <v>0</v>
      </c>
      <c r="V92" s="61" t="s">
        <v>95</v>
      </c>
      <c r="W92" s="39">
        <f>IFERROR(aurora_data!U1412,0)</f>
        <v>10</v>
      </c>
      <c r="X92" s="70">
        <f>IFERROR(W92/$W$12,0)</f>
        <v>1</v>
      </c>
      <c r="Y92" s="2"/>
    </row>
    <row r="93" spans="1:25" customFormat="1">
      <c r="A93" s="2"/>
      <c r="B93" s="211"/>
      <c r="C93" s="213"/>
      <c r="D93" s="35" t="s">
        <v>96</v>
      </c>
      <c r="E93" s="110">
        <f>IFERROR(aurora_data!D1413,0)</f>
        <v>0</v>
      </c>
      <c r="F93" s="62">
        <f>IFERROR(aurora_data!E1413,0)</f>
        <v>0</v>
      </c>
      <c r="G93" s="62">
        <f>IFERROR(aurora_data!F1413,0)</f>
        <v>0</v>
      </c>
      <c r="H93" s="62">
        <f>IFERROR(aurora_data!G1413,0)</f>
        <v>0</v>
      </c>
      <c r="I93" s="63">
        <f>IFERROR(aurora_data!H1413,0)</f>
        <v>1</v>
      </c>
      <c r="J93" s="36">
        <f>IFERROR(aurora_data!I1413,0)</f>
        <v>0</v>
      </c>
      <c r="K93" s="62">
        <f>IFERROR(aurora_data!J1413,0)</f>
        <v>1</v>
      </c>
      <c r="L93" s="62">
        <f>IFERROR(aurora_data!K1413,0)</f>
        <v>0</v>
      </c>
      <c r="M93" s="62">
        <f>IFERROR(aurora_data!L1413,0)</f>
        <v>0</v>
      </c>
      <c r="N93" s="63">
        <f>IFERROR(aurora_data!M1413,0)</f>
        <v>0</v>
      </c>
      <c r="O93" s="36">
        <f>IFERROR(aurora_data!N1413,0)</f>
        <v>0</v>
      </c>
      <c r="P93" s="62">
        <f>IFERROR(aurora_data!O1413,0)</f>
        <v>0</v>
      </c>
      <c r="Q93" s="62">
        <f>IFERROR(aurora_data!P1413,0)</f>
        <v>1</v>
      </c>
      <c r="R93" s="63">
        <f>IFERROR(aurora_data!Q1413,0)</f>
        <v>0</v>
      </c>
      <c r="S93" s="62">
        <f>IFERROR(aurora_data!R1413,0)</f>
        <v>0</v>
      </c>
      <c r="T93" s="62">
        <f>IFERROR(aurora_data!S1413,0)</f>
        <v>1</v>
      </c>
      <c r="U93" s="63">
        <f>IFERROR(aurora_data!T1413,0)</f>
        <v>0</v>
      </c>
      <c r="V93" s="64" t="s">
        <v>95</v>
      </c>
      <c r="W93" s="36">
        <f>IFERROR(aurora_data!U1413,0)</f>
        <v>1</v>
      </c>
      <c r="X93" s="71">
        <f t="shared" ref="X93:X99" si="10">IFERROR(W93/$W$12,0)</f>
        <v>0.1</v>
      </c>
      <c r="Y93" s="2"/>
    </row>
    <row r="94" spans="1:25" customFormat="1">
      <c r="A94" s="2"/>
      <c r="B94" s="211"/>
      <c r="C94" s="213"/>
      <c r="D94" s="35" t="s">
        <v>60</v>
      </c>
      <c r="E94" s="110">
        <f>IFERROR(aurora_data!D1414,0)</f>
        <v>0</v>
      </c>
      <c r="F94" s="62">
        <f>IFERROR(aurora_data!E1414,0)</f>
        <v>0</v>
      </c>
      <c r="G94" s="62">
        <f>IFERROR(aurora_data!F1414,0)</f>
        <v>0</v>
      </c>
      <c r="H94" s="62">
        <f>IFERROR(aurora_data!G1414,0)</f>
        <v>0</v>
      </c>
      <c r="I94" s="63">
        <f>IFERROR(aurora_data!H1414,0)</f>
        <v>0</v>
      </c>
      <c r="J94" s="36">
        <f>IFERROR(aurora_data!I1414,0)</f>
        <v>0</v>
      </c>
      <c r="K94" s="62">
        <f>IFERROR(aurora_data!J1414,0)</f>
        <v>0</v>
      </c>
      <c r="L94" s="62">
        <f>IFERROR(aurora_data!K1414,0)</f>
        <v>0</v>
      </c>
      <c r="M94" s="62">
        <f>IFERROR(aurora_data!L1414,0)</f>
        <v>0</v>
      </c>
      <c r="N94" s="63">
        <f>IFERROR(aurora_data!M1414,0)</f>
        <v>0</v>
      </c>
      <c r="O94" s="36">
        <f>IFERROR(aurora_data!N1414,0)</f>
        <v>0</v>
      </c>
      <c r="P94" s="62">
        <f>IFERROR(aurora_data!O1414,0)</f>
        <v>0</v>
      </c>
      <c r="Q94" s="62">
        <f>IFERROR(aurora_data!P1414,0)</f>
        <v>0</v>
      </c>
      <c r="R94" s="63">
        <f>IFERROR(aurora_data!Q1414,0)</f>
        <v>0</v>
      </c>
      <c r="S94" s="62">
        <f>IFERROR(aurora_data!R1414,0)</f>
        <v>0</v>
      </c>
      <c r="T94" s="62">
        <f>IFERROR(aurora_data!S1414,0)</f>
        <v>0</v>
      </c>
      <c r="U94" s="63">
        <f>IFERROR(aurora_data!T1414,0)</f>
        <v>0</v>
      </c>
      <c r="V94" s="64" t="s">
        <v>95</v>
      </c>
      <c r="W94" s="36">
        <f>IFERROR(aurora_data!U1414,0)</f>
        <v>0</v>
      </c>
      <c r="X94" s="71">
        <f t="shared" si="10"/>
        <v>0</v>
      </c>
      <c r="Y94" s="2"/>
    </row>
    <row r="95" spans="1:25" customFormat="1">
      <c r="A95" s="2"/>
      <c r="B95" s="211"/>
      <c r="C95" s="213"/>
      <c r="D95" s="35" t="s">
        <v>97</v>
      </c>
      <c r="E95" s="36">
        <f>IFERROR(aurora_data!D1415,0)</f>
        <v>0</v>
      </c>
      <c r="F95" s="62">
        <f>IFERROR(aurora_data!E1415,0)</f>
        <v>0</v>
      </c>
      <c r="G95" s="62">
        <f>IFERROR(aurora_data!F1415,0)</f>
        <v>0</v>
      </c>
      <c r="H95" s="62">
        <f>IFERROR(aurora_data!G1415,0)</f>
        <v>0</v>
      </c>
      <c r="I95" s="63">
        <f>IFERROR(aurora_data!H1415,0)</f>
        <v>0</v>
      </c>
      <c r="J95" s="36">
        <f>IFERROR(aurora_data!I1415,0)</f>
        <v>0</v>
      </c>
      <c r="K95" s="62">
        <f>IFERROR(aurora_data!J1415,0)</f>
        <v>0</v>
      </c>
      <c r="L95" s="62">
        <f>IFERROR(aurora_data!K1415,0)</f>
        <v>0</v>
      </c>
      <c r="M95" s="62">
        <f>IFERROR(aurora_data!L1415,0)</f>
        <v>0</v>
      </c>
      <c r="N95" s="63">
        <f>IFERROR(aurora_data!M1415,0)</f>
        <v>0</v>
      </c>
      <c r="O95" s="36">
        <f>IFERROR(aurora_data!N1415,0)</f>
        <v>0</v>
      </c>
      <c r="P95" s="62">
        <f>IFERROR(aurora_data!O1415,0)</f>
        <v>0</v>
      </c>
      <c r="Q95" s="62">
        <f>IFERROR(aurora_data!P1415,0)</f>
        <v>0</v>
      </c>
      <c r="R95" s="63">
        <f>IFERROR(aurora_data!Q1415,0)</f>
        <v>0</v>
      </c>
      <c r="S95" s="62">
        <f>IFERROR(aurora_data!R1415,0)</f>
        <v>0</v>
      </c>
      <c r="T95" s="62">
        <f>IFERROR(aurora_data!S1415,0)</f>
        <v>0</v>
      </c>
      <c r="U95" s="63">
        <f>IFERROR(aurora_data!T1415,0)</f>
        <v>0</v>
      </c>
      <c r="V95" s="64" t="s">
        <v>95</v>
      </c>
      <c r="W95" s="36">
        <f>IFERROR(aurora_data!U1415,0)</f>
        <v>0</v>
      </c>
      <c r="X95" s="71">
        <f t="shared" si="10"/>
        <v>0</v>
      </c>
      <c r="Y95" s="2"/>
    </row>
    <row r="96" spans="1:25" customFormat="1">
      <c r="A96" s="2"/>
      <c r="B96" s="211"/>
      <c r="C96" s="213"/>
      <c r="D96" s="35" t="s">
        <v>98</v>
      </c>
      <c r="E96" s="36">
        <f>IFERROR(aurora_data!D1416,0)</f>
        <v>0</v>
      </c>
      <c r="F96" s="62">
        <f>IFERROR(aurora_data!E1416,0)</f>
        <v>0</v>
      </c>
      <c r="G96" s="62">
        <f>IFERROR(aurora_data!F1416,0)</f>
        <v>0</v>
      </c>
      <c r="H96" s="62">
        <f>IFERROR(aurora_data!G1416,0)</f>
        <v>0</v>
      </c>
      <c r="I96" s="63">
        <f>IFERROR(aurora_data!H1416,0)</f>
        <v>0</v>
      </c>
      <c r="J96" s="36">
        <f>IFERROR(aurora_data!I1416,0)</f>
        <v>0</v>
      </c>
      <c r="K96" s="62">
        <f>IFERROR(aurora_data!J1416,0)</f>
        <v>0</v>
      </c>
      <c r="L96" s="62">
        <f>IFERROR(aurora_data!K1416,0)</f>
        <v>0</v>
      </c>
      <c r="M96" s="62">
        <f>IFERROR(aurora_data!L1416,0)</f>
        <v>0</v>
      </c>
      <c r="N96" s="63">
        <f>IFERROR(aurora_data!M1416,0)</f>
        <v>0</v>
      </c>
      <c r="O96" s="36">
        <f>IFERROR(aurora_data!N1416,0)</f>
        <v>0</v>
      </c>
      <c r="P96" s="62">
        <f>IFERROR(aurora_data!O1416,0)</f>
        <v>0</v>
      </c>
      <c r="Q96" s="62">
        <f>IFERROR(aurora_data!P1416,0)</f>
        <v>0</v>
      </c>
      <c r="R96" s="63">
        <f>IFERROR(aurora_data!Q1416,0)</f>
        <v>0</v>
      </c>
      <c r="S96" s="62">
        <f>IFERROR(aurora_data!R1416,0)</f>
        <v>0</v>
      </c>
      <c r="T96" s="62">
        <f>IFERROR(aurora_data!S1416,0)</f>
        <v>0</v>
      </c>
      <c r="U96" s="63">
        <f>IFERROR(aurora_data!T1416,0)</f>
        <v>0</v>
      </c>
      <c r="V96" s="64" t="s">
        <v>95</v>
      </c>
      <c r="W96" s="36">
        <f>IFERROR(aurora_data!U1416,0)</f>
        <v>0</v>
      </c>
      <c r="X96" s="71">
        <f t="shared" si="10"/>
        <v>0</v>
      </c>
      <c r="Y96" s="2"/>
    </row>
    <row r="97" spans="1:25" customFormat="1" ht="16.5" thickBot="1">
      <c r="A97" s="2"/>
      <c r="B97" s="211"/>
      <c r="C97" s="213"/>
      <c r="D97" s="35" t="s">
        <v>99</v>
      </c>
      <c r="E97" s="36">
        <f>IFERROR(aurora_data!D1417,0)</f>
        <v>0</v>
      </c>
      <c r="F97" s="62">
        <f>IFERROR(aurora_data!E1417,0)</f>
        <v>0</v>
      </c>
      <c r="G97" s="62">
        <f>IFERROR(aurora_data!F1417,0)</f>
        <v>0</v>
      </c>
      <c r="H97" s="62">
        <f>IFERROR(aurora_data!G1417,0)</f>
        <v>0</v>
      </c>
      <c r="I97" s="63">
        <f>IFERROR(aurora_data!H1417,0)</f>
        <v>0</v>
      </c>
      <c r="J97" s="36">
        <f>IFERROR(aurora_data!I1417,0)</f>
        <v>0</v>
      </c>
      <c r="K97" s="62">
        <f>IFERROR(aurora_data!J1417,0)</f>
        <v>0</v>
      </c>
      <c r="L97" s="62">
        <f>IFERROR(aurora_data!K1417,0)</f>
        <v>0</v>
      </c>
      <c r="M97" s="62">
        <f>IFERROR(aurora_data!L1417,0)</f>
        <v>0</v>
      </c>
      <c r="N97" s="63">
        <f>IFERROR(aurora_data!M1417,0)</f>
        <v>0</v>
      </c>
      <c r="O97" s="36">
        <f>IFERROR(aurora_data!N1417,0)</f>
        <v>0</v>
      </c>
      <c r="P97" s="62">
        <f>IFERROR(aurora_data!O1417,0)</f>
        <v>0</v>
      </c>
      <c r="Q97" s="62">
        <f>IFERROR(aurora_data!P1417,0)</f>
        <v>0</v>
      </c>
      <c r="R97" s="63">
        <f>IFERROR(aurora_data!Q1417,0)</f>
        <v>0</v>
      </c>
      <c r="S97" s="62">
        <f>IFERROR(aurora_data!R1417,0)</f>
        <v>0</v>
      </c>
      <c r="T97" s="62">
        <f>IFERROR(aurora_data!S1417,0)</f>
        <v>0</v>
      </c>
      <c r="U97" s="63">
        <f>IFERROR(aurora_data!T1417,0)</f>
        <v>0</v>
      </c>
      <c r="V97" s="64" t="s">
        <v>95</v>
      </c>
      <c r="W97" s="36">
        <f>IFERROR(aurora_data!U1417,0)</f>
        <v>0</v>
      </c>
      <c r="X97" s="71">
        <f t="shared" si="10"/>
        <v>0</v>
      </c>
      <c r="Y97" s="2"/>
    </row>
    <row r="98" spans="1:25" customFormat="1" ht="16.5" thickBot="1">
      <c r="A98" s="2"/>
      <c r="B98" s="211"/>
      <c r="C98" s="213"/>
      <c r="D98" s="37" t="s">
        <v>64</v>
      </c>
      <c r="E98" s="59">
        <f>IFERROR(aurora_data!D1418,0)</f>
        <v>0</v>
      </c>
      <c r="F98" s="65">
        <f>IFERROR(aurora_data!E1418,0)</f>
        <v>0</v>
      </c>
      <c r="G98" s="65">
        <f>IFERROR(aurora_data!F1418,0)</f>
        <v>0</v>
      </c>
      <c r="H98" s="65">
        <f>IFERROR(aurora_data!G1418,0)</f>
        <v>0</v>
      </c>
      <c r="I98" s="66">
        <f>IFERROR(aurora_data!H1418,0)</f>
        <v>1</v>
      </c>
      <c r="J98" s="59">
        <f>IFERROR(aurora_data!I1418,0)</f>
        <v>0</v>
      </c>
      <c r="K98" s="65">
        <f>IFERROR(aurora_data!J1418,0)</f>
        <v>1</v>
      </c>
      <c r="L98" s="65">
        <f>IFERROR(aurora_data!K1418,0)</f>
        <v>0</v>
      </c>
      <c r="M98" s="65">
        <f>IFERROR(aurora_data!L1418,0)</f>
        <v>0</v>
      </c>
      <c r="N98" s="66">
        <f>IFERROR(aurora_data!M1418,0)</f>
        <v>0</v>
      </c>
      <c r="O98" s="59">
        <f>IFERROR(aurora_data!N1418,0)</f>
        <v>0</v>
      </c>
      <c r="P98" s="65">
        <f>IFERROR(aurora_data!O1418,0)</f>
        <v>0</v>
      </c>
      <c r="Q98" s="65">
        <f>IFERROR(aurora_data!P1418,0)</f>
        <v>1</v>
      </c>
      <c r="R98" s="66">
        <f>IFERROR(aurora_data!Q1418,0)</f>
        <v>0</v>
      </c>
      <c r="S98" s="65">
        <f>IFERROR(aurora_data!R1418,0)</f>
        <v>0</v>
      </c>
      <c r="T98" s="65">
        <f>IFERROR(aurora_data!S1418,0)</f>
        <v>1</v>
      </c>
      <c r="U98" s="66">
        <f>IFERROR(aurora_data!T1418,0)</f>
        <v>0</v>
      </c>
      <c r="V98" s="67" t="s">
        <v>95</v>
      </c>
      <c r="W98" s="59">
        <f>IFERROR(aurora_data!U1418,0)</f>
        <v>1</v>
      </c>
      <c r="X98" s="72">
        <f t="shared" si="10"/>
        <v>0.1</v>
      </c>
      <c r="Y98" s="2"/>
    </row>
    <row r="99" spans="1:25" customFormat="1" ht="16.5" thickBot="1">
      <c r="A99" s="2"/>
      <c r="B99" s="211"/>
      <c r="C99" s="213"/>
      <c r="D99" s="38" t="s">
        <v>100</v>
      </c>
      <c r="E99" s="60">
        <f>IFERROR(aurora_data!D1419,0)</f>
        <v>0</v>
      </c>
      <c r="F99" s="68">
        <f>IFERROR(aurora_data!E1419,0)</f>
        <v>0</v>
      </c>
      <c r="G99" s="68">
        <f>IFERROR(aurora_data!F1419,0)</f>
        <v>0</v>
      </c>
      <c r="H99" s="68">
        <f>IFERROR(aurora_data!G1419,0)</f>
        <v>0</v>
      </c>
      <c r="I99" s="69">
        <f>IFERROR(aurora_data!H1419,0)</f>
        <v>0</v>
      </c>
      <c r="J99" s="60">
        <f>IFERROR(aurora_data!I1419,0)</f>
        <v>0</v>
      </c>
      <c r="K99" s="68">
        <f>IFERROR(aurora_data!J1419,0)</f>
        <v>0</v>
      </c>
      <c r="L99" s="68">
        <f>IFERROR(aurora_data!K1419,0)</f>
        <v>0</v>
      </c>
      <c r="M99" s="68">
        <f>IFERROR(aurora_data!L1419,0)</f>
        <v>0</v>
      </c>
      <c r="N99" s="69">
        <f>IFERROR(aurora_data!M1419,0)</f>
        <v>0</v>
      </c>
      <c r="O99" s="60">
        <f>IFERROR(aurora_data!N1419,0)</f>
        <v>0</v>
      </c>
      <c r="P99" s="68">
        <f>IFERROR(aurora_data!O1419,0)</f>
        <v>0</v>
      </c>
      <c r="Q99" s="68">
        <f>IFERROR(aurora_data!P1419,0)</f>
        <v>0</v>
      </c>
      <c r="R99" s="69">
        <f>IFERROR(aurora_data!Q1419,0)</f>
        <v>0</v>
      </c>
      <c r="S99" s="68">
        <f>IFERROR(aurora_data!R1419,0)</f>
        <v>0</v>
      </c>
      <c r="T99" s="68">
        <f>IFERROR(aurora_data!S1419,0)</f>
        <v>0</v>
      </c>
      <c r="U99" s="74">
        <f>IFERROR(aurora_data!T1419,0)</f>
        <v>0</v>
      </c>
      <c r="V99" s="75" t="s">
        <v>95</v>
      </c>
      <c r="W99" s="60">
        <f>IFERROR(aurora_data!U1419,0)</f>
        <v>0</v>
      </c>
      <c r="X99" s="73">
        <f t="shared" si="10"/>
        <v>0</v>
      </c>
      <c r="Y99" s="2"/>
    </row>
    <row r="100" spans="1:25" customFormat="1" ht="15.75" customHeight="1">
      <c r="A100" s="2"/>
      <c r="B100" s="206" t="s">
        <v>94</v>
      </c>
      <c r="C100" s="208" t="s">
        <v>55</v>
      </c>
      <c r="D100" s="34" t="s">
        <v>71</v>
      </c>
      <c r="E100" s="39">
        <f>IFERROR(aurora_data!D1420,0)</f>
        <v>0</v>
      </c>
      <c r="F100" s="40">
        <f>IFERROR(aurora_data!E1420,0)</f>
        <v>0</v>
      </c>
      <c r="G100" s="40">
        <f>IFERROR(aurora_data!F1420,0)</f>
        <v>0</v>
      </c>
      <c r="H100" s="40">
        <f>IFERROR(aurora_data!G1420,0)</f>
        <v>0</v>
      </c>
      <c r="I100" s="41">
        <f>IFERROR(aurora_data!H1420,0)</f>
        <v>0</v>
      </c>
      <c r="J100" s="39">
        <f>IFERROR(aurora_data!I1420,0)</f>
        <v>0</v>
      </c>
      <c r="K100" s="40">
        <f>IFERROR(aurora_data!J1420,0)</f>
        <v>0</v>
      </c>
      <c r="L100" s="40">
        <f>IFERROR(aurora_data!K1420,0)</f>
        <v>0</v>
      </c>
      <c r="M100" s="40">
        <f>IFERROR(aurora_data!L1420,0)</f>
        <v>0</v>
      </c>
      <c r="N100" s="41">
        <f>IFERROR(aurora_data!M1420,0)</f>
        <v>0</v>
      </c>
      <c r="O100" s="39">
        <f>IFERROR(aurora_data!N1420,0)</f>
        <v>0</v>
      </c>
      <c r="P100" s="40">
        <f>IFERROR(aurora_data!O1420,0)</f>
        <v>0</v>
      </c>
      <c r="Q100" s="40">
        <f>IFERROR(aurora_data!P1420,0)</f>
        <v>0</v>
      </c>
      <c r="R100" s="41">
        <f>IFERROR(aurora_data!Q1420,0)</f>
        <v>0</v>
      </c>
      <c r="S100" s="40">
        <f>IFERROR(aurora_data!R1420,0)</f>
        <v>0</v>
      </c>
      <c r="T100" s="40">
        <f>IFERROR(aurora_data!S1420,0)</f>
        <v>0</v>
      </c>
      <c r="U100" s="41">
        <f>IFERROR(aurora_data!T1420,0)</f>
        <v>0</v>
      </c>
      <c r="V100" s="61" t="s">
        <v>95</v>
      </c>
      <c r="W100" s="39">
        <f>IFERROR(aurora_data!U1420,0)</f>
        <v>108</v>
      </c>
      <c r="X100" s="70">
        <f>IFERROR(W100/$W$100,0)</f>
        <v>1</v>
      </c>
      <c r="Y100" s="2"/>
    </row>
    <row r="101" spans="1:25" customFormat="1" ht="15.75" customHeight="1">
      <c r="A101" s="2"/>
      <c r="B101" s="207"/>
      <c r="C101" s="209"/>
      <c r="D101" s="35" t="s">
        <v>96</v>
      </c>
      <c r="E101" s="36">
        <f>IFERROR(aurora_data!D1421,0)</f>
        <v>3</v>
      </c>
      <c r="F101" s="62">
        <f>IFERROR(aurora_data!E1421,0)</f>
        <v>4</v>
      </c>
      <c r="G101" s="62">
        <f>IFERROR(aurora_data!F1421,0)</f>
        <v>5</v>
      </c>
      <c r="H101" s="62">
        <f>IFERROR(aurora_data!G1421,0)</f>
        <v>1</v>
      </c>
      <c r="I101" s="63">
        <f>IFERROR(aurora_data!H1421,0)</f>
        <v>3</v>
      </c>
      <c r="J101" s="36">
        <f>IFERROR(aurora_data!I1421,0)</f>
        <v>1</v>
      </c>
      <c r="K101" s="62">
        <f>IFERROR(aurora_data!J1421,0)</f>
        <v>5</v>
      </c>
      <c r="L101" s="62">
        <f>IFERROR(aurora_data!K1421,0)</f>
        <v>0</v>
      </c>
      <c r="M101" s="62">
        <f>IFERROR(aurora_data!L1421,0)</f>
        <v>2</v>
      </c>
      <c r="N101" s="63">
        <f>IFERROR(aurora_data!M1421,0)</f>
        <v>8</v>
      </c>
      <c r="O101" s="36">
        <f>IFERROR(aurora_data!N1421,0)</f>
        <v>4</v>
      </c>
      <c r="P101" s="62">
        <f>IFERROR(aurora_data!O1421,0)</f>
        <v>2</v>
      </c>
      <c r="Q101" s="62">
        <f>IFERROR(aurora_data!P1421,0)</f>
        <v>8</v>
      </c>
      <c r="R101" s="63">
        <f>IFERROR(aurora_data!Q1421,0)</f>
        <v>2</v>
      </c>
      <c r="S101" s="62">
        <f>IFERROR(aurora_data!R1421,0)</f>
        <v>6</v>
      </c>
      <c r="T101" s="62">
        <f>IFERROR(aurora_data!S1421,0)</f>
        <v>10</v>
      </c>
      <c r="U101" s="63">
        <f>IFERROR(aurora_data!T1421,0)</f>
        <v>0</v>
      </c>
      <c r="V101" s="64" t="s">
        <v>95</v>
      </c>
      <c r="W101" s="36">
        <f>IFERROR(aurora_data!U1421,0)</f>
        <v>16</v>
      </c>
      <c r="X101" s="71">
        <f t="shared" ref="X101:X107" si="11">IFERROR(W101/$W$100,0)</f>
        <v>0.14814814814814814</v>
      </c>
      <c r="Y101" s="2"/>
    </row>
    <row r="102" spans="1:25" customFormat="1" ht="15.75" customHeight="1">
      <c r="A102" s="2"/>
      <c r="B102" s="207"/>
      <c r="C102" s="209"/>
      <c r="D102" s="35" t="s">
        <v>60</v>
      </c>
      <c r="E102" s="36">
        <f>IFERROR(aurora_data!D1422,0)</f>
        <v>0</v>
      </c>
      <c r="F102" s="62">
        <f>IFERROR(aurora_data!E1422,0)</f>
        <v>0</v>
      </c>
      <c r="G102" s="62">
        <f>IFERROR(aurora_data!F1422,0)</f>
        <v>0</v>
      </c>
      <c r="H102" s="62">
        <f>IFERROR(aurora_data!G1422,0)</f>
        <v>0</v>
      </c>
      <c r="I102" s="63">
        <f>IFERROR(aurora_data!H1422,0)</f>
        <v>0</v>
      </c>
      <c r="J102" s="36">
        <f>IFERROR(aurora_data!I1422,0)</f>
        <v>0</v>
      </c>
      <c r="K102" s="62">
        <f>IFERROR(aurora_data!J1422,0)</f>
        <v>0</v>
      </c>
      <c r="L102" s="62">
        <f>IFERROR(aurora_data!K1422,0)</f>
        <v>0</v>
      </c>
      <c r="M102" s="62">
        <f>IFERROR(aurora_data!L1422,0)</f>
        <v>0</v>
      </c>
      <c r="N102" s="63">
        <f>IFERROR(aurora_data!M1422,0)</f>
        <v>0</v>
      </c>
      <c r="O102" s="36">
        <f>IFERROR(aurora_data!N1422,0)</f>
        <v>0</v>
      </c>
      <c r="P102" s="62">
        <f>IFERROR(aurora_data!O1422,0)</f>
        <v>0</v>
      </c>
      <c r="Q102" s="62">
        <f>IFERROR(aurora_data!P1422,0)</f>
        <v>0</v>
      </c>
      <c r="R102" s="63">
        <f>IFERROR(aurora_data!Q1422,0)</f>
        <v>0</v>
      </c>
      <c r="S102" s="62">
        <f>IFERROR(aurora_data!R1422,0)</f>
        <v>0</v>
      </c>
      <c r="T102" s="62">
        <f>IFERROR(aurora_data!S1422,0)</f>
        <v>0</v>
      </c>
      <c r="U102" s="63">
        <f>IFERROR(aurora_data!T1422,0)</f>
        <v>0</v>
      </c>
      <c r="V102" s="64" t="s">
        <v>95</v>
      </c>
      <c r="W102" s="36">
        <f>IFERROR(aurora_data!U1422,0)</f>
        <v>0</v>
      </c>
      <c r="X102" s="71">
        <f t="shared" si="11"/>
        <v>0</v>
      </c>
      <c r="Y102" s="2"/>
    </row>
    <row r="103" spans="1:25" customFormat="1" ht="15.75" customHeight="1">
      <c r="A103" s="2"/>
      <c r="B103" s="207"/>
      <c r="C103" s="209"/>
      <c r="D103" s="35" t="s">
        <v>97</v>
      </c>
      <c r="E103" s="36">
        <f>IFERROR(aurora_data!D1423,0)</f>
        <v>0</v>
      </c>
      <c r="F103" s="62">
        <f>IFERROR(aurora_data!E1423,0)</f>
        <v>0</v>
      </c>
      <c r="G103" s="62">
        <f>IFERROR(aurora_data!F1423,0)</f>
        <v>0</v>
      </c>
      <c r="H103" s="62">
        <f>IFERROR(aurora_data!G1423,0)</f>
        <v>0</v>
      </c>
      <c r="I103" s="63">
        <f>IFERROR(aurora_data!H1423,0)</f>
        <v>0</v>
      </c>
      <c r="J103" s="36">
        <f>IFERROR(aurora_data!I1423,0)</f>
        <v>0</v>
      </c>
      <c r="K103" s="62">
        <f>IFERROR(aurora_data!J1423,0)</f>
        <v>0</v>
      </c>
      <c r="L103" s="62">
        <f>IFERROR(aurora_data!K1423,0)</f>
        <v>0</v>
      </c>
      <c r="M103" s="62">
        <f>IFERROR(aurora_data!L1423,0)</f>
        <v>0</v>
      </c>
      <c r="N103" s="63">
        <f>IFERROR(aurora_data!M1423,0)</f>
        <v>0</v>
      </c>
      <c r="O103" s="36">
        <f>IFERROR(aurora_data!N1423,0)</f>
        <v>0</v>
      </c>
      <c r="P103" s="62">
        <f>IFERROR(aurora_data!O1423,0)</f>
        <v>0</v>
      </c>
      <c r="Q103" s="62">
        <f>IFERROR(aurora_data!P1423,0)</f>
        <v>0</v>
      </c>
      <c r="R103" s="63">
        <f>IFERROR(aurora_data!Q1423,0)</f>
        <v>0</v>
      </c>
      <c r="S103" s="62">
        <f>IFERROR(aurora_data!R1423,0)</f>
        <v>0</v>
      </c>
      <c r="T103" s="62">
        <f>IFERROR(aurora_data!S1423,0)</f>
        <v>0</v>
      </c>
      <c r="U103" s="63">
        <f>IFERROR(aurora_data!T1423,0)</f>
        <v>0</v>
      </c>
      <c r="V103" s="64" t="s">
        <v>95</v>
      </c>
      <c r="W103" s="36">
        <f>IFERROR(aurora_data!U1423,0)</f>
        <v>0</v>
      </c>
      <c r="X103" s="71">
        <f t="shared" si="11"/>
        <v>0</v>
      </c>
      <c r="Y103" s="2"/>
    </row>
    <row r="104" spans="1:25" customFormat="1" ht="16.5" customHeight="1">
      <c r="A104" s="2"/>
      <c r="B104" s="207"/>
      <c r="C104" s="209"/>
      <c r="D104" s="35" t="s">
        <v>98</v>
      </c>
      <c r="E104" s="36">
        <f>IFERROR(aurora_data!D1424,0)</f>
        <v>0</v>
      </c>
      <c r="F104" s="62">
        <f>IFERROR(aurora_data!E1424,0)</f>
        <v>2</v>
      </c>
      <c r="G104" s="62">
        <f>IFERROR(aurora_data!F1424,0)</f>
        <v>0</v>
      </c>
      <c r="H104" s="62">
        <f>IFERROR(aurora_data!G1424,0)</f>
        <v>1</v>
      </c>
      <c r="I104" s="63">
        <f>IFERROR(aurora_data!H1424,0)</f>
        <v>0</v>
      </c>
      <c r="J104" s="36">
        <f>IFERROR(aurora_data!I1424,0)</f>
        <v>0</v>
      </c>
      <c r="K104" s="62">
        <f>IFERROR(aurora_data!J1424,0)</f>
        <v>0</v>
      </c>
      <c r="L104" s="62">
        <f>IFERROR(aurora_data!K1424,0)</f>
        <v>1</v>
      </c>
      <c r="M104" s="62">
        <f>IFERROR(aurora_data!L1424,0)</f>
        <v>0</v>
      </c>
      <c r="N104" s="63">
        <f>IFERROR(aurora_data!M1424,0)</f>
        <v>2</v>
      </c>
      <c r="O104" s="36">
        <f>IFERROR(aurora_data!N1424,0)</f>
        <v>1</v>
      </c>
      <c r="P104" s="62">
        <f>IFERROR(aurora_data!O1424,0)</f>
        <v>0</v>
      </c>
      <c r="Q104" s="62">
        <f>IFERROR(aurora_data!P1424,0)</f>
        <v>1</v>
      </c>
      <c r="R104" s="63">
        <f>IFERROR(aurora_data!Q1424,0)</f>
        <v>1</v>
      </c>
      <c r="S104" s="62">
        <f>IFERROR(aurora_data!R1424,0)</f>
        <v>2</v>
      </c>
      <c r="T104" s="62">
        <f>IFERROR(aurora_data!S1424,0)</f>
        <v>1</v>
      </c>
      <c r="U104" s="63">
        <f>IFERROR(aurora_data!T1424,0)</f>
        <v>0</v>
      </c>
      <c r="V104" s="64" t="s">
        <v>95</v>
      </c>
      <c r="W104" s="36">
        <f>IFERROR(aurora_data!U1424,0)</f>
        <v>3</v>
      </c>
      <c r="X104" s="71">
        <f t="shared" si="11"/>
        <v>2.7777777777777776E-2</v>
      </c>
      <c r="Y104" s="2"/>
    </row>
    <row r="105" spans="1:25" customFormat="1" ht="16.5" customHeight="1" thickBot="1">
      <c r="A105" s="2"/>
      <c r="B105" s="207"/>
      <c r="C105" s="209"/>
      <c r="D105" s="35" t="s">
        <v>99</v>
      </c>
      <c r="E105" s="36">
        <f>IFERROR(aurora_data!D1425,0)</f>
        <v>0</v>
      </c>
      <c r="F105" s="62">
        <f>IFERROR(aurora_data!E1425,0)</f>
        <v>0</v>
      </c>
      <c r="G105" s="62">
        <f>IFERROR(aurora_data!F1425,0)</f>
        <v>0</v>
      </c>
      <c r="H105" s="62">
        <f>IFERROR(aurora_data!G1425,0)</f>
        <v>0</v>
      </c>
      <c r="I105" s="63">
        <f>IFERROR(aurora_data!H1425,0)</f>
        <v>0</v>
      </c>
      <c r="J105" s="36">
        <f>IFERROR(aurora_data!I1425,0)</f>
        <v>0</v>
      </c>
      <c r="K105" s="62">
        <f>IFERROR(aurora_data!J1425,0)</f>
        <v>0</v>
      </c>
      <c r="L105" s="62">
        <f>IFERROR(aurora_data!K1425,0)</f>
        <v>0</v>
      </c>
      <c r="M105" s="62">
        <f>IFERROR(aurora_data!L1425,0)</f>
        <v>0</v>
      </c>
      <c r="N105" s="63">
        <f>IFERROR(aurora_data!M1425,0)</f>
        <v>0</v>
      </c>
      <c r="O105" s="36">
        <f>IFERROR(aurora_data!N1425,0)</f>
        <v>0</v>
      </c>
      <c r="P105" s="62">
        <f>IFERROR(aurora_data!O1425,0)</f>
        <v>0</v>
      </c>
      <c r="Q105" s="62">
        <f>IFERROR(aurora_data!P1425,0)</f>
        <v>0</v>
      </c>
      <c r="R105" s="63">
        <f>IFERROR(aurora_data!Q1425,0)</f>
        <v>0</v>
      </c>
      <c r="S105" s="62">
        <f>IFERROR(aurora_data!R1425,0)</f>
        <v>0</v>
      </c>
      <c r="T105" s="62">
        <f>IFERROR(aurora_data!S1425,0)</f>
        <v>0</v>
      </c>
      <c r="U105" s="63">
        <f>IFERROR(aurora_data!T1425,0)</f>
        <v>0</v>
      </c>
      <c r="V105" s="64" t="s">
        <v>95</v>
      </c>
      <c r="W105" s="36">
        <f>IFERROR(aurora_data!U1425,0)</f>
        <v>0</v>
      </c>
      <c r="X105" s="71">
        <f t="shared" si="11"/>
        <v>0</v>
      </c>
      <c r="Y105" s="2"/>
    </row>
    <row r="106" spans="1:25" customFormat="1" ht="16.5" customHeight="1" thickBot="1">
      <c r="A106" s="2"/>
      <c r="B106" s="207"/>
      <c r="C106" s="209"/>
      <c r="D106" s="37" t="s">
        <v>64</v>
      </c>
      <c r="E106" s="59">
        <f>IFERROR(aurora_data!D1426,0)</f>
        <v>3</v>
      </c>
      <c r="F106" s="65">
        <f>IFERROR(aurora_data!E1426,0)</f>
        <v>6</v>
      </c>
      <c r="G106" s="65">
        <f>IFERROR(aurora_data!F1426,0)</f>
        <v>5</v>
      </c>
      <c r="H106" s="65">
        <f>IFERROR(aurora_data!G1426,0)</f>
        <v>2</v>
      </c>
      <c r="I106" s="66">
        <f>IFERROR(aurora_data!H1426,0)</f>
        <v>3</v>
      </c>
      <c r="J106" s="59">
        <f>IFERROR(aurora_data!I1426,0)</f>
        <v>1</v>
      </c>
      <c r="K106" s="65">
        <f>IFERROR(aurora_data!J1426,0)</f>
        <v>5</v>
      </c>
      <c r="L106" s="65">
        <f>IFERROR(aurora_data!K1426,0)</f>
        <v>1</v>
      </c>
      <c r="M106" s="65">
        <f>IFERROR(aurora_data!L1426,0)</f>
        <v>2</v>
      </c>
      <c r="N106" s="66">
        <f>IFERROR(aurora_data!M1426,0)</f>
        <v>10</v>
      </c>
      <c r="O106" s="59">
        <f>IFERROR(aurora_data!N1426,0)</f>
        <v>5</v>
      </c>
      <c r="P106" s="65">
        <f>IFERROR(aurora_data!O1426,0)</f>
        <v>2</v>
      </c>
      <c r="Q106" s="65">
        <f>IFERROR(aurora_data!P1426,0)</f>
        <v>9</v>
      </c>
      <c r="R106" s="66">
        <f>IFERROR(aurora_data!Q1426,0)</f>
        <v>3</v>
      </c>
      <c r="S106" s="65">
        <f>IFERROR(aurora_data!R1426,0)</f>
        <v>8</v>
      </c>
      <c r="T106" s="65">
        <f>IFERROR(aurora_data!S1426,0)</f>
        <v>11</v>
      </c>
      <c r="U106" s="66">
        <f>IFERROR(aurora_data!T1426,0)</f>
        <v>0</v>
      </c>
      <c r="V106" s="67" t="s">
        <v>95</v>
      </c>
      <c r="W106" s="59">
        <f>IFERROR(aurora_data!U1426,0)</f>
        <v>19</v>
      </c>
      <c r="X106" s="72">
        <f t="shared" si="11"/>
        <v>0.17592592592592593</v>
      </c>
      <c r="Y106" s="2"/>
    </row>
    <row r="107" spans="1:25" customFormat="1" ht="16.5" customHeight="1" thickBot="1">
      <c r="A107" s="2"/>
      <c r="B107" s="207"/>
      <c r="C107" s="209"/>
      <c r="D107" s="38" t="s">
        <v>100</v>
      </c>
      <c r="E107" s="60">
        <f>IFERROR(aurora_data!D1427,0)</f>
        <v>0</v>
      </c>
      <c r="F107" s="68">
        <f>IFERROR(aurora_data!E1427,0)</f>
        <v>0</v>
      </c>
      <c r="G107" s="68">
        <f>IFERROR(aurora_data!F1427,0)</f>
        <v>0</v>
      </c>
      <c r="H107" s="68">
        <f>IFERROR(aurora_data!G1427,0)</f>
        <v>0</v>
      </c>
      <c r="I107" s="69">
        <f>IFERROR(aurora_data!H1427,0)</f>
        <v>0</v>
      </c>
      <c r="J107" s="60">
        <f>IFERROR(aurora_data!I1427,0)</f>
        <v>0</v>
      </c>
      <c r="K107" s="68">
        <f>IFERROR(aurora_data!J1427,0)</f>
        <v>0</v>
      </c>
      <c r="L107" s="68">
        <f>IFERROR(aurora_data!K1427,0)</f>
        <v>0</v>
      </c>
      <c r="M107" s="68">
        <f>IFERROR(aurora_data!L1427,0)</f>
        <v>0</v>
      </c>
      <c r="N107" s="69">
        <f>IFERROR(aurora_data!M1427,0)</f>
        <v>0</v>
      </c>
      <c r="O107" s="60">
        <f>IFERROR(aurora_data!N1427,0)</f>
        <v>0</v>
      </c>
      <c r="P107" s="68">
        <f>IFERROR(aurora_data!O1427,0)</f>
        <v>0</v>
      </c>
      <c r="Q107" s="68">
        <f>IFERROR(aurora_data!P1427,0)</f>
        <v>0</v>
      </c>
      <c r="R107" s="69">
        <f>IFERROR(aurora_data!Q1427,0)</f>
        <v>0</v>
      </c>
      <c r="S107" s="68">
        <f>IFERROR(aurora_data!R1427,0)</f>
        <v>0</v>
      </c>
      <c r="T107" s="68">
        <f>IFERROR(aurora_data!S1427,0)</f>
        <v>0</v>
      </c>
      <c r="U107" s="74">
        <f>IFERROR(aurora_data!T1427,0)</f>
        <v>0</v>
      </c>
      <c r="V107" s="75" t="s">
        <v>95</v>
      </c>
      <c r="W107" s="60">
        <f>IFERROR(aurora_data!U1427,0)</f>
        <v>0</v>
      </c>
      <c r="X107" s="73">
        <f t="shared" si="11"/>
        <v>0</v>
      </c>
      <c r="Y107" s="2"/>
    </row>
    <row r="108" spans="1:25" ht="16.5" customHeight="1">
      <c r="B108" s="97"/>
      <c r="C108" s="97"/>
    </row>
  </sheetData>
  <mergeCells count="46">
    <mergeCell ref="B68:B75"/>
    <mergeCell ref="C68:C75"/>
    <mergeCell ref="B100:B107"/>
    <mergeCell ref="C100:C107"/>
    <mergeCell ref="B76:B83"/>
    <mergeCell ref="C76:C83"/>
    <mergeCell ref="B84:B91"/>
    <mergeCell ref="C84:C91"/>
    <mergeCell ref="B92:B99"/>
    <mergeCell ref="C92:C99"/>
    <mergeCell ref="B44:B51"/>
    <mergeCell ref="C44:C51"/>
    <mergeCell ref="B52:B59"/>
    <mergeCell ref="C52:C59"/>
    <mergeCell ref="B60:B67"/>
    <mergeCell ref="C60:C67"/>
    <mergeCell ref="C12:C19"/>
    <mergeCell ref="B28:B35"/>
    <mergeCell ref="C28:C35"/>
    <mergeCell ref="B36:B43"/>
    <mergeCell ref="C36:C43"/>
    <mergeCell ref="B20:B27"/>
    <mergeCell ref="C20:C27"/>
    <mergeCell ref="B12:B19"/>
    <mergeCell ref="B8:D8"/>
    <mergeCell ref="E8:U8"/>
    <mergeCell ref="W8:X11"/>
    <mergeCell ref="B9:C9"/>
    <mergeCell ref="E9:I9"/>
    <mergeCell ref="J9:N9"/>
    <mergeCell ref="O9:R9"/>
    <mergeCell ref="S9:U9"/>
    <mergeCell ref="B10:B11"/>
    <mergeCell ref="E10:I10"/>
    <mergeCell ref="J10:N10"/>
    <mergeCell ref="O10:R10"/>
    <mergeCell ref="S10:U10"/>
    <mergeCell ref="A1:C1"/>
    <mergeCell ref="D1:H1"/>
    <mergeCell ref="A2:C2"/>
    <mergeCell ref="D2:H2"/>
    <mergeCell ref="K2:X6"/>
    <mergeCell ref="D3:E3"/>
    <mergeCell ref="F3:H3"/>
    <mergeCell ref="D5:G5"/>
    <mergeCell ref="D6:H6"/>
  </mergeCells>
  <conditionalFormatting sqref="E13:W13">
    <cfRule type="expression" dxfId="151" priority="22">
      <formula>ROUND(E$13,0) &gt;= ROUND(E$12,0)</formula>
    </cfRule>
  </conditionalFormatting>
  <conditionalFormatting sqref="E18:W18">
    <cfRule type="expression" dxfId="150" priority="23">
      <formula>ROUND(E$18,0) &lt; ROUND(E$12,0)</formula>
    </cfRule>
  </conditionalFormatting>
  <conditionalFormatting sqref="E21:W21">
    <cfRule type="expression" dxfId="149" priority="19">
      <formula>ROUND(E$13,0) &gt;= ROUND(E$12,0)</formula>
    </cfRule>
  </conditionalFormatting>
  <conditionalFormatting sqref="E26:W26">
    <cfRule type="expression" dxfId="148" priority="20">
      <formula>ROUND(E$18,0) &lt; ROUND(E$12,0)</formula>
    </cfRule>
  </conditionalFormatting>
  <conditionalFormatting sqref="E29:W29">
    <cfRule type="expression" dxfId="147" priority="17">
      <formula>ROUND(E$13,0) &gt;= ROUND(E$12,0)</formula>
    </cfRule>
  </conditionalFormatting>
  <conditionalFormatting sqref="E34:W34">
    <cfRule type="expression" dxfId="146" priority="18">
      <formula>ROUND(E$18,0) &lt; ROUND(E$12,0)</formula>
    </cfRule>
  </conditionalFormatting>
  <conditionalFormatting sqref="E37:W37">
    <cfRule type="expression" dxfId="145" priority="15">
      <formula>ROUND(E$13,0) &gt;= ROUND(E$12,0)</formula>
    </cfRule>
  </conditionalFormatting>
  <conditionalFormatting sqref="E42:W42">
    <cfRule type="expression" dxfId="144" priority="16">
      <formula>ROUND(E$18,0) &lt; ROUND(E$12,0)</formula>
    </cfRule>
  </conditionalFormatting>
  <conditionalFormatting sqref="E45:W45">
    <cfRule type="expression" dxfId="143" priority="13">
      <formula>ROUND(E$13,0) &gt;= ROUND(E$12,0)</formula>
    </cfRule>
  </conditionalFormatting>
  <conditionalFormatting sqref="E50:W50">
    <cfRule type="expression" dxfId="142" priority="14">
      <formula>ROUND(E$18,0) &lt; ROUND(E$12,0)</formula>
    </cfRule>
  </conditionalFormatting>
  <conditionalFormatting sqref="E53:W53">
    <cfRule type="expression" dxfId="141" priority="11">
      <formula>ROUND(E$13,0) &gt;= ROUND(E$12,0)</formula>
    </cfRule>
  </conditionalFormatting>
  <conditionalFormatting sqref="E58:W58">
    <cfRule type="expression" dxfId="140" priority="12">
      <formula>ROUND(E$18,0) &lt; ROUND(E$12,0)</formula>
    </cfRule>
  </conditionalFormatting>
  <conditionalFormatting sqref="E61:W61">
    <cfRule type="expression" dxfId="139" priority="9">
      <formula>ROUND(E$13,0) &gt;= ROUND(E$12,0)</formula>
    </cfRule>
  </conditionalFormatting>
  <conditionalFormatting sqref="E66:W66">
    <cfRule type="expression" dxfId="138" priority="10">
      <formula>ROUND(E$18,0) &lt; ROUND(E$12,0)</formula>
    </cfRule>
  </conditionalFormatting>
  <conditionalFormatting sqref="E69:W69">
    <cfRule type="expression" dxfId="137" priority="7">
      <formula>ROUND(E$13,0) &gt;= ROUND(E$12,0)</formula>
    </cfRule>
  </conditionalFormatting>
  <conditionalFormatting sqref="E74:W74">
    <cfRule type="expression" dxfId="136" priority="8">
      <formula>ROUND(E$18,0) &lt; ROUND(E$12,0)</formula>
    </cfRule>
  </conditionalFormatting>
  <conditionalFormatting sqref="E77:W77">
    <cfRule type="expression" dxfId="135" priority="5">
      <formula>ROUND(E$13,0) &gt;= ROUND(E$12,0)</formula>
    </cfRule>
  </conditionalFormatting>
  <conditionalFormatting sqref="E82:W82">
    <cfRule type="expression" dxfId="134" priority="6">
      <formula>ROUND(E$18,0) &lt; ROUND(E$12,0)</formula>
    </cfRule>
  </conditionalFormatting>
  <conditionalFormatting sqref="E85:W85">
    <cfRule type="expression" dxfId="133" priority="3">
      <formula>ROUND(E$13,0) &gt;= ROUND(E$12,0)</formula>
    </cfRule>
  </conditionalFormatting>
  <conditionalFormatting sqref="E90:W90">
    <cfRule type="expression" dxfId="132" priority="4">
      <formula>ROUND(E$18,0) &lt; ROUND(E$12,0)</formula>
    </cfRule>
  </conditionalFormatting>
  <conditionalFormatting sqref="E93:W93">
    <cfRule type="expression" dxfId="131" priority="1">
      <formula>ROUND(E$13,0) &gt;= ROUND(E$12,0)</formula>
    </cfRule>
  </conditionalFormatting>
  <conditionalFormatting sqref="E98:W98">
    <cfRule type="expression" dxfId="130" priority="2">
      <formula>ROUND(E$18,0) &lt; ROUND(E$12,0)</formula>
    </cfRule>
  </conditionalFormatting>
  <conditionalFormatting sqref="E101:W101">
    <cfRule type="expression" dxfId="129" priority="21">
      <formula>ROUND(E$101,0) &gt;= ROUND(E$100,0)</formula>
    </cfRule>
  </conditionalFormatting>
  <conditionalFormatting sqref="E106:W106">
    <cfRule type="expression" dxfId="128" priority="24">
      <formula>ROUND(E$106,0) &lt; ROUND(E$100,0)</formula>
    </cfRule>
  </conditionalFormatting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D10543-C91A-4074-BC68-9A69B85E126E}">
  <sheetPr>
    <tabColor theme="7" tint="-0.249977111117893"/>
  </sheetPr>
  <dimension ref="A1:Y108"/>
  <sheetViews>
    <sheetView tabSelected="1" zoomScale="85" zoomScaleNormal="85" workbookViewId="0">
      <selection sqref="A1:C1"/>
    </sheetView>
  </sheetViews>
  <sheetFormatPr defaultColWidth="2.625" defaultRowHeight="15.75"/>
  <cols>
    <col min="1" max="1" width="1.375" style="2" customWidth="1"/>
    <col min="2" max="2" width="10.875" style="2" customWidth="1"/>
    <col min="3" max="3" width="15.625" style="2" customWidth="1"/>
    <col min="4" max="4" width="22.625" style="4" customWidth="1"/>
    <col min="5" max="8" width="7.625" style="4" customWidth="1"/>
    <col min="9" max="9" width="6.625" style="4" hidden="1" customWidth="1"/>
    <col min="10" max="21" width="7.625" style="4" customWidth="1"/>
    <col min="22" max="22" width="0.625" style="2" customWidth="1"/>
    <col min="23" max="24" width="5.875" style="2" customWidth="1"/>
    <col min="25" max="25" width="12.5" style="2" customWidth="1"/>
    <col min="26" max="26" width="2.625" style="2" customWidth="1"/>
    <col min="27" max="64" width="7.625" style="2" customWidth="1"/>
    <col min="65" max="16323" width="2.625" style="2"/>
    <col min="16324" max="16324" width="1.375" style="2" customWidth="1"/>
    <col min="16325" max="16325" width="2.625" style="2" customWidth="1"/>
    <col min="16326" max="16326" width="3.5" style="2" customWidth="1"/>
    <col min="16327" max="16327" width="1" style="2" customWidth="1"/>
    <col min="16328" max="16328" width="0.875" style="2" customWidth="1"/>
    <col min="16329" max="16329" width="2.375" style="2" customWidth="1"/>
    <col min="16330" max="16384" width="20.375" style="2" customWidth="1"/>
  </cols>
  <sheetData>
    <row r="1" spans="1:25" customFormat="1" ht="25.5" customHeight="1">
      <c r="A1" s="151" t="s">
        <v>77</v>
      </c>
      <c r="B1" s="152"/>
      <c r="C1" s="153"/>
      <c r="D1" s="154" t="s">
        <v>78</v>
      </c>
      <c r="E1" s="155"/>
      <c r="F1" s="155"/>
      <c r="G1" s="155"/>
      <c r="H1" s="156"/>
      <c r="I1" s="98"/>
      <c r="J1" s="88"/>
      <c r="K1" s="100"/>
      <c r="L1" s="100"/>
      <c r="M1" s="100"/>
      <c r="N1" s="100" t="s">
        <v>79</v>
      </c>
      <c r="O1" s="100"/>
      <c r="P1" s="100"/>
      <c r="Q1" s="100"/>
      <c r="R1" s="100"/>
      <c r="S1" s="100"/>
      <c r="T1" s="100"/>
      <c r="U1" s="100"/>
      <c r="V1" s="100"/>
      <c r="W1" s="100"/>
      <c r="X1" s="106"/>
      <c r="Y1" s="108"/>
    </row>
    <row r="2" spans="1:25" customFormat="1" ht="31.5" customHeight="1">
      <c r="A2" s="157" t="s">
        <v>80</v>
      </c>
      <c r="B2" s="157"/>
      <c r="C2" s="158"/>
      <c r="D2" s="217" t="str">
        <f>_xlfn.CONCAT("Study Name: ","
OSEP – Specific Learning Disability - Digital")</f>
        <v>Study Name: 
OSEP – Specific Learning Disability - Digital</v>
      </c>
      <c r="E2" s="218"/>
      <c r="F2" s="218"/>
      <c r="G2" s="218"/>
      <c r="H2" s="219"/>
      <c r="I2" s="4"/>
      <c r="J2" s="4"/>
      <c r="K2" s="162" t="s">
        <v>81</v>
      </c>
      <c r="L2" s="163"/>
      <c r="M2" s="163"/>
      <c r="N2" s="163"/>
      <c r="O2" s="163"/>
      <c r="P2" s="163"/>
      <c r="Q2" s="163"/>
      <c r="R2" s="163"/>
      <c r="S2" s="163"/>
      <c r="T2" s="163"/>
      <c r="U2" s="163"/>
      <c r="V2" s="163"/>
      <c r="W2" s="163"/>
      <c r="X2" s="164"/>
      <c r="Y2" s="103"/>
    </row>
    <row r="3" spans="1:25" customFormat="1" ht="30.75" customHeight="1" thickBot="1">
      <c r="A3" s="2"/>
      <c r="B3" s="2"/>
      <c r="C3" s="2"/>
      <c r="D3" s="169" t="str">
        <f>_xlfn.CONCAT("Study Acronym: ","
OSEP_SLD_D")</f>
        <v>Study Acronym: 
OSEP_SLD_D</v>
      </c>
      <c r="E3" s="170"/>
      <c r="F3" s="171" t="s">
        <v>274</v>
      </c>
      <c r="G3" s="172"/>
      <c r="H3" s="173"/>
      <c r="I3" s="4"/>
      <c r="J3" s="4"/>
      <c r="K3" s="165"/>
      <c r="L3" s="163"/>
      <c r="M3" s="163"/>
      <c r="N3" s="163"/>
      <c r="O3" s="163"/>
      <c r="P3" s="163"/>
      <c r="Q3" s="163"/>
      <c r="R3" s="163"/>
      <c r="S3" s="163"/>
      <c r="T3" s="163"/>
      <c r="U3" s="163"/>
      <c r="V3" s="163"/>
      <c r="W3" s="163"/>
      <c r="X3" s="164"/>
      <c r="Y3" s="103"/>
    </row>
    <row r="4" spans="1:25" customFormat="1" ht="16.5" customHeight="1">
      <c r="A4" s="2"/>
      <c r="B4" s="24"/>
      <c r="C4" s="2"/>
      <c r="D4" s="2"/>
      <c r="E4" s="25"/>
      <c r="F4" s="25"/>
      <c r="G4" s="25"/>
      <c r="H4" s="25"/>
      <c r="I4" s="25"/>
      <c r="J4" s="25"/>
      <c r="K4" s="165"/>
      <c r="L4" s="163"/>
      <c r="M4" s="163"/>
      <c r="N4" s="163"/>
      <c r="O4" s="163"/>
      <c r="P4" s="163"/>
      <c r="Q4" s="163"/>
      <c r="R4" s="163"/>
      <c r="S4" s="163"/>
      <c r="T4" s="163"/>
      <c r="U4" s="163"/>
      <c r="V4" s="163"/>
      <c r="W4" s="163"/>
      <c r="X4" s="164"/>
      <c r="Y4" s="104"/>
    </row>
    <row r="5" spans="1:25" customFormat="1" ht="21.95" customHeight="1" thickBot="1">
      <c r="A5" s="2"/>
      <c r="B5" s="2"/>
      <c r="C5" s="102"/>
      <c r="D5" s="154" t="s">
        <v>82</v>
      </c>
      <c r="E5" s="155"/>
      <c r="F5" s="155"/>
      <c r="G5" s="155"/>
      <c r="H5" s="101"/>
      <c r="I5" s="98"/>
      <c r="J5" s="98"/>
      <c r="K5" s="165"/>
      <c r="L5" s="163"/>
      <c r="M5" s="163"/>
      <c r="N5" s="163"/>
      <c r="O5" s="163"/>
      <c r="P5" s="163"/>
      <c r="Q5" s="163"/>
      <c r="R5" s="163"/>
      <c r="S5" s="163"/>
      <c r="T5" s="163"/>
      <c r="U5" s="163"/>
      <c r="V5" s="163"/>
      <c r="W5" s="163"/>
      <c r="X5" s="164"/>
      <c r="Y5" s="105"/>
    </row>
    <row r="6" spans="1:25" customFormat="1" ht="60.95" customHeight="1" thickBot="1">
      <c r="A6" s="2"/>
      <c r="B6" s="2"/>
      <c r="C6" s="99"/>
      <c r="D6" s="214" t="s">
        <v>101</v>
      </c>
      <c r="E6" s="215"/>
      <c r="F6" s="215"/>
      <c r="G6" s="215"/>
      <c r="H6" s="216"/>
      <c r="I6" s="124"/>
      <c r="J6" s="125"/>
      <c r="K6" s="166"/>
      <c r="L6" s="167"/>
      <c r="M6" s="167"/>
      <c r="N6" s="167"/>
      <c r="O6" s="167"/>
      <c r="P6" s="167"/>
      <c r="Q6" s="167"/>
      <c r="R6" s="167"/>
      <c r="S6" s="167"/>
      <c r="T6" s="167"/>
      <c r="U6" s="167"/>
      <c r="V6" s="167"/>
      <c r="W6" s="167"/>
      <c r="X6" s="168"/>
      <c r="Y6" s="107"/>
    </row>
    <row r="7" spans="1:25" customFormat="1" ht="16.5" customHeight="1" thickBot="1">
      <c r="A7" s="2"/>
      <c r="B7" s="3"/>
      <c r="C7" s="26"/>
      <c r="D7" s="27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8"/>
      <c r="W7" s="3"/>
      <c r="X7" s="3"/>
      <c r="Y7" s="2"/>
    </row>
    <row r="8" spans="1:25" customFormat="1">
      <c r="A8" s="2"/>
      <c r="B8" s="177" t="str">
        <f>_xlfn.CONCAT("Last Refreshed at: ",aurora_data!V1432)</f>
        <v>Last Refreshed at: 09/17/2026 @ 7:20 AM</v>
      </c>
      <c r="C8" s="178"/>
      <c r="D8" s="178"/>
      <c r="E8" s="179" t="s">
        <v>83</v>
      </c>
      <c r="F8" s="180"/>
      <c r="G8" s="180"/>
      <c r="H8" s="180"/>
      <c r="I8" s="180"/>
      <c r="J8" s="180"/>
      <c r="K8" s="180"/>
      <c r="L8" s="180"/>
      <c r="M8" s="180"/>
      <c r="N8" s="180"/>
      <c r="O8" s="180"/>
      <c r="P8" s="180"/>
      <c r="Q8" s="180"/>
      <c r="R8" s="180"/>
      <c r="S8" s="180"/>
      <c r="T8" s="180"/>
      <c r="U8" s="181"/>
      <c r="V8" s="44"/>
      <c r="W8" s="182" t="s">
        <v>84</v>
      </c>
      <c r="X8" s="183"/>
      <c r="Y8" s="2"/>
    </row>
    <row r="9" spans="1:25" customFormat="1" ht="16.5" customHeight="1" thickBot="1">
      <c r="A9" s="2"/>
      <c r="B9" s="188"/>
      <c r="C9" s="189"/>
      <c r="D9" s="29" t="s">
        <v>85</v>
      </c>
      <c r="E9" s="190" t="s">
        <v>86</v>
      </c>
      <c r="F9" s="191"/>
      <c r="G9" s="191"/>
      <c r="H9" s="191"/>
      <c r="I9" s="191"/>
      <c r="J9" s="192" t="s">
        <v>86</v>
      </c>
      <c r="K9" s="193"/>
      <c r="L9" s="193"/>
      <c r="M9" s="193"/>
      <c r="N9" s="193"/>
      <c r="O9" s="194" t="s">
        <v>86</v>
      </c>
      <c r="P9" s="195"/>
      <c r="Q9" s="195"/>
      <c r="R9" s="195"/>
      <c r="S9" s="196" t="s">
        <v>86</v>
      </c>
      <c r="T9" s="197"/>
      <c r="U9" s="197"/>
      <c r="V9" s="28"/>
      <c r="W9" s="184"/>
      <c r="X9" s="185"/>
      <c r="Y9" s="2"/>
    </row>
    <row r="10" spans="1:25" customFormat="1" ht="17.25" thickTop="1" thickBot="1">
      <c r="A10" s="2"/>
      <c r="B10" s="198" t="s">
        <v>87</v>
      </c>
      <c r="C10" s="30"/>
      <c r="D10" s="31"/>
      <c r="E10" s="199" t="s">
        <v>88</v>
      </c>
      <c r="F10" s="200"/>
      <c r="G10" s="200"/>
      <c r="H10" s="200"/>
      <c r="I10" s="201"/>
      <c r="J10" s="200" t="s">
        <v>89</v>
      </c>
      <c r="K10" s="200"/>
      <c r="L10" s="200"/>
      <c r="M10" s="200"/>
      <c r="N10" s="201"/>
      <c r="O10" s="202" t="s">
        <v>90</v>
      </c>
      <c r="P10" s="202"/>
      <c r="Q10" s="202"/>
      <c r="R10" s="202"/>
      <c r="S10" s="203" t="s">
        <v>91</v>
      </c>
      <c r="T10" s="204"/>
      <c r="U10" s="205"/>
      <c r="V10" s="32"/>
      <c r="W10" s="184"/>
      <c r="X10" s="185"/>
      <c r="Y10" s="2"/>
    </row>
    <row r="11" spans="1:25" customFormat="1" ht="17.25" thickTop="1" thickBot="1">
      <c r="A11" s="2"/>
      <c r="B11" s="198"/>
      <c r="C11" s="30" t="s">
        <v>35</v>
      </c>
      <c r="D11" s="33" t="s">
        <v>37</v>
      </c>
      <c r="E11" s="96">
        <v>1</v>
      </c>
      <c r="F11" s="94">
        <v>2</v>
      </c>
      <c r="G11" s="95" t="s">
        <v>40</v>
      </c>
      <c r="H11" s="95">
        <v>4</v>
      </c>
      <c r="I11" s="95">
        <v>5</v>
      </c>
      <c r="J11" s="89" t="s">
        <v>43</v>
      </c>
      <c r="K11" s="89" t="s">
        <v>44</v>
      </c>
      <c r="L11" s="89" t="s">
        <v>45</v>
      </c>
      <c r="M11" s="93" t="s">
        <v>92</v>
      </c>
      <c r="N11" s="93" t="s">
        <v>47</v>
      </c>
      <c r="O11" s="89" t="s">
        <v>48</v>
      </c>
      <c r="P11" s="89" t="s">
        <v>49</v>
      </c>
      <c r="Q11" s="89" t="s">
        <v>50</v>
      </c>
      <c r="R11" s="89" t="s">
        <v>51</v>
      </c>
      <c r="S11" s="90" t="s">
        <v>52</v>
      </c>
      <c r="T11" s="91" t="s">
        <v>53</v>
      </c>
      <c r="U11" s="92" t="s">
        <v>93</v>
      </c>
      <c r="V11" s="28"/>
      <c r="W11" s="186"/>
      <c r="X11" s="187"/>
      <c r="Y11" s="2"/>
    </row>
    <row r="12" spans="1:25" customFormat="1">
      <c r="A12" s="2"/>
      <c r="B12" s="210" t="s">
        <v>94</v>
      </c>
      <c r="C12" s="212" t="str">
        <f>aurora_data!A1432</f>
        <v>06.00.00-06.11.30</v>
      </c>
      <c r="D12" s="34" t="s">
        <v>71</v>
      </c>
      <c r="E12" s="39">
        <f>IFERROR(aurora_data!D1432,0)</f>
        <v>0</v>
      </c>
      <c r="F12" s="40">
        <f>IFERROR(aurora_data!E1432,0)</f>
        <v>0</v>
      </c>
      <c r="G12" s="40">
        <f>IFERROR(aurora_data!F1432,0)</f>
        <v>0</v>
      </c>
      <c r="H12" s="40">
        <f>IFERROR(aurora_data!G1432,0)</f>
        <v>0</v>
      </c>
      <c r="I12" s="41">
        <f>IFERROR(aurora_data!H1432,0)</f>
        <v>0</v>
      </c>
      <c r="J12" s="39">
        <f>IFERROR(aurora_data!I1432,0)</f>
        <v>0</v>
      </c>
      <c r="K12" s="40">
        <f>IFERROR(aurora_data!J1432,0)</f>
        <v>0</v>
      </c>
      <c r="L12" s="40">
        <f>IFERROR(aurora_data!K1432,0)</f>
        <v>0</v>
      </c>
      <c r="M12" s="40">
        <f>IFERROR(aurora_data!L1432,0)</f>
        <v>0</v>
      </c>
      <c r="N12" s="41">
        <f>IFERROR(aurora_data!M1432,0)</f>
        <v>0</v>
      </c>
      <c r="O12" s="39">
        <f>IFERROR(aurora_data!N1432,0)</f>
        <v>0</v>
      </c>
      <c r="P12" s="40">
        <f>IFERROR(aurora_data!O1432,0)</f>
        <v>0</v>
      </c>
      <c r="Q12" s="40">
        <f>IFERROR(aurora_data!P1432,0)</f>
        <v>0</v>
      </c>
      <c r="R12" s="41">
        <f>IFERROR(aurora_data!Q1432,0)</f>
        <v>0</v>
      </c>
      <c r="S12" s="40">
        <f>IFERROR(aurora_data!R1432,0)</f>
        <v>0</v>
      </c>
      <c r="T12" s="40">
        <f>IFERROR(aurora_data!S1432,0)</f>
        <v>0</v>
      </c>
      <c r="U12" s="76">
        <f>IFERROR(aurora_data!T1432,0)</f>
        <v>0</v>
      </c>
      <c r="V12" s="61" t="s">
        <v>95</v>
      </c>
      <c r="W12" s="39">
        <f>IFERROR(aurora_data!U1432,0)</f>
        <v>2</v>
      </c>
      <c r="X12" s="70">
        <f>IFERROR(W12/$W$12,0)</f>
        <v>1</v>
      </c>
      <c r="Y12" s="2"/>
    </row>
    <row r="13" spans="1:25" customFormat="1">
      <c r="A13" s="2"/>
      <c r="B13" s="211"/>
      <c r="C13" s="213"/>
      <c r="D13" s="35" t="s">
        <v>96</v>
      </c>
      <c r="E13" s="110">
        <f>IFERROR(aurora_data!D1433,0)</f>
        <v>0</v>
      </c>
      <c r="F13" s="62">
        <f>IFERROR(aurora_data!E1433,0)</f>
        <v>0</v>
      </c>
      <c r="G13" s="62">
        <f>IFERROR(aurora_data!F1433,0)</f>
        <v>0</v>
      </c>
      <c r="H13" s="62">
        <f>IFERROR(aurora_data!G1433,0)</f>
        <v>0</v>
      </c>
      <c r="I13" s="63">
        <f>IFERROR(aurora_data!H1433,0)</f>
        <v>0</v>
      </c>
      <c r="J13" s="36">
        <f>IFERROR(aurora_data!I1433,0)</f>
        <v>0</v>
      </c>
      <c r="K13" s="62">
        <f>IFERROR(aurora_data!J1433,0)</f>
        <v>0</v>
      </c>
      <c r="L13" s="62">
        <f>IFERROR(aurora_data!K1433,0)</f>
        <v>0</v>
      </c>
      <c r="M13" s="62">
        <f>IFERROR(aurora_data!L1433,0)</f>
        <v>0</v>
      </c>
      <c r="N13" s="63">
        <f>IFERROR(aurora_data!M1433,0)</f>
        <v>0</v>
      </c>
      <c r="O13" s="36">
        <f>IFERROR(aurora_data!N1433,0)</f>
        <v>0</v>
      </c>
      <c r="P13" s="62">
        <f>IFERROR(aurora_data!O1433,0)</f>
        <v>0</v>
      </c>
      <c r="Q13" s="62">
        <f>IFERROR(aurora_data!P1433,0)</f>
        <v>0</v>
      </c>
      <c r="R13" s="63">
        <f>IFERROR(aurora_data!Q1433,0)</f>
        <v>0</v>
      </c>
      <c r="S13" s="62">
        <f>IFERROR(aurora_data!R1433,0)</f>
        <v>0</v>
      </c>
      <c r="T13" s="62">
        <f>IFERROR(aurora_data!S1433,0)</f>
        <v>0</v>
      </c>
      <c r="U13" s="63">
        <f>IFERROR(aurora_data!T1433,0)</f>
        <v>0</v>
      </c>
      <c r="V13" s="64" t="s">
        <v>95</v>
      </c>
      <c r="W13" s="36">
        <f>IFERROR(aurora_data!U1433,0)</f>
        <v>0</v>
      </c>
      <c r="X13" s="71">
        <f t="shared" ref="X13:X19" si="0">IFERROR(W13/$W$12,0)</f>
        <v>0</v>
      </c>
      <c r="Y13" s="2"/>
    </row>
    <row r="14" spans="1:25" customFormat="1">
      <c r="A14" s="2"/>
      <c r="B14" s="211"/>
      <c r="C14" s="213"/>
      <c r="D14" s="35" t="s">
        <v>60</v>
      </c>
      <c r="E14" s="110">
        <f>IFERROR(aurora_data!D1434,0)</f>
        <v>0</v>
      </c>
      <c r="F14" s="62">
        <f>IFERROR(aurora_data!E1434,0)</f>
        <v>0</v>
      </c>
      <c r="G14" s="62">
        <f>IFERROR(aurora_data!F1434,0)</f>
        <v>0</v>
      </c>
      <c r="H14" s="62">
        <f>IFERROR(aurora_data!G1434,0)</f>
        <v>0</v>
      </c>
      <c r="I14" s="63">
        <f>IFERROR(aurora_data!H1434,0)</f>
        <v>0</v>
      </c>
      <c r="J14" s="36">
        <f>IFERROR(aurora_data!I1434,0)</f>
        <v>0</v>
      </c>
      <c r="K14" s="62">
        <f>IFERROR(aurora_data!J1434,0)</f>
        <v>0</v>
      </c>
      <c r="L14" s="62">
        <f>IFERROR(aurora_data!K1434,0)</f>
        <v>0</v>
      </c>
      <c r="M14" s="62">
        <f>IFERROR(aurora_data!L1434,0)</f>
        <v>0</v>
      </c>
      <c r="N14" s="63">
        <f>IFERROR(aurora_data!M1434,0)</f>
        <v>0</v>
      </c>
      <c r="O14" s="36">
        <f>IFERROR(aurora_data!N1434,0)</f>
        <v>0</v>
      </c>
      <c r="P14" s="62">
        <f>IFERROR(aurora_data!O1434,0)</f>
        <v>0</v>
      </c>
      <c r="Q14" s="62">
        <f>IFERROR(aurora_data!P1434,0)</f>
        <v>0</v>
      </c>
      <c r="R14" s="63">
        <f>IFERROR(aurora_data!Q1434,0)</f>
        <v>0</v>
      </c>
      <c r="S14" s="62">
        <f>IFERROR(aurora_data!R1434,0)</f>
        <v>0</v>
      </c>
      <c r="T14" s="62">
        <f>IFERROR(aurora_data!S1434,0)</f>
        <v>0</v>
      </c>
      <c r="U14" s="63">
        <f>IFERROR(aurora_data!T1434,0)</f>
        <v>0</v>
      </c>
      <c r="V14" s="64" t="s">
        <v>95</v>
      </c>
      <c r="W14" s="36">
        <f>IFERROR(aurora_data!U1434,0)</f>
        <v>0</v>
      </c>
      <c r="X14" s="71">
        <f t="shared" si="0"/>
        <v>0</v>
      </c>
      <c r="Y14" s="2"/>
    </row>
    <row r="15" spans="1:25" customFormat="1">
      <c r="A15" s="2"/>
      <c r="B15" s="211"/>
      <c r="C15" s="213"/>
      <c r="D15" s="35" t="s">
        <v>97</v>
      </c>
      <c r="E15" s="36">
        <f>IFERROR(aurora_data!D1435,0)</f>
        <v>0</v>
      </c>
      <c r="F15" s="62">
        <f>IFERROR(aurora_data!E1435,0)</f>
        <v>0</v>
      </c>
      <c r="G15" s="62">
        <f>IFERROR(aurora_data!F1435,0)</f>
        <v>0</v>
      </c>
      <c r="H15" s="62">
        <f>IFERROR(aurora_data!G1435,0)</f>
        <v>0</v>
      </c>
      <c r="I15" s="63">
        <f>IFERROR(aurora_data!H1435,0)</f>
        <v>0</v>
      </c>
      <c r="J15" s="36">
        <f>IFERROR(aurora_data!I1435,0)</f>
        <v>0</v>
      </c>
      <c r="K15" s="62">
        <f>IFERROR(aurora_data!J1435,0)</f>
        <v>0</v>
      </c>
      <c r="L15" s="62">
        <f>IFERROR(aurora_data!K1435,0)</f>
        <v>0</v>
      </c>
      <c r="M15" s="62">
        <f>IFERROR(aurora_data!L1435,0)</f>
        <v>0</v>
      </c>
      <c r="N15" s="63">
        <f>IFERROR(aurora_data!M1435,0)</f>
        <v>0</v>
      </c>
      <c r="O15" s="36">
        <f>IFERROR(aurora_data!N1435,0)</f>
        <v>0</v>
      </c>
      <c r="P15" s="62">
        <f>IFERROR(aurora_data!O1435,0)</f>
        <v>0</v>
      </c>
      <c r="Q15" s="62">
        <f>IFERROR(aurora_data!P1435,0)</f>
        <v>0</v>
      </c>
      <c r="R15" s="63">
        <f>IFERROR(aurora_data!Q1435,0)</f>
        <v>0</v>
      </c>
      <c r="S15" s="62">
        <f>IFERROR(aurora_data!R1435,0)</f>
        <v>0</v>
      </c>
      <c r="T15" s="62">
        <f>IFERROR(aurora_data!S1435,0)</f>
        <v>0</v>
      </c>
      <c r="U15" s="63">
        <f>IFERROR(aurora_data!T1435,0)</f>
        <v>0</v>
      </c>
      <c r="V15" s="64" t="s">
        <v>95</v>
      </c>
      <c r="W15" s="36">
        <f>IFERROR(aurora_data!U1435,0)</f>
        <v>0</v>
      </c>
      <c r="X15" s="71">
        <f t="shared" si="0"/>
        <v>0</v>
      </c>
      <c r="Y15" s="2"/>
    </row>
    <row r="16" spans="1:25" customFormat="1">
      <c r="A16" s="2"/>
      <c r="B16" s="211"/>
      <c r="C16" s="213"/>
      <c r="D16" s="35" t="s">
        <v>98</v>
      </c>
      <c r="E16" s="36">
        <f>IFERROR(aurora_data!D1436,0)</f>
        <v>0</v>
      </c>
      <c r="F16" s="62">
        <f>IFERROR(aurora_data!E1436,0)</f>
        <v>0</v>
      </c>
      <c r="G16" s="62">
        <f>IFERROR(aurora_data!F1436,0)</f>
        <v>0</v>
      </c>
      <c r="H16" s="62">
        <f>IFERROR(aurora_data!G1436,0)</f>
        <v>0</v>
      </c>
      <c r="I16" s="63">
        <f>IFERROR(aurora_data!H1436,0)</f>
        <v>0</v>
      </c>
      <c r="J16" s="36">
        <f>IFERROR(aurora_data!I1436,0)</f>
        <v>0</v>
      </c>
      <c r="K16" s="62">
        <f>IFERROR(aurora_data!J1436,0)</f>
        <v>0</v>
      </c>
      <c r="L16" s="62">
        <f>IFERROR(aurora_data!K1436,0)</f>
        <v>0</v>
      </c>
      <c r="M16" s="62">
        <f>IFERROR(aurora_data!L1436,0)</f>
        <v>0</v>
      </c>
      <c r="N16" s="63">
        <f>IFERROR(aurora_data!M1436,0)</f>
        <v>0</v>
      </c>
      <c r="O16" s="36">
        <f>IFERROR(aurora_data!N1436,0)</f>
        <v>0</v>
      </c>
      <c r="P16" s="62">
        <f>IFERROR(aurora_data!O1436,0)</f>
        <v>0</v>
      </c>
      <c r="Q16" s="62">
        <f>IFERROR(aurora_data!P1436,0)</f>
        <v>0</v>
      </c>
      <c r="R16" s="63">
        <f>IFERROR(aurora_data!Q1436,0)</f>
        <v>0</v>
      </c>
      <c r="S16" s="62">
        <f>IFERROR(aurora_data!R1436,0)</f>
        <v>0</v>
      </c>
      <c r="T16" s="62">
        <f>IFERROR(aurora_data!S1436,0)</f>
        <v>0</v>
      </c>
      <c r="U16" s="63">
        <f>IFERROR(aurora_data!T1436,0)</f>
        <v>0</v>
      </c>
      <c r="V16" s="64" t="s">
        <v>95</v>
      </c>
      <c r="W16" s="36">
        <f>IFERROR(aurora_data!U1436,0)</f>
        <v>0</v>
      </c>
      <c r="X16" s="71">
        <f t="shared" si="0"/>
        <v>0</v>
      </c>
      <c r="Y16" s="2"/>
    </row>
    <row r="17" spans="1:25" customFormat="1" ht="16.5" thickBot="1">
      <c r="A17" s="2"/>
      <c r="B17" s="211"/>
      <c r="C17" s="213"/>
      <c r="D17" s="35" t="s">
        <v>99</v>
      </c>
      <c r="E17" s="36">
        <f>IFERROR(aurora_data!D1437,0)</f>
        <v>0</v>
      </c>
      <c r="F17" s="62">
        <f>IFERROR(aurora_data!E1437,0)</f>
        <v>0</v>
      </c>
      <c r="G17" s="62">
        <f>IFERROR(aurora_data!F1437,0)</f>
        <v>0</v>
      </c>
      <c r="H17" s="62">
        <f>IFERROR(aurora_data!G1437,0)</f>
        <v>0</v>
      </c>
      <c r="I17" s="63">
        <f>IFERROR(aurora_data!H1437,0)</f>
        <v>0</v>
      </c>
      <c r="J17" s="36">
        <f>IFERROR(aurora_data!I1437,0)</f>
        <v>0</v>
      </c>
      <c r="K17" s="62">
        <f>IFERROR(aurora_data!J1437,0)</f>
        <v>0</v>
      </c>
      <c r="L17" s="62">
        <f>IFERROR(aurora_data!K1437,0)</f>
        <v>0</v>
      </c>
      <c r="M17" s="62">
        <f>IFERROR(aurora_data!L1437,0)</f>
        <v>0</v>
      </c>
      <c r="N17" s="63">
        <f>IFERROR(aurora_data!M1437,0)</f>
        <v>0</v>
      </c>
      <c r="O17" s="36">
        <f>IFERROR(aurora_data!N1437,0)</f>
        <v>0</v>
      </c>
      <c r="P17" s="62">
        <f>IFERROR(aurora_data!O1437,0)</f>
        <v>0</v>
      </c>
      <c r="Q17" s="62">
        <f>IFERROR(aurora_data!P1437,0)</f>
        <v>0</v>
      </c>
      <c r="R17" s="63">
        <f>IFERROR(aurora_data!Q1437,0)</f>
        <v>0</v>
      </c>
      <c r="S17" s="62">
        <f>IFERROR(aurora_data!R1437,0)</f>
        <v>0</v>
      </c>
      <c r="T17" s="62">
        <f>IFERROR(aurora_data!S1437,0)</f>
        <v>0</v>
      </c>
      <c r="U17" s="63">
        <f>IFERROR(aurora_data!T1437,0)</f>
        <v>0</v>
      </c>
      <c r="V17" s="64" t="s">
        <v>95</v>
      </c>
      <c r="W17" s="36">
        <f>IFERROR(aurora_data!U1437,0)</f>
        <v>0</v>
      </c>
      <c r="X17" s="71">
        <f t="shared" si="0"/>
        <v>0</v>
      </c>
      <c r="Y17" s="2"/>
    </row>
    <row r="18" spans="1:25" customFormat="1" ht="16.5" thickBot="1">
      <c r="A18" s="2"/>
      <c r="B18" s="211"/>
      <c r="C18" s="213"/>
      <c r="D18" s="37" t="s">
        <v>64</v>
      </c>
      <c r="E18" s="59">
        <f>IFERROR(aurora_data!D1438,0)</f>
        <v>0</v>
      </c>
      <c r="F18" s="65">
        <f>IFERROR(aurora_data!E1438,0)</f>
        <v>0</v>
      </c>
      <c r="G18" s="65">
        <f>IFERROR(aurora_data!F1438,0)</f>
        <v>0</v>
      </c>
      <c r="H18" s="65">
        <f>IFERROR(aurora_data!G1438,0)</f>
        <v>0</v>
      </c>
      <c r="I18" s="66">
        <f>IFERROR(aurora_data!H1438,0)</f>
        <v>0</v>
      </c>
      <c r="J18" s="59">
        <f>IFERROR(aurora_data!I1438,0)</f>
        <v>0</v>
      </c>
      <c r="K18" s="65">
        <f>IFERROR(aurora_data!J1438,0)</f>
        <v>0</v>
      </c>
      <c r="L18" s="65">
        <f>IFERROR(aurora_data!K1438,0)</f>
        <v>0</v>
      </c>
      <c r="M18" s="65">
        <f>IFERROR(aurora_data!L1438,0)</f>
        <v>0</v>
      </c>
      <c r="N18" s="66">
        <f>IFERROR(aurora_data!M1438,0)</f>
        <v>0</v>
      </c>
      <c r="O18" s="59">
        <f>IFERROR(aurora_data!N1438,0)</f>
        <v>0</v>
      </c>
      <c r="P18" s="65">
        <f>IFERROR(aurora_data!O1438,0)</f>
        <v>0</v>
      </c>
      <c r="Q18" s="65">
        <f>IFERROR(aurora_data!P1438,0)</f>
        <v>0</v>
      </c>
      <c r="R18" s="66">
        <f>IFERROR(aurora_data!Q1438,0)</f>
        <v>0</v>
      </c>
      <c r="S18" s="65">
        <f>IFERROR(aurora_data!R1438,0)</f>
        <v>0</v>
      </c>
      <c r="T18" s="65">
        <f>IFERROR(aurora_data!S1438,0)</f>
        <v>0</v>
      </c>
      <c r="U18" s="66">
        <f>IFERROR(aurora_data!T1438,0)</f>
        <v>0</v>
      </c>
      <c r="V18" s="67" t="s">
        <v>95</v>
      </c>
      <c r="W18" s="59">
        <f>IFERROR(aurora_data!U1438,0)</f>
        <v>0</v>
      </c>
      <c r="X18" s="72">
        <f t="shared" si="0"/>
        <v>0</v>
      </c>
      <c r="Y18" s="2"/>
    </row>
    <row r="19" spans="1:25" customFormat="1" ht="16.5" thickBot="1">
      <c r="A19" s="2"/>
      <c r="B19" s="211"/>
      <c r="C19" s="213"/>
      <c r="D19" s="38" t="s">
        <v>100</v>
      </c>
      <c r="E19" s="60">
        <f>IFERROR(aurora_data!D1439,0)</f>
        <v>0</v>
      </c>
      <c r="F19" s="68">
        <f>IFERROR(aurora_data!E1439,0)</f>
        <v>0</v>
      </c>
      <c r="G19" s="68">
        <f>IFERROR(aurora_data!F1439,0)</f>
        <v>0</v>
      </c>
      <c r="H19" s="68">
        <f>IFERROR(aurora_data!G1439,0)</f>
        <v>0</v>
      </c>
      <c r="I19" s="69">
        <f>IFERROR(aurora_data!H1439,0)</f>
        <v>0</v>
      </c>
      <c r="J19" s="60">
        <f>IFERROR(aurora_data!I1439,0)</f>
        <v>0</v>
      </c>
      <c r="K19" s="68">
        <f>IFERROR(aurora_data!J1439,0)</f>
        <v>0</v>
      </c>
      <c r="L19" s="68">
        <f>IFERROR(aurora_data!K1439,0)</f>
        <v>0</v>
      </c>
      <c r="M19" s="68">
        <f>IFERROR(aurora_data!L1439,0)</f>
        <v>0</v>
      </c>
      <c r="N19" s="69">
        <f>IFERROR(aurora_data!M1439,0)</f>
        <v>0</v>
      </c>
      <c r="O19" s="60">
        <f>IFERROR(aurora_data!N1439,0)</f>
        <v>0</v>
      </c>
      <c r="P19" s="68">
        <f>IFERROR(aurora_data!O1439,0)</f>
        <v>0</v>
      </c>
      <c r="Q19" s="68">
        <f>IFERROR(aurora_data!P1439,0)</f>
        <v>0</v>
      </c>
      <c r="R19" s="69">
        <f>IFERROR(aurora_data!Q1439,0)</f>
        <v>0</v>
      </c>
      <c r="S19" s="68">
        <f>IFERROR(aurora_data!R1439,0)</f>
        <v>0</v>
      </c>
      <c r="T19" s="68">
        <f>IFERROR(aurora_data!S1439,0)</f>
        <v>0</v>
      </c>
      <c r="U19" s="74">
        <f>IFERROR(aurora_data!T1439,0)</f>
        <v>0</v>
      </c>
      <c r="V19" s="75" t="s">
        <v>95</v>
      </c>
      <c r="W19" s="60">
        <f>IFERROR(aurora_data!U1439,0)</f>
        <v>0</v>
      </c>
      <c r="X19" s="73">
        <f t="shared" si="0"/>
        <v>0</v>
      </c>
      <c r="Y19" s="2"/>
    </row>
    <row r="20" spans="1:25" customFormat="1">
      <c r="A20" s="2"/>
      <c r="B20" s="210" t="s">
        <v>94</v>
      </c>
      <c r="C20" s="212" t="str">
        <f>aurora_data!A1440</f>
        <v>07.00.00-07.11.30</v>
      </c>
      <c r="D20" s="34" t="s">
        <v>71</v>
      </c>
      <c r="E20" s="39">
        <f>IFERROR(aurora_data!D1440,0)</f>
        <v>0</v>
      </c>
      <c r="F20" s="40">
        <f>IFERROR(aurora_data!E1440,0)</f>
        <v>0</v>
      </c>
      <c r="G20" s="40">
        <f>IFERROR(aurora_data!F1440,0)</f>
        <v>0</v>
      </c>
      <c r="H20" s="40">
        <f>IFERROR(aurora_data!G1440,0)</f>
        <v>0</v>
      </c>
      <c r="I20" s="41">
        <f>IFERROR(aurora_data!H1440,0)</f>
        <v>0</v>
      </c>
      <c r="J20" s="39">
        <f>IFERROR(aurora_data!I1440,0)</f>
        <v>0</v>
      </c>
      <c r="K20" s="40">
        <f>IFERROR(aurora_data!J1440,0)</f>
        <v>0</v>
      </c>
      <c r="L20" s="40">
        <f>IFERROR(aurora_data!K1440,0)</f>
        <v>0</v>
      </c>
      <c r="M20" s="40">
        <f>IFERROR(aurora_data!L1440,0)</f>
        <v>0</v>
      </c>
      <c r="N20" s="41">
        <f>IFERROR(aurora_data!M1440,0)</f>
        <v>0</v>
      </c>
      <c r="O20" s="39">
        <f>IFERROR(aurora_data!N1440,0)</f>
        <v>0</v>
      </c>
      <c r="P20" s="40">
        <f>IFERROR(aurora_data!O1440,0)</f>
        <v>0</v>
      </c>
      <c r="Q20" s="40">
        <f>IFERROR(aurora_data!P1440,0)</f>
        <v>0</v>
      </c>
      <c r="R20" s="41">
        <f>IFERROR(aurora_data!Q1440,0)</f>
        <v>0</v>
      </c>
      <c r="S20" s="40">
        <f>IFERROR(aurora_data!R1440,0)</f>
        <v>0</v>
      </c>
      <c r="T20" s="40">
        <f>IFERROR(aurora_data!S1440,0)</f>
        <v>0</v>
      </c>
      <c r="U20" s="76">
        <f>IFERROR(aurora_data!T1440,0)</f>
        <v>0</v>
      </c>
      <c r="V20" s="61" t="s">
        <v>95</v>
      </c>
      <c r="W20" s="39">
        <f>IFERROR(aurora_data!U1440,0)</f>
        <v>2</v>
      </c>
      <c r="X20" s="70">
        <f>IFERROR(W20/$W$12,0)</f>
        <v>1</v>
      </c>
      <c r="Y20" s="2"/>
    </row>
    <row r="21" spans="1:25" customFormat="1">
      <c r="A21" s="2"/>
      <c r="B21" s="211"/>
      <c r="C21" s="213"/>
      <c r="D21" s="35" t="s">
        <v>96</v>
      </c>
      <c r="E21" s="110">
        <f>IFERROR(aurora_data!D1441,0)</f>
        <v>0</v>
      </c>
      <c r="F21" s="62">
        <f>IFERROR(aurora_data!E1441,0)</f>
        <v>0</v>
      </c>
      <c r="G21" s="62">
        <f>IFERROR(aurora_data!F1441,0)</f>
        <v>0</v>
      </c>
      <c r="H21" s="62">
        <f>IFERROR(aurora_data!G1441,0)</f>
        <v>0</v>
      </c>
      <c r="I21" s="63">
        <f>IFERROR(aurora_data!H1441,0)</f>
        <v>0</v>
      </c>
      <c r="J21" s="36">
        <f>IFERROR(aurora_data!I1441,0)</f>
        <v>0</v>
      </c>
      <c r="K21" s="62">
        <f>IFERROR(aurora_data!J1441,0)</f>
        <v>0</v>
      </c>
      <c r="L21" s="62">
        <f>IFERROR(aurora_data!K1441,0)</f>
        <v>0</v>
      </c>
      <c r="M21" s="62">
        <f>IFERROR(aurora_data!L1441,0)</f>
        <v>0</v>
      </c>
      <c r="N21" s="63">
        <f>IFERROR(aurora_data!M1441,0)</f>
        <v>0</v>
      </c>
      <c r="O21" s="36">
        <f>IFERROR(aurora_data!N1441,0)</f>
        <v>0</v>
      </c>
      <c r="P21" s="62">
        <f>IFERROR(aurora_data!O1441,0)</f>
        <v>0</v>
      </c>
      <c r="Q21" s="62">
        <f>IFERROR(aurora_data!P1441,0)</f>
        <v>0</v>
      </c>
      <c r="R21" s="63">
        <f>IFERROR(aurora_data!Q1441,0)</f>
        <v>0</v>
      </c>
      <c r="S21" s="62">
        <f>IFERROR(aurora_data!R1441,0)</f>
        <v>0</v>
      </c>
      <c r="T21" s="62">
        <f>IFERROR(aurora_data!S1441,0)</f>
        <v>0</v>
      </c>
      <c r="U21" s="63">
        <f>IFERROR(aurora_data!T1441,0)</f>
        <v>0</v>
      </c>
      <c r="V21" s="64" t="s">
        <v>95</v>
      </c>
      <c r="W21" s="36">
        <f>IFERROR(aurora_data!U1441,0)</f>
        <v>0</v>
      </c>
      <c r="X21" s="71">
        <f t="shared" ref="X21:X27" si="1">IFERROR(W21/$W$12,0)</f>
        <v>0</v>
      </c>
      <c r="Y21" s="2"/>
    </row>
    <row r="22" spans="1:25" customFormat="1">
      <c r="A22" s="2"/>
      <c r="B22" s="211"/>
      <c r="C22" s="213"/>
      <c r="D22" s="35" t="s">
        <v>60</v>
      </c>
      <c r="E22" s="110">
        <f>IFERROR(aurora_data!D1442,0)</f>
        <v>0</v>
      </c>
      <c r="F22" s="62">
        <f>IFERROR(aurora_data!E1442,0)</f>
        <v>0</v>
      </c>
      <c r="G22" s="62">
        <f>IFERROR(aurora_data!F1442,0)</f>
        <v>0</v>
      </c>
      <c r="H22" s="62">
        <f>IFERROR(aurora_data!G1442,0)</f>
        <v>0</v>
      </c>
      <c r="I22" s="63">
        <f>IFERROR(aurora_data!H1442,0)</f>
        <v>0</v>
      </c>
      <c r="J22" s="36">
        <f>IFERROR(aurora_data!I1442,0)</f>
        <v>0</v>
      </c>
      <c r="K22" s="62">
        <f>IFERROR(aurora_data!J1442,0)</f>
        <v>0</v>
      </c>
      <c r="L22" s="62">
        <f>IFERROR(aurora_data!K1442,0)</f>
        <v>0</v>
      </c>
      <c r="M22" s="62">
        <f>IFERROR(aurora_data!L1442,0)</f>
        <v>0</v>
      </c>
      <c r="N22" s="63">
        <f>IFERROR(aurora_data!M1442,0)</f>
        <v>0</v>
      </c>
      <c r="O22" s="36">
        <f>IFERROR(aurora_data!N1442,0)</f>
        <v>0</v>
      </c>
      <c r="P22" s="62">
        <f>IFERROR(aurora_data!O1442,0)</f>
        <v>0</v>
      </c>
      <c r="Q22" s="62">
        <f>IFERROR(aurora_data!P1442,0)</f>
        <v>0</v>
      </c>
      <c r="R22" s="63">
        <f>IFERROR(aurora_data!Q1442,0)</f>
        <v>0</v>
      </c>
      <c r="S22" s="62">
        <f>IFERROR(aurora_data!R1442,0)</f>
        <v>0</v>
      </c>
      <c r="T22" s="62">
        <f>IFERROR(aurora_data!S1442,0)</f>
        <v>0</v>
      </c>
      <c r="U22" s="63">
        <f>IFERROR(aurora_data!T1442,0)</f>
        <v>0</v>
      </c>
      <c r="V22" s="64" t="s">
        <v>95</v>
      </c>
      <c r="W22" s="36">
        <f>IFERROR(aurora_data!U1442,0)</f>
        <v>0</v>
      </c>
      <c r="X22" s="71">
        <f t="shared" si="1"/>
        <v>0</v>
      </c>
      <c r="Y22" s="2"/>
    </row>
    <row r="23" spans="1:25" customFormat="1">
      <c r="A23" s="2"/>
      <c r="B23" s="211"/>
      <c r="C23" s="213"/>
      <c r="D23" s="35" t="s">
        <v>97</v>
      </c>
      <c r="E23" s="36">
        <f>IFERROR(aurora_data!D1443,0)</f>
        <v>0</v>
      </c>
      <c r="F23" s="62">
        <f>IFERROR(aurora_data!E1443,0)</f>
        <v>0</v>
      </c>
      <c r="G23" s="62">
        <f>IFERROR(aurora_data!F1443,0)</f>
        <v>0</v>
      </c>
      <c r="H23" s="62">
        <f>IFERROR(aurora_data!G1443,0)</f>
        <v>0</v>
      </c>
      <c r="I23" s="63">
        <f>IFERROR(aurora_data!H1443,0)</f>
        <v>0</v>
      </c>
      <c r="J23" s="36">
        <f>IFERROR(aurora_data!I1443,0)</f>
        <v>0</v>
      </c>
      <c r="K23" s="62">
        <f>IFERROR(aurora_data!J1443,0)</f>
        <v>0</v>
      </c>
      <c r="L23" s="62">
        <f>IFERROR(aurora_data!K1443,0)</f>
        <v>0</v>
      </c>
      <c r="M23" s="62">
        <f>IFERROR(aurora_data!L1443,0)</f>
        <v>0</v>
      </c>
      <c r="N23" s="63">
        <f>IFERROR(aurora_data!M1443,0)</f>
        <v>0</v>
      </c>
      <c r="O23" s="36">
        <f>IFERROR(aurora_data!N1443,0)</f>
        <v>0</v>
      </c>
      <c r="P23" s="62">
        <f>IFERROR(aurora_data!O1443,0)</f>
        <v>0</v>
      </c>
      <c r="Q23" s="62">
        <f>IFERROR(aurora_data!P1443,0)</f>
        <v>0</v>
      </c>
      <c r="R23" s="63">
        <f>IFERROR(aurora_data!Q1443,0)</f>
        <v>0</v>
      </c>
      <c r="S23" s="62">
        <f>IFERROR(aurora_data!R1443,0)</f>
        <v>0</v>
      </c>
      <c r="T23" s="62">
        <f>IFERROR(aurora_data!S1443,0)</f>
        <v>0</v>
      </c>
      <c r="U23" s="63">
        <f>IFERROR(aurora_data!T1443,0)</f>
        <v>0</v>
      </c>
      <c r="V23" s="64" t="s">
        <v>95</v>
      </c>
      <c r="W23" s="36">
        <f>IFERROR(aurora_data!U1443,0)</f>
        <v>0</v>
      </c>
      <c r="X23" s="71">
        <f t="shared" si="1"/>
        <v>0</v>
      </c>
      <c r="Y23" s="2"/>
    </row>
    <row r="24" spans="1:25" customFormat="1">
      <c r="A24" s="2"/>
      <c r="B24" s="211"/>
      <c r="C24" s="213"/>
      <c r="D24" s="35" t="s">
        <v>98</v>
      </c>
      <c r="E24" s="36">
        <f>IFERROR(aurora_data!D1444,0)</f>
        <v>0</v>
      </c>
      <c r="F24" s="62">
        <f>IFERROR(aurora_data!E1444,0)</f>
        <v>0</v>
      </c>
      <c r="G24" s="62">
        <f>IFERROR(aurora_data!F1444,0)</f>
        <v>0</v>
      </c>
      <c r="H24" s="62">
        <f>IFERROR(aurora_data!G1444,0)</f>
        <v>0</v>
      </c>
      <c r="I24" s="63">
        <f>IFERROR(aurora_data!H1444,0)</f>
        <v>0</v>
      </c>
      <c r="J24" s="36">
        <f>IFERROR(aurora_data!I1444,0)</f>
        <v>0</v>
      </c>
      <c r="K24" s="62">
        <f>IFERROR(aurora_data!J1444,0)</f>
        <v>0</v>
      </c>
      <c r="L24" s="62">
        <f>IFERROR(aurora_data!K1444,0)</f>
        <v>0</v>
      </c>
      <c r="M24" s="62">
        <f>IFERROR(aurora_data!L1444,0)</f>
        <v>0</v>
      </c>
      <c r="N24" s="63">
        <f>IFERROR(aurora_data!M1444,0)</f>
        <v>0</v>
      </c>
      <c r="O24" s="36">
        <f>IFERROR(aurora_data!N1444,0)</f>
        <v>0</v>
      </c>
      <c r="P24" s="62">
        <f>IFERROR(aurora_data!O1444,0)</f>
        <v>0</v>
      </c>
      <c r="Q24" s="62">
        <f>IFERROR(aurora_data!P1444,0)</f>
        <v>0</v>
      </c>
      <c r="R24" s="63">
        <f>IFERROR(aurora_data!Q1444,0)</f>
        <v>0</v>
      </c>
      <c r="S24" s="62">
        <f>IFERROR(aurora_data!R1444,0)</f>
        <v>0</v>
      </c>
      <c r="T24" s="62">
        <f>IFERROR(aurora_data!S1444,0)</f>
        <v>0</v>
      </c>
      <c r="U24" s="63">
        <f>IFERROR(aurora_data!T1444,0)</f>
        <v>0</v>
      </c>
      <c r="V24" s="64" t="s">
        <v>95</v>
      </c>
      <c r="W24" s="36">
        <f>IFERROR(aurora_data!U1444,0)</f>
        <v>0</v>
      </c>
      <c r="X24" s="71">
        <f t="shared" si="1"/>
        <v>0</v>
      </c>
      <c r="Y24" s="2"/>
    </row>
    <row r="25" spans="1:25" customFormat="1" ht="16.5" thickBot="1">
      <c r="A25" s="2"/>
      <c r="B25" s="211"/>
      <c r="C25" s="213"/>
      <c r="D25" s="35" t="s">
        <v>99</v>
      </c>
      <c r="E25" s="36">
        <f>IFERROR(aurora_data!D1445,0)</f>
        <v>0</v>
      </c>
      <c r="F25" s="62">
        <f>IFERROR(aurora_data!E1445,0)</f>
        <v>0</v>
      </c>
      <c r="G25" s="62">
        <f>IFERROR(aurora_data!F1445,0)</f>
        <v>0</v>
      </c>
      <c r="H25" s="62">
        <f>IFERROR(aurora_data!G1445,0)</f>
        <v>0</v>
      </c>
      <c r="I25" s="63">
        <f>IFERROR(aurora_data!H1445,0)</f>
        <v>0</v>
      </c>
      <c r="J25" s="36">
        <f>IFERROR(aurora_data!I1445,0)</f>
        <v>0</v>
      </c>
      <c r="K25" s="62">
        <f>IFERROR(aurora_data!J1445,0)</f>
        <v>0</v>
      </c>
      <c r="L25" s="62">
        <f>IFERROR(aurora_data!K1445,0)</f>
        <v>0</v>
      </c>
      <c r="M25" s="62">
        <f>IFERROR(aurora_data!L1445,0)</f>
        <v>0</v>
      </c>
      <c r="N25" s="63">
        <f>IFERROR(aurora_data!M1445,0)</f>
        <v>0</v>
      </c>
      <c r="O25" s="36">
        <f>IFERROR(aurora_data!N1445,0)</f>
        <v>0</v>
      </c>
      <c r="P25" s="62">
        <f>IFERROR(aurora_data!O1445,0)</f>
        <v>0</v>
      </c>
      <c r="Q25" s="62">
        <f>IFERROR(aurora_data!P1445,0)</f>
        <v>0</v>
      </c>
      <c r="R25" s="63">
        <f>IFERROR(aurora_data!Q1445,0)</f>
        <v>0</v>
      </c>
      <c r="S25" s="62">
        <f>IFERROR(aurora_data!R1445,0)</f>
        <v>0</v>
      </c>
      <c r="T25" s="62">
        <f>IFERROR(aurora_data!S1445,0)</f>
        <v>0</v>
      </c>
      <c r="U25" s="63">
        <f>IFERROR(aurora_data!T1445,0)</f>
        <v>0</v>
      </c>
      <c r="V25" s="64" t="s">
        <v>95</v>
      </c>
      <c r="W25" s="36">
        <f>IFERROR(aurora_data!U1445,0)</f>
        <v>0</v>
      </c>
      <c r="X25" s="71">
        <f t="shared" si="1"/>
        <v>0</v>
      </c>
      <c r="Y25" s="2"/>
    </row>
    <row r="26" spans="1:25" customFormat="1" ht="16.5" thickBot="1">
      <c r="A26" s="2"/>
      <c r="B26" s="211"/>
      <c r="C26" s="213"/>
      <c r="D26" s="37" t="s">
        <v>64</v>
      </c>
      <c r="E26" s="59">
        <f>IFERROR(aurora_data!D1446,0)</f>
        <v>0</v>
      </c>
      <c r="F26" s="65">
        <f>IFERROR(aurora_data!E1446,0)</f>
        <v>0</v>
      </c>
      <c r="G26" s="65">
        <f>IFERROR(aurora_data!F1446,0)</f>
        <v>0</v>
      </c>
      <c r="H26" s="65">
        <f>IFERROR(aurora_data!G1446,0)</f>
        <v>0</v>
      </c>
      <c r="I26" s="66">
        <f>IFERROR(aurora_data!H1446,0)</f>
        <v>0</v>
      </c>
      <c r="J26" s="59">
        <f>IFERROR(aurora_data!I1446,0)</f>
        <v>0</v>
      </c>
      <c r="K26" s="65">
        <f>IFERROR(aurora_data!J1446,0)</f>
        <v>0</v>
      </c>
      <c r="L26" s="65">
        <f>IFERROR(aurora_data!K1446,0)</f>
        <v>0</v>
      </c>
      <c r="M26" s="65">
        <f>IFERROR(aurora_data!L1446,0)</f>
        <v>0</v>
      </c>
      <c r="N26" s="66">
        <f>IFERROR(aurora_data!M1446,0)</f>
        <v>0</v>
      </c>
      <c r="O26" s="59">
        <f>IFERROR(aurora_data!N1446,0)</f>
        <v>0</v>
      </c>
      <c r="P26" s="65">
        <f>IFERROR(aurora_data!O1446,0)</f>
        <v>0</v>
      </c>
      <c r="Q26" s="65">
        <f>IFERROR(aurora_data!P1446,0)</f>
        <v>0</v>
      </c>
      <c r="R26" s="66">
        <f>IFERROR(aurora_data!Q1446,0)</f>
        <v>0</v>
      </c>
      <c r="S26" s="65">
        <f>IFERROR(aurora_data!R1446,0)</f>
        <v>0</v>
      </c>
      <c r="T26" s="65">
        <f>IFERROR(aurora_data!S1446,0)</f>
        <v>0</v>
      </c>
      <c r="U26" s="66">
        <f>IFERROR(aurora_data!T1446,0)</f>
        <v>0</v>
      </c>
      <c r="V26" s="67" t="s">
        <v>95</v>
      </c>
      <c r="W26" s="59">
        <f>IFERROR(aurora_data!U1446,0)</f>
        <v>0</v>
      </c>
      <c r="X26" s="72">
        <f t="shared" si="1"/>
        <v>0</v>
      </c>
      <c r="Y26" s="2"/>
    </row>
    <row r="27" spans="1:25" customFormat="1" ht="16.5" thickBot="1">
      <c r="A27" s="2"/>
      <c r="B27" s="211"/>
      <c r="C27" s="213"/>
      <c r="D27" s="38" t="s">
        <v>100</v>
      </c>
      <c r="E27" s="60">
        <f>IFERROR(aurora_data!D1447,0)</f>
        <v>0</v>
      </c>
      <c r="F27" s="68">
        <f>IFERROR(aurora_data!E1447,0)</f>
        <v>0</v>
      </c>
      <c r="G27" s="68">
        <f>IFERROR(aurora_data!F1447,0)</f>
        <v>0</v>
      </c>
      <c r="H27" s="68">
        <f>IFERROR(aurora_data!G1447,0)</f>
        <v>0</v>
      </c>
      <c r="I27" s="69">
        <f>IFERROR(aurora_data!H1447,0)</f>
        <v>0</v>
      </c>
      <c r="J27" s="60">
        <f>IFERROR(aurora_data!I1447,0)</f>
        <v>0</v>
      </c>
      <c r="K27" s="68">
        <f>IFERROR(aurora_data!J1447,0)</f>
        <v>0</v>
      </c>
      <c r="L27" s="68">
        <f>IFERROR(aurora_data!K1447,0)</f>
        <v>0</v>
      </c>
      <c r="M27" s="68">
        <f>IFERROR(aurora_data!L1447,0)</f>
        <v>0</v>
      </c>
      <c r="N27" s="69">
        <f>IFERROR(aurora_data!M1447,0)</f>
        <v>0</v>
      </c>
      <c r="O27" s="60">
        <f>IFERROR(aurora_data!N1447,0)</f>
        <v>0</v>
      </c>
      <c r="P27" s="68">
        <f>IFERROR(aurora_data!O1447,0)</f>
        <v>0</v>
      </c>
      <c r="Q27" s="68">
        <f>IFERROR(aurora_data!P1447,0)</f>
        <v>0</v>
      </c>
      <c r="R27" s="69">
        <f>IFERROR(aurora_data!Q1447,0)</f>
        <v>0</v>
      </c>
      <c r="S27" s="68">
        <f>IFERROR(aurora_data!R1447,0)</f>
        <v>0</v>
      </c>
      <c r="T27" s="68">
        <f>IFERROR(aurora_data!S1447,0)</f>
        <v>0</v>
      </c>
      <c r="U27" s="74">
        <f>IFERROR(aurora_data!T1447,0)</f>
        <v>0</v>
      </c>
      <c r="V27" s="75" t="s">
        <v>95</v>
      </c>
      <c r="W27" s="60">
        <f>IFERROR(aurora_data!U1447,0)</f>
        <v>0</v>
      </c>
      <c r="X27" s="73">
        <f t="shared" si="1"/>
        <v>0</v>
      </c>
      <c r="Y27" s="2"/>
    </row>
    <row r="28" spans="1:25" customFormat="1">
      <c r="A28" s="2"/>
      <c r="B28" s="210" t="s">
        <v>94</v>
      </c>
      <c r="C28" s="212" t="str">
        <f>aurora_data!A1448</f>
        <v>08.00.00-08.11.30</v>
      </c>
      <c r="D28" s="34" t="s">
        <v>71</v>
      </c>
      <c r="E28" s="39">
        <f>IFERROR(aurora_data!D1448,0)</f>
        <v>0</v>
      </c>
      <c r="F28" s="40">
        <f>IFERROR(aurora_data!E1448,0)</f>
        <v>0</v>
      </c>
      <c r="G28" s="40">
        <f>IFERROR(aurora_data!F1448,0)</f>
        <v>0</v>
      </c>
      <c r="H28" s="40">
        <f>IFERROR(aurora_data!G1448,0)</f>
        <v>0</v>
      </c>
      <c r="I28" s="41">
        <f>IFERROR(aurora_data!H1448,0)</f>
        <v>0</v>
      </c>
      <c r="J28" s="39">
        <f>IFERROR(aurora_data!I1448,0)</f>
        <v>0</v>
      </c>
      <c r="K28" s="40">
        <f>IFERROR(aurora_data!J1448,0)</f>
        <v>0</v>
      </c>
      <c r="L28" s="40">
        <f>IFERROR(aurora_data!K1448,0)</f>
        <v>0</v>
      </c>
      <c r="M28" s="40">
        <f>IFERROR(aurora_data!L1448,0)</f>
        <v>0</v>
      </c>
      <c r="N28" s="41">
        <f>IFERROR(aurora_data!M1448,0)</f>
        <v>0</v>
      </c>
      <c r="O28" s="39">
        <f>IFERROR(aurora_data!N1448,0)</f>
        <v>0</v>
      </c>
      <c r="P28" s="40">
        <f>IFERROR(aurora_data!O1448,0)</f>
        <v>0</v>
      </c>
      <c r="Q28" s="40">
        <f>IFERROR(aurora_data!P1448,0)</f>
        <v>0</v>
      </c>
      <c r="R28" s="41">
        <f>IFERROR(aurora_data!Q1448,0)</f>
        <v>0</v>
      </c>
      <c r="S28" s="40">
        <f>IFERROR(aurora_data!R1448,0)</f>
        <v>0</v>
      </c>
      <c r="T28" s="40">
        <f>IFERROR(aurora_data!S1448,0)</f>
        <v>0</v>
      </c>
      <c r="U28" s="76">
        <f>IFERROR(aurora_data!T1448,0)</f>
        <v>0</v>
      </c>
      <c r="V28" s="61" t="s">
        <v>95</v>
      </c>
      <c r="W28" s="39">
        <f>IFERROR(aurora_data!U1448,0)</f>
        <v>3</v>
      </c>
      <c r="X28" s="70">
        <f>IFERROR(W28/$W$12,0)</f>
        <v>1.5</v>
      </c>
      <c r="Y28" s="2"/>
    </row>
    <row r="29" spans="1:25" customFormat="1">
      <c r="A29" s="2"/>
      <c r="B29" s="211"/>
      <c r="C29" s="213"/>
      <c r="D29" s="35" t="s">
        <v>96</v>
      </c>
      <c r="E29" s="110">
        <f>IFERROR(aurora_data!D1449,0)</f>
        <v>0</v>
      </c>
      <c r="F29" s="62">
        <f>IFERROR(aurora_data!E1449,0)</f>
        <v>0</v>
      </c>
      <c r="G29" s="62">
        <f>IFERROR(aurora_data!F1449,0)</f>
        <v>0</v>
      </c>
      <c r="H29" s="62">
        <f>IFERROR(aurora_data!G1449,0)</f>
        <v>0</v>
      </c>
      <c r="I29" s="63">
        <f>IFERROR(aurora_data!H1449,0)</f>
        <v>0</v>
      </c>
      <c r="J29" s="36">
        <f>IFERROR(aurora_data!I1449,0)</f>
        <v>0</v>
      </c>
      <c r="K29" s="62">
        <f>IFERROR(aurora_data!J1449,0)</f>
        <v>0</v>
      </c>
      <c r="L29" s="62">
        <f>IFERROR(aurora_data!K1449,0)</f>
        <v>0</v>
      </c>
      <c r="M29" s="62">
        <f>IFERROR(aurora_data!L1449,0)</f>
        <v>0</v>
      </c>
      <c r="N29" s="63">
        <f>IFERROR(aurora_data!M1449,0)</f>
        <v>0</v>
      </c>
      <c r="O29" s="36">
        <f>IFERROR(aurora_data!N1449,0)</f>
        <v>0</v>
      </c>
      <c r="P29" s="62">
        <f>IFERROR(aurora_data!O1449,0)</f>
        <v>0</v>
      </c>
      <c r="Q29" s="62">
        <f>IFERROR(aurora_data!P1449,0)</f>
        <v>0</v>
      </c>
      <c r="R29" s="63">
        <f>IFERROR(aurora_data!Q1449,0)</f>
        <v>0</v>
      </c>
      <c r="S29" s="62">
        <f>IFERROR(aurora_data!R1449,0)</f>
        <v>0</v>
      </c>
      <c r="T29" s="62">
        <f>IFERROR(aurora_data!S1449,0)</f>
        <v>0</v>
      </c>
      <c r="U29" s="63">
        <f>IFERROR(aurora_data!T1449,0)</f>
        <v>0</v>
      </c>
      <c r="V29" s="64" t="s">
        <v>95</v>
      </c>
      <c r="W29" s="36">
        <f>IFERROR(aurora_data!U1449,0)</f>
        <v>0</v>
      </c>
      <c r="X29" s="71">
        <f t="shared" ref="X29:X35" si="2">IFERROR(W29/$W$12,0)</f>
        <v>0</v>
      </c>
      <c r="Y29" s="2"/>
    </row>
    <row r="30" spans="1:25" customFormat="1">
      <c r="A30" s="2"/>
      <c r="B30" s="211"/>
      <c r="C30" s="213"/>
      <c r="D30" s="35" t="s">
        <v>60</v>
      </c>
      <c r="E30" s="110">
        <f>IFERROR(aurora_data!D1450,0)</f>
        <v>0</v>
      </c>
      <c r="F30" s="62">
        <f>IFERROR(aurora_data!E1450,0)</f>
        <v>0</v>
      </c>
      <c r="G30" s="62">
        <f>IFERROR(aurora_data!F1450,0)</f>
        <v>0</v>
      </c>
      <c r="H30" s="62">
        <f>IFERROR(aurora_data!G1450,0)</f>
        <v>0</v>
      </c>
      <c r="I30" s="63">
        <f>IFERROR(aurora_data!H1450,0)</f>
        <v>0</v>
      </c>
      <c r="J30" s="36">
        <f>IFERROR(aurora_data!I1450,0)</f>
        <v>0</v>
      </c>
      <c r="K30" s="62">
        <f>IFERROR(aurora_data!J1450,0)</f>
        <v>0</v>
      </c>
      <c r="L30" s="62">
        <f>IFERROR(aurora_data!K1450,0)</f>
        <v>0</v>
      </c>
      <c r="M30" s="62">
        <f>IFERROR(aurora_data!L1450,0)</f>
        <v>0</v>
      </c>
      <c r="N30" s="63">
        <f>IFERROR(aurora_data!M1450,0)</f>
        <v>0</v>
      </c>
      <c r="O30" s="36">
        <f>IFERROR(aurora_data!N1450,0)</f>
        <v>0</v>
      </c>
      <c r="P30" s="62">
        <f>IFERROR(aurora_data!O1450,0)</f>
        <v>0</v>
      </c>
      <c r="Q30" s="62">
        <f>IFERROR(aurora_data!P1450,0)</f>
        <v>0</v>
      </c>
      <c r="R30" s="63">
        <f>IFERROR(aurora_data!Q1450,0)</f>
        <v>0</v>
      </c>
      <c r="S30" s="62">
        <f>IFERROR(aurora_data!R1450,0)</f>
        <v>0</v>
      </c>
      <c r="T30" s="62">
        <f>IFERROR(aurora_data!S1450,0)</f>
        <v>0</v>
      </c>
      <c r="U30" s="63">
        <f>IFERROR(aurora_data!T1450,0)</f>
        <v>0</v>
      </c>
      <c r="V30" s="64" t="s">
        <v>95</v>
      </c>
      <c r="W30" s="36">
        <f>IFERROR(aurora_data!U1450,0)</f>
        <v>0</v>
      </c>
      <c r="X30" s="71">
        <f t="shared" si="2"/>
        <v>0</v>
      </c>
      <c r="Y30" s="2"/>
    </row>
    <row r="31" spans="1:25" customFormat="1">
      <c r="A31" s="2"/>
      <c r="B31" s="211"/>
      <c r="C31" s="213"/>
      <c r="D31" s="35" t="s">
        <v>97</v>
      </c>
      <c r="E31" s="36">
        <f>IFERROR(aurora_data!D1451,0)</f>
        <v>0</v>
      </c>
      <c r="F31" s="62">
        <f>IFERROR(aurora_data!E1451,0)</f>
        <v>0</v>
      </c>
      <c r="G31" s="62">
        <f>IFERROR(aurora_data!F1451,0)</f>
        <v>0</v>
      </c>
      <c r="H31" s="62">
        <f>IFERROR(aurora_data!G1451,0)</f>
        <v>0</v>
      </c>
      <c r="I31" s="63">
        <f>IFERROR(aurora_data!H1451,0)</f>
        <v>0</v>
      </c>
      <c r="J31" s="36">
        <f>IFERROR(aurora_data!I1451,0)</f>
        <v>0</v>
      </c>
      <c r="K31" s="62">
        <f>IFERROR(aurora_data!J1451,0)</f>
        <v>0</v>
      </c>
      <c r="L31" s="62">
        <f>IFERROR(aurora_data!K1451,0)</f>
        <v>0</v>
      </c>
      <c r="M31" s="62">
        <f>IFERROR(aurora_data!L1451,0)</f>
        <v>0</v>
      </c>
      <c r="N31" s="63">
        <f>IFERROR(aurora_data!M1451,0)</f>
        <v>0</v>
      </c>
      <c r="O31" s="36">
        <f>IFERROR(aurora_data!N1451,0)</f>
        <v>0</v>
      </c>
      <c r="P31" s="62">
        <f>IFERROR(aurora_data!O1451,0)</f>
        <v>0</v>
      </c>
      <c r="Q31" s="62">
        <f>IFERROR(aurora_data!P1451,0)</f>
        <v>0</v>
      </c>
      <c r="R31" s="63">
        <f>IFERROR(aurora_data!Q1451,0)</f>
        <v>0</v>
      </c>
      <c r="S31" s="62">
        <f>IFERROR(aurora_data!R1451,0)</f>
        <v>0</v>
      </c>
      <c r="T31" s="62">
        <f>IFERROR(aurora_data!S1451,0)</f>
        <v>0</v>
      </c>
      <c r="U31" s="63">
        <f>IFERROR(aurora_data!T1451,0)</f>
        <v>0</v>
      </c>
      <c r="V31" s="64" t="s">
        <v>95</v>
      </c>
      <c r="W31" s="36">
        <f>IFERROR(aurora_data!U1451,0)</f>
        <v>0</v>
      </c>
      <c r="X31" s="71">
        <f t="shared" si="2"/>
        <v>0</v>
      </c>
      <c r="Y31" s="2"/>
    </row>
    <row r="32" spans="1:25" customFormat="1">
      <c r="A32" s="2"/>
      <c r="B32" s="211"/>
      <c r="C32" s="213"/>
      <c r="D32" s="35" t="s">
        <v>98</v>
      </c>
      <c r="E32" s="36">
        <f>IFERROR(aurora_data!D1452,0)</f>
        <v>0</v>
      </c>
      <c r="F32" s="62">
        <f>IFERROR(aurora_data!E1452,0)</f>
        <v>0</v>
      </c>
      <c r="G32" s="62">
        <f>IFERROR(aurora_data!F1452,0)</f>
        <v>0</v>
      </c>
      <c r="H32" s="62">
        <f>IFERROR(aurora_data!G1452,0)</f>
        <v>0</v>
      </c>
      <c r="I32" s="63">
        <f>IFERROR(aurora_data!H1452,0)</f>
        <v>0</v>
      </c>
      <c r="J32" s="36">
        <f>IFERROR(aurora_data!I1452,0)</f>
        <v>0</v>
      </c>
      <c r="K32" s="62">
        <f>IFERROR(aurora_data!J1452,0)</f>
        <v>0</v>
      </c>
      <c r="L32" s="62">
        <f>IFERROR(aurora_data!K1452,0)</f>
        <v>0</v>
      </c>
      <c r="M32" s="62">
        <f>IFERROR(aurora_data!L1452,0)</f>
        <v>0</v>
      </c>
      <c r="N32" s="63">
        <f>IFERROR(aurora_data!M1452,0)</f>
        <v>0</v>
      </c>
      <c r="O32" s="36">
        <f>IFERROR(aurora_data!N1452,0)</f>
        <v>0</v>
      </c>
      <c r="P32" s="62">
        <f>IFERROR(aurora_data!O1452,0)</f>
        <v>0</v>
      </c>
      <c r="Q32" s="62">
        <f>IFERROR(aurora_data!P1452,0)</f>
        <v>0</v>
      </c>
      <c r="R32" s="63">
        <f>IFERROR(aurora_data!Q1452,0)</f>
        <v>0</v>
      </c>
      <c r="S32" s="62">
        <f>IFERROR(aurora_data!R1452,0)</f>
        <v>0</v>
      </c>
      <c r="T32" s="62">
        <f>IFERROR(aurora_data!S1452,0)</f>
        <v>0</v>
      </c>
      <c r="U32" s="63">
        <f>IFERROR(aurora_data!T1452,0)</f>
        <v>0</v>
      </c>
      <c r="V32" s="64" t="s">
        <v>95</v>
      </c>
      <c r="W32" s="36">
        <f>IFERROR(aurora_data!U1452,0)</f>
        <v>0</v>
      </c>
      <c r="X32" s="71">
        <f t="shared" si="2"/>
        <v>0</v>
      </c>
      <c r="Y32" s="2"/>
    </row>
    <row r="33" spans="1:25" customFormat="1" ht="16.5" thickBot="1">
      <c r="A33" s="2"/>
      <c r="B33" s="211"/>
      <c r="C33" s="213"/>
      <c r="D33" s="35" t="s">
        <v>99</v>
      </c>
      <c r="E33" s="36">
        <f>IFERROR(aurora_data!D1453,0)</f>
        <v>0</v>
      </c>
      <c r="F33" s="62">
        <f>IFERROR(aurora_data!E1453,0)</f>
        <v>0</v>
      </c>
      <c r="G33" s="62">
        <f>IFERROR(aurora_data!F1453,0)</f>
        <v>0</v>
      </c>
      <c r="H33" s="62">
        <f>IFERROR(aurora_data!G1453,0)</f>
        <v>0</v>
      </c>
      <c r="I33" s="63">
        <f>IFERROR(aurora_data!H1453,0)</f>
        <v>0</v>
      </c>
      <c r="J33" s="36">
        <f>IFERROR(aurora_data!I1453,0)</f>
        <v>0</v>
      </c>
      <c r="K33" s="62">
        <f>IFERROR(aurora_data!J1453,0)</f>
        <v>0</v>
      </c>
      <c r="L33" s="62">
        <f>IFERROR(aurora_data!K1453,0)</f>
        <v>0</v>
      </c>
      <c r="M33" s="62">
        <f>IFERROR(aurora_data!L1453,0)</f>
        <v>0</v>
      </c>
      <c r="N33" s="63">
        <f>IFERROR(aurora_data!M1453,0)</f>
        <v>0</v>
      </c>
      <c r="O33" s="36">
        <f>IFERROR(aurora_data!N1453,0)</f>
        <v>0</v>
      </c>
      <c r="P33" s="62">
        <f>IFERROR(aurora_data!O1453,0)</f>
        <v>0</v>
      </c>
      <c r="Q33" s="62">
        <f>IFERROR(aurora_data!P1453,0)</f>
        <v>0</v>
      </c>
      <c r="R33" s="63">
        <f>IFERROR(aurora_data!Q1453,0)</f>
        <v>0</v>
      </c>
      <c r="S33" s="62">
        <f>IFERROR(aurora_data!R1453,0)</f>
        <v>0</v>
      </c>
      <c r="T33" s="62">
        <f>IFERROR(aurora_data!S1453,0)</f>
        <v>0</v>
      </c>
      <c r="U33" s="63">
        <f>IFERROR(aurora_data!T1453,0)</f>
        <v>0</v>
      </c>
      <c r="V33" s="64" t="s">
        <v>95</v>
      </c>
      <c r="W33" s="36">
        <f>IFERROR(aurora_data!U1453,0)</f>
        <v>0</v>
      </c>
      <c r="X33" s="71">
        <f t="shared" si="2"/>
        <v>0</v>
      </c>
      <c r="Y33" s="2"/>
    </row>
    <row r="34" spans="1:25" customFormat="1" ht="16.5" thickBot="1">
      <c r="A34" s="2"/>
      <c r="B34" s="211"/>
      <c r="C34" s="213"/>
      <c r="D34" s="37" t="s">
        <v>64</v>
      </c>
      <c r="E34" s="59">
        <f>IFERROR(aurora_data!D1454,0)</f>
        <v>0</v>
      </c>
      <c r="F34" s="65">
        <f>IFERROR(aurora_data!E1454,0)</f>
        <v>0</v>
      </c>
      <c r="G34" s="65">
        <f>IFERROR(aurora_data!F1454,0)</f>
        <v>0</v>
      </c>
      <c r="H34" s="65">
        <f>IFERROR(aurora_data!G1454,0)</f>
        <v>0</v>
      </c>
      <c r="I34" s="66">
        <f>IFERROR(aurora_data!H1454,0)</f>
        <v>0</v>
      </c>
      <c r="J34" s="59">
        <f>IFERROR(aurora_data!I1454,0)</f>
        <v>0</v>
      </c>
      <c r="K34" s="65">
        <f>IFERROR(aurora_data!J1454,0)</f>
        <v>0</v>
      </c>
      <c r="L34" s="65">
        <f>IFERROR(aurora_data!K1454,0)</f>
        <v>0</v>
      </c>
      <c r="M34" s="65">
        <f>IFERROR(aurora_data!L1454,0)</f>
        <v>0</v>
      </c>
      <c r="N34" s="66">
        <f>IFERROR(aurora_data!M1454,0)</f>
        <v>0</v>
      </c>
      <c r="O34" s="59">
        <f>IFERROR(aurora_data!N1454,0)</f>
        <v>0</v>
      </c>
      <c r="P34" s="65">
        <f>IFERROR(aurora_data!O1454,0)</f>
        <v>0</v>
      </c>
      <c r="Q34" s="65">
        <f>IFERROR(aurora_data!P1454,0)</f>
        <v>0</v>
      </c>
      <c r="R34" s="66">
        <f>IFERROR(aurora_data!Q1454,0)</f>
        <v>0</v>
      </c>
      <c r="S34" s="65">
        <f>IFERROR(aurora_data!R1454,0)</f>
        <v>0</v>
      </c>
      <c r="T34" s="65">
        <f>IFERROR(aurora_data!S1454,0)</f>
        <v>0</v>
      </c>
      <c r="U34" s="66">
        <f>IFERROR(aurora_data!T1454,0)</f>
        <v>0</v>
      </c>
      <c r="V34" s="67" t="s">
        <v>95</v>
      </c>
      <c r="W34" s="59">
        <f>IFERROR(aurora_data!U1454,0)</f>
        <v>0</v>
      </c>
      <c r="X34" s="72">
        <f t="shared" si="2"/>
        <v>0</v>
      </c>
      <c r="Y34" s="2"/>
    </row>
    <row r="35" spans="1:25" customFormat="1" ht="16.5" thickBot="1">
      <c r="A35" s="2"/>
      <c r="B35" s="211"/>
      <c r="C35" s="213"/>
      <c r="D35" s="38" t="s">
        <v>100</v>
      </c>
      <c r="E35" s="60">
        <f>IFERROR(aurora_data!D1455,0)</f>
        <v>0</v>
      </c>
      <c r="F35" s="68">
        <f>IFERROR(aurora_data!E1455,0)</f>
        <v>0</v>
      </c>
      <c r="G35" s="68">
        <f>IFERROR(aurora_data!F1455,0)</f>
        <v>0</v>
      </c>
      <c r="H35" s="68">
        <f>IFERROR(aurora_data!G1455,0)</f>
        <v>0</v>
      </c>
      <c r="I35" s="69">
        <f>IFERROR(aurora_data!H1455,0)</f>
        <v>0</v>
      </c>
      <c r="J35" s="60">
        <f>IFERROR(aurora_data!I1455,0)</f>
        <v>0</v>
      </c>
      <c r="K35" s="68">
        <f>IFERROR(aurora_data!J1455,0)</f>
        <v>0</v>
      </c>
      <c r="L35" s="68">
        <f>IFERROR(aurora_data!K1455,0)</f>
        <v>0</v>
      </c>
      <c r="M35" s="68">
        <f>IFERROR(aurora_data!L1455,0)</f>
        <v>0</v>
      </c>
      <c r="N35" s="69">
        <f>IFERROR(aurora_data!M1455,0)</f>
        <v>0</v>
      </c>
      <c r="O35" s="60">
        <f>IFERROR(aurora_data!N1455,0)</f>
        <v>0</v>
      </c>
      <c r="P35" s="68">
        <f>IFERROR(aurora_data!O1455,0)</f>
        <v>0</v>
      </c>
      <c r="Q35" s="68">
        <f>IFERROR(aurora_data!P1455,0)</f>
        <v>0</v>
      </c>
      <c r="R35" s="69">
        <f>IFERROR(aurora_data!Q1455,0)</f>
        <v>0</v>
      </c>
      <c r="S35" s="68">
        <f>IFERROR(aurora_data!R1455,0)</f>
        <v>0</v>
      </c>
      <c r="T35" s="68">
        <f>IFERROR(aurora_data!S1455,0)</f>
        <v>0</v>
      </c>
      <c r="U35" s="74">
        <f>IFERROR(aurora_data!T1455,0)</f>
        <v>0</v>
      </c>
      <c r="V35" s="75" t="s">
        <v>95</v>
      </c>
      <c r="W35" s="60">
        <f>IFERROR(aurora_data!U1455,0)</f>
        <v>0</v>
      </c>
      <c r="X35" s="73">
        <f t="shared" si="2"/>
        <v>0</v>
      </c>
      <c r="Y35" s="2"/>
    </row>
    <row r="36" spans="1:25" customFormat="1">
      <c r="A36" s="2"/>
      <c r="B36" s="210" t="s">
        <v>94</v>
      </c>
      <c r="C36" s="212" t="str">
        <f>aurora_data!A1456</f>
        <v>09.00.00-09.11.30</v>
      </c>
      <c r="D36" s="34" t="s">
        <v>71</v>
      </c>
      <c r="E36" s="39">
        <f>IFERROR(aurora_data!D1456,0)</f>
        <v>0</v>
      </c>
      <c r="F36" s="40">
        <f>IFERROR(aurora_data!E1456,0)</f>
        <v>0</v>
      </c>
      <c r="G36" s="40">
        <f>IFERROR(aurora_data!F1456,0)</f>
        <v>0</v>
      </c>
      <c r="H36" s="40">
        <f>IFERROR(aurora_data!G1456,0)</f>
        <v>0</v>
      </c>
      <c r="I36" s="41">
        <f>IFERROR(aurora_data!H1456,0)</f>
        <v>0</v>
      </c>
      <c r="J36" s="39">
        <f>IFERROR(aurora_data!I1456,0)</f>
        <v>0</v>
      </c>
      <c r="K36" s="40">
        <f>IFERROR(aurora_data!J1456,0)</f>
        <v>0</v>
      </c>
      <c r="L36" s="40">
        <f>IFERROR(aurora_data!K1456,0)</f>
        <v>0</v>
      </c>
      <c r="M36" s="40">
        <f>IFERROR(aurora_data!L1456,0)</f>
        <v>0</v>
      </c>
      <c r="N36" s="41">
        <f>IFERROR(aurora_data!M1456,0)</f>
        <v>0</v>
      </c>
      <c r="O36" s="39">
        <f>IFERROR(aurora_data!N1456,0)</f>
        <v>0</v>
      </c>
      <c r="P36" s="40">
        <f>IFERROR(aurora_data!O1456,0)</f>
        <v>0</v>
      </c>
      <c r="Q36" s="40">
        <f>IFERROR(aurora_data!P1456,0)</f>
        <v>0</v>
      </c>
      <c r="R36" s="41">
        <f>IFERROR(aurora_data!Q1456,0)</f>
        <v>0</v>
      </c>
      <c r="S36" s="40">
        <f>IFERROR(aurora_data!R1456,0)</f>
        <v>0</v>
      </c>
      <c r="T36" s="40">
        <f>IFERROR(aurora_data!S1456,0)</f>
        <v>0</v>
      </c>
      <c r="U36" s="76">
        <f>IFERROR(aurora_data!T1456,0)</f>
        <v>0</v>
      </c>
      <c r="V36" s="61" t="s">
        <v>95</v>
      </c>
      <c r="W36" s="39">
        <f>IFERROR(aurora_data!U1456,0)</f>
        <v>2</v>
      </c>
      <c r="X36" s="70">
        <f>IFERROR(W36/$W$12,0)</f>
        <v>1</v>
      </c>
      <c r="Y36" s="2"/>
    </row>
    <row r="37" spans="1:25" customFormat="1">
      <c r="A37" s="2"/>
      <c r="B37" s="211"/>
      <c r="C37" s="213"/>
      <c r="D37" s="35" t="s">
        <v>96</v>
      </c>
      <c r="E37" s="110">
        <f>IFERROR(aurora_data!D1457,0)</f>
        <v>0</v>
      </c>
      <c r="F37" s="62">
        <f>IFERROR(aurora_data!E1457,0)</f>
        <v>0</v>
      </c>
      <c r="G37" s="62">
        <f>IFERROR(aurora_data!F1457,0)</f>
        <v>0</v>
      </c>
      <c r="H37" s="62">
        <f>IFERROR(aurora_data!G1457,0)</f>
        <v>0</v>
      </c>
      <c r="I37" s="63">
        <f>IFERROR(aurora_data!H1457,0)</f>
        <v>0</v>
      </c>
      <c r="J37" s="36">
        <f>IFERROR(aurora_data!I1457,0)</f>
        <v>0</v>
      </c>
      <c r="K37" s="62">
        <f>IFERROR(aurora_data!J1457,0)</f>
        <v>0</v>
      </c>
      <c r="L37" s="62">
        <f>IFERROR(aurora_data!K1457,0)</f>
        <v>0</v>
      </c>
      <c r="M37" s="62">
        <f>IFERROR(aurora_data!L1457,0)</f>
        <v>0</v>
      </c>
      <c r="N37" s="63">
        <f>IFERROR(aurora_data!M1457,0)</f>
        <v>0</v>
      </c>
      <c r="O37" s="36">
        <f>IFERROR(aurora_data!N1457,0)</f>
        <v>0</v>
      </c>
      <c r="P37" s="62">
        <f>IFERROR(aurora_data!O1457,0)</f>
        <v>0</v>
      </c>
      <c r="Q37" s="62">
        <f>IFERROR(aurora_data!P1457,0)</f>
        <v>0</v>
      </c>
      <c r="R37" s="63">
        <f>IFERROR(aurora_data!Q1457,0)</f>
        <v>0</v>
      </c>
      <c r="S37" s="62">
        <f>IFERROR(aurora_data!R1457,0)</f>
        <v>0</v>
      </c>
      <c r="T37" s="62">
        <f>IFERROR(aurora_data!S1457,0)</f>
        <v>0</v>
      </c>
      <c r="U37" s="63">
        <f>IFERROR(aurora_data!T1457,0)</f>
        <v>0</v>
      </c>
      <c r="V37" s="64" t="s">
        <v>95</v>
      </c>
      <c r="W37" s="36">
        <f>IFERROR(aurora_data!U1457,0)</f>
        <v>0</v>
      </c>
      <c r="X37" s="71">
        <f t="shared" ref="X37:X43" si="3">IFERROR(W37/$W$12,0)</f>
        <v>0</v>
      </c>
      <c r="Y37" s="2"/>
    </row>
    <row r="38" spans="1:25" customFormat="1">
      <c r="A38" s="2"/>
      <c r="B38" s="211"/>
      <c r="C38" s="213"/>
      <c r="D38" s="35" t="s">
        <v>60</v>
      </c>
      <c r="E38" s="110">
        <f>IFERROR(aurora_data!D1458,0)</f>
        <v>0</v>
      </c>
      <c r="F38" s="62">
        <f>IFERROR(aurora_data!E1458,0)</f>
        <v>0</v>
      </c>
      <c r="G38" s="62">
        <f>IFERROR(aurora_data!F1458,0)</f>
        <v>0</v>
      </c>
      <c r="H38" s="62">
        <f>IFERROR(aurora_data!G1458,0)</f>
        <v>0</v>
      </c>
      <c r="I38" s="63">
        <f>IFERROR(aurora_data!H1458,0)</f>
        <v>0</v>
      </c>
      <c r="J38" s="36">
        <f>IFERROR(aurora_data!I1458,0)</f>
        <v>0</v>
      </c>
      <c r="K38" s="62">
        <f>IFERROR(aurora_data!J1458,0)</f>
        <v>0</v>
      </c>
      <c r="L38" s="62">
        <f>IFERROR(aurora_data!K1458,0)</f>
        <v>0</v>
      </c>
      <c r="M38" s="62">
        <f>IFERROR(aurora_data!L1458,0)</f>
        <v>0</v>
      </c>
      <c r="N38" s="63">
        <f>IFERROR(aurora_data!M1458,0)</f>
        <v>0</v>
      </c>
      <c r="O38" s="36">
        <f>IFERROR(aurora_data!N1458,0)</f>
        <v>0</v>
      </c>
      <c r="P38" s="62">
        <f>IFERROR(aurora_data!O1458,0)</f>
        <v>0</v>
      </c>
      <c r="Q38" s="62">
        <f>IFERROR(aurora_data!P1458,0)</f>
        <v>0</v>
      </c>
      <c r="R38" s="63">
        <f>IFERROR(aurora_data!Q1458,0)</f>
        <v>0</v>
      </c>
      <c r="S38" s="62">
        <f>IFERROR(aurora_data!R1458,0)</f>
        <v>0</v>
      </c>
      <c r="T38" s="62">
        <f>IFERROR(aurora_data!S1458,0)</f>
        <v>0</v>
      </c>
      <c r="U38" s="63">
        <f>IFERROR(aurora_data!T1458,0)</f>
        <v>0</v>
      </c>
      <c r="V38" s="64" t="s">
        <v>95</v>
      </c>
      <c r="W38" s="36">
        <f>IFERROR(aurora_data!U1458,0)</f>
        <v>0</v>
      </c>
      <c r="X38" s="71">
        <f t="shared" si="3"/>
        <v>0</v>
      </c>
      <c r="Y38" s="2"/>
    </row>
    <row r="39" spans="1:25" customFormat="1">
      <c r="A39" s="2"/>
      <c r="B39" s="211"/>
      <c r="C39" s="213"/>
      <c r="D39" s="35" t="s">
        <v>97</v>
      </c>
      <c r="E39" s="36">
        <f>IFERROR(aurora_data!D1459,0)</f>
        <v>0</v>
      </c>
      <c r="F39" s="62">
        <f>IFERROR(aurora_data!E1459,0)</f>
        <v>0</v>
      </c>
      <c r="G39" s="62">
        <f>IFERROR(aurora_data!F1459,0)</f>
        <v>0</v>
      </c>
      <c r="H39" s="62">
        <f>IFERROR(aurora_data!G1459,0)</f>
        <v>0</v>
      </c>
      <c r="I39" s="63">
        <f>IFERROR(aurora_data!H1459,0)</f>
        <v>0</v>
      </c>
      <c r="J39" s="36">
        <f>IFERROR(aurora_data!I1459,0)</f>
        <v>0</v>
      </c>
      <c r="K39" s="62">
        <f>IFERROR(aurora_data!J1459,0)</f>
        <v>0</v>
      </c>
      <c r="L39" s="62">
        <f>IFERROR(aurora_data!K1459,0)</f>
        <v>0</v>
      </c>
      <c r="M39" s="62">
        <f>IFERROR(aurora_data!L1459,0)</f>
        <v>0</v>
      </c>
      <c r="N39" s="63">
        <f>IFERROR(aurora_data!M1459,0)</f>
        <v>0</v>
      </c>
      <c r="O39" s="36">
        <f>IFERROR(aurora_data!N1459,0)</f>
        <v>0</v>
      </c>
      <c r="P39" s="62">
        <f>IFERROR(aurora_data!O1459,0)</f>
        <v>0</v>
      </c>
      <c r="Q39" s="62">
        <f>IFERROR(aurora_data!P1459,0)</f>
        <v>0</v>
      </c>
      <c r="R39" s="63">
        <f>IFERROR(aurora_data!Q1459,0)</f>
        <v>0</v>
      </c>
      <c r="S39" s="62">
        <f>IFERROR(aurora_data!R1459,0)</f>
        <v>0</v>
      </c>
      <c r="T39" s="62">
        <f>IFERROR(aurora_data!S1459,0)</f>
        <v>0</v>
      </c>
      <c r="U39" s="63">
        <f>IFERROR(aurora_data!T1459,0)</f>
        <v>0</v>
      </c>
      <c r="V39" s="64" t="s">
        <v>95</v>
      </c>
      <c r="W39" s="36">
        <f>IFERROR(aurora_data!U1459,0)</f>
        <v>0</v>
      </c>
      <c r="X39" s="71">
        <f t="shared" si="3"/>
        <v>0</v>
      </c>
      <c r="Y39" s="2"/>
    </row>
    <row r="40" spans="1:25" customFormat="1">
      <c r="A40" s="2"/>
      <c r="B40" s="211"/>
      <c r="C40" s="213"/>
      <c r="D40" s="35" t="s">
        <v>98</v>
      </c>
      <c r="E40" s="36">
        <f>IFERROR(aurora_data!D1460,0)</f>
        <v>0</v>
      </c>
      <c r="F40" s="62">
        <f>IFERROR(aurora_data!E1460,0)</f>
        <v>0</v>
      </c>
      <c r="G40" s="62">
        <f>IFERROR(aurora_data!F1460,0)</f>
        <v>0</v>
      </c>
      <c r="H40" s="62">
        <f>IFERROR(aurora_data!G1460,0)</f>
        <v>0</v>
      </c>
      <c r="I40" s="63">
        <f>IFERROR(aurora_data!H1460,0)</f>
        <v>0</v>
      </c>
      <c r="J40" s="36">
        <f>IFERROR(aurora_data!I1460,0)</f>
        <v>0</v>
      </c>
      <c r="K40" s="62">
        <f>IFERROR(aurora_data!J1460,0)</f>
        <v>0</v>
      </c>
      <c r="L40" s="62">
        <f>IFERROR(aurora_data!K1460,0)</f>
        <v>0</v>
      </c>
      <c r="M40" s="62">
        <f>IFERROR(aurora_data!L1460,0)</f>
        <v>0</v>
      </c>
      <c r="N40" s="63">
        <f>IFERROR(aurora_data!M1460,0)</f>
        <v>0</v>
      </c>
      <c r="O40" s="36">
        <f>IFERROR(aurora_data!N1460,0)</f>
        <v>0</v>
      </c>
      <c r="P40" s="62">
        <f>IFERROR(aurora_data!O1460,0)</f>
        <v>0</v>
      </c>
      <c r="Q40" s="62">
        <f>IFERROR(aurora_data!P1460,0)</f>
        <v>0</v>
      </c>
      <c r="R40" s="63">
        <f>IFERROR(aurora_data!Q1460,0)</f>
        <v>0</v>
      </c>
      <c r="S40" s="62">
        <f>IFERROR(aurora_data!R1460,0)</f>
        <v>0</v>
      </c>
      <c r="T40" s="62">
        <f>IFERROR(aurora_data!S1460,0)</f>
        <v>0</v>
      </c>
      <c r="U40" s="63">
        <f>IFERROR(aurora_data!T1460,0)</f>
        <v>0</v>
      </c>
      <c r="V40" s="64" t="s">
        <v>95</v>
      </c>
      <c r="W40" s="36">
        <f>IFERROR(aurora_data!U1460,0)</f>
        <v>0</v>
      </c>
      <c r="X40" s="71">
        <f t="shared" si="3"/>
        <v>0</v>
      </c>
      <c r="Y40" s="2"/>
    </row>
    <row r="41" spans="1:25" customFormat="1" ht="16.5" thickBot="1">
      <c r="A41" s="2"/>
      <c r="B41" s="211"/>
      <c r="C41" s="213"/>
      <c r="D41" s="35" t="s">
        <v>99</v>
      </c>
      <c r="E41" s="36">
        <f>IFERROR(aurora_data!D1461,0)</f>
        <v>0</v>
      </c>
      <c r="F41" s="62">
        <f>IFERROR(aurora_data!E1461,0)</f>
        <v>0</v>
      </c>
      <c r="G41" s="62">
        <f>IFERROR(aurora_data!F1461,0)</f>
        <v>0</v>
      </c>
      <c r="H41" s="62">
        <f>IFERROR(aurora_data!G1461,0)</f>
        <v>0</v>
      </c>
      <c r="I41" s="63">
        <f>IFERROR(aurora_data!H1461,0)</f>
        <v>0</v>
      </c>
      <c r="J41" s="36">
        <f>IFERROR(aurora_data!I1461,0)</f>
        <v>0</v>
      </c>
      <c r="K41" s="62">
        <f>IFERROR(aurora_data!J1461,0)</f>
        <v>0</v>
      </c>
      <c r="L41" s="62">
        <f>IFERROR(aurora_data!K1461,0)</f>
        <v>0</v>
      </c>
      <c r="M41" s="62">
        <f>IFERROR(aurora_data!L1461,0)</f>
        <v>0</v>
      </c>
      <c r="N41" s="63">
        <f>IFERROR(aurora_data!M1461,0)</f>
        <v>0</v>
      </c>
      <c r="O41" s="36">
        <f>IFERROR(aurora_data!N1461,0)</f>
        <v>0</v>
      </c>
      <c r="P41" s="62">
        <f>IFERROR(aurora_data!O1461,0)</f>
        <v>0</v>
      </c>
      <c r="Q41" s="62">
        <f>IFERROR(aurora_data!P1461,0)</f>
        <v>0</v>
      </c>
      <c r="R41" s="63">
        <f>IFERROR(aurora_data!Q1461,0)</f>
        <v>0</v>
      </c>
      <c r="S41" s="62">
        <f>IFERROR(aurora_data!R1461,0)</f>
        <v>0</v>
      </c>
      <c r="T41" s="62">
        <f>IFERROR(aurora_data!S1461,0)</f>
        <v>0</v>
      </c>
      <c r="U41" s="63">
        <f>IFERROR(aurora_data!T1461,0)</f>
        <v>0</v>
      </c>
      <c r="V41" s="64" t="s">
        <v>95</v>
      </c>
      <c r="W41" s="36">
        <f>IFERROR(aurora_data!U1461,0)</f>
        <v>0</v>
      </c>
      <c r="X41" s="71">
        <f t="shared" si="3"/>
        <v>0</v>
      </c>
      <c r="Y41" s="2"/>
    </row>
    <row r="42" spans="1:25" customFormat="1" ht="16.5" thickBot="1">
      <c r="A42" s="2"/>
      <c r="B42" s="211"/>
      <c r="C42" s="213"/>
      <c r="D42" s="37" t="s">
        <v>64</v>
      </c>
      <c r="E42" s="59">
        <f>IFERROR(aurora_data!D1462,0)</f>
        <v>0</v>
      </c>
      <c r="F42" s="65">
        <f>IFERROR(aurora_data!E1462,0)</f>
        <v>0</v>
      </c>
      <c r="G42" s="65">
        <f>IFERROR(aurora_data!F1462,0)</f>
        <v>0</v>
      </c>
      <c r="H42" s="65">
        <f>IFERROR(aurora_data!G1462,0)</f>
        <v>0</v>
      </c>
      <c r="I42" s="66">
        <f>IFERROR(aurora_data!H1462,0)</f>
        <v>0</v>
      </c>
      <c r="J42" s="59">
        <f>IFERROR(aurora_data!I1462,0)</f>
        <v>0</v>
      </c>
      <c r="K42" s="65">
        <f>IFERROR(aurora_data!J1462,0)</f>
        <v>0</v>
      </c>
      <c r="L42" s="65">
        <f>IFERROR(aurora_data!K1462,0)</f>
        <v>0</v>
      </c>
      <c r="M42" s="65">
        <f>IFERROR(aurora_data!L1462,0)</f>
        <v>0</v>
      </c>
      <c r="N42" s="66">
        <f>IFERROR(aurora_data!M1462,0)</f>
        <v>0</v>
      </c>
      <c r="O42" s="59">
        <f>IFERROR(aurora_data!N1462,0)</f>
        <v>0</v>
      </c>
      <c r="P42" s="65">
        <f>IFERROR(aurora_data!O1462,0)</f>
        <v>0</v>
      </c>
      <c r="Q42" s="65">
        <f>IFERROR(aurora_data!P1462,0)</f>
        <v>0</v>
      </c>
      <c r="R42" s="66">
        <f>IFERROR(aurora_data!Q1462,0)</f>
        <v>0</v>
      </c>
      <c r="S42" s="65">
        <f>IFERROR(aurora_data!R1462,0)</f>
        <v>0</v>
      </c>
      <c r="T42" s="65">
        <f>IFERROR(aurora_data!S1462,0)</f>
        <v>0</v>
      </c>
      <c r="U42" s="66">
        <f>IFERROR(aurora_data!T1462,0)</f>
        <v>0</v>
      </c>
      <c r="V42" s="67" t="s">
        <v>95</v>
      </c>
      <c r="W42" s="59">
        <f>IFERROR(aurora_data!U1462,0)</f>
        <v>0</v>
      </c>
      <c r="X42" s="72">
        <f t="shared" si="3"/>
        <v>0</v>
      </c>
      <c r="Y42" s="2"/>
    </row>
    <row r="43" spans="1:25" customFormat="1" ht="16.5" thickBot="1">
      <c r="A43" s="2"/>
      <c r="B43" s="211"/>
      <c r="C43" s="213"/>
      <c r="D43" s="38" t="s">
        <v>100</v>
      </c>
      <c r="E43" s="60">
        <f>IFERROR(aurora_data!D1463,0)</f>
        <v>0</v>
      </c>
      <c r="F43" s="68">
        <f>IFERROR(aurora_data!E1463,0)</f>
        <v>0</v>
      </c>
      <c r="G43" s="68">
        <f>IFERROR(aurora_data!F1463,0)</f>
        <v>0</v>
      </c>
      <c r="H43" s="68">
        <f>IFERROR(aurora_data!G1463,0)</f>
        <v>0</v>
      </c>
      <c r="I43" s="69">
        <f>IFERROR(aurora_data!H1463,0)</f>
        <v>0</v>
      </c>
      <c r="J43" s="60">
        <f>IFERROR(aurora_data!I1463,0)</f>
        <v>0</v>
      </c>
      <c r="K43" s="68">
        <f>IFERROR(aurora_data!J1463,0)</f>
        <v>0</v>
      </c>
      <c r="L43" s="68">
        <f>IFERROR(aurora_data!K1463,0)</f>
        <v>0</v>
      </c>
      <c r="M43" s="68">
        <f>IFERROR(aurora_data!L1463,0)</f>
        <v>0</v>
      </c>
      <c r="N43" s="69">
        <f>IFERROR(aurora_data!M1463,0)</f>
        <v>0</v>
      </c>
      <c r="O43" s="60">
        <f>IFERROR(aurora_data!N1463,0)</f>
        <v>0</v>
      </c>
      <c r="P43" s="68">
        <f>IFERROR(aurora_data!O1463,0)</f>
        <v>0</v>
      </c>
      <c r="Q43" s="68">
        <f>IFERROR(aurora_data!P1463,0)</f>
        <v>0</v>
      </c>
      <c r="R43" s="69">
        <f>IFERROR(aurora_data!Q1463,0)</f>
        <v>0</v>
      </c>
      <c r="S43" s="68">
        <f>IFERROR(aurora_data!R1463,0)</f>
        <v>0</v>
      </c>
      <c r="T43" s="68">
        <f>IFERROR(aurora_data!S1463,0)</f>
        <v>0</v>
      </c>
      <c r="U43" s="74">
        <f>IFERROR(aurora_data!T1463,0)</f>
        <v>0</v>
      </c>
      <c r="V43" s="75" t="s">
        <v>95</v>
      </c>
      <c r="W43" s="60">
        <f>IFERROR(aurora_data!U1463,0)</f>
        <v>0</v>
      </c>
      <c r="X43" s="73">
        <f t="shared" si="3"/>
        <v>0</v>
      </c>
      <c r="Y43" s="2"/>
    </row>
    <row r="44" spans="1:25" customFormat="1">
      <c r="A44" s="2"/>
      <c r="B44" s="210" t="s">
        <v>94</v>
      </c>
      <c r="C44" s="212" t="str">
        <f>aurora_data!A1464</f>
        <v>10.00.00-10.11.30</v>
      </c>
      <c r="D44" s="34" t="s">
        <v>71</v>
      </c>
      <c r="E44" s="39">
        <f>IFERROR(aurora_data!D1464,0)</f>
        <v>0</v>
      </c>
      <c r="F44" s="40">
        <f>IFERROR(aurora_data!E1464,0)</f>
        <v>0</v>
      </c>
      <c r="G44" s="40">
        <f>IFERROR(aurora_data!F1464,0)</f>
        <v>0</v>
      </c>
      <c r="H44" s="40">
        <f>IFERROR(aurora_data!G1464,0)</f>
        <v>0</v>
      </c>
      <c r="I44" s="41">
        <f>IFERROR(aurora_data!H1464,0)</f>
        <v>0</v>
      </c>
      <c r="J44" s="39">
        <f>IFERROR(aurora_data!I1464,0)</f>
        <v>0</v>
      </c>
      <c r="K44" s="40">
        <f>IFERROR(aurora_data!J1464,0)</f>
        <v>0</v>
      </c>
      <c r="L44" s="40">
        <f>IFERROR(aurora_data!K1464,0)</f>
        <v>0</v>
      </c>
      <c r="M44" s="40">
        <f>IFERROR(aurora_data!L1464,0)</f>
        <v>0</v>
      </c>
      <c r="N44" s="41">
        <f>IFERROR(aurora_data!M1464,0)</f>
        <v>0</v>
      </c>
      <c r="O44" s="39">
        <f>IFERROR(aurora_data!N1464,0)</f>
        <v>0</v>
      </c>
      <c r="P44" s="40">
        <f>IFERROR(aurora_data!O1464,0)</f>
        <v>0</v>
      </c>
      <c r="Q44" s="40">
        <f>IFERROR(aurora_data!P1464,0)</f>
        <v>0</v>
      </c>
      <c r="R44" s="41">
        <f>IFERROR(aurora_data!Q1464,0)</f>
        <v>0</v>
      </c>
      <c r="S44" s="40">
        <f>IFERROR(aurora_data!R1464,0)</f>
        <v>0</v>
      </c>
      <c r="T44" s="40">
        <f>IFERROR(aurora_data!S1464,0)</f>
        <v>0</v>
      </c>
      <c r="U44" s="76">
        <f>IFERROR(aurora_data!T1464,0)</f>
        <v>0</v>
      </c>
      <c r="V44" s="61" t="s">
        <v>95</v>
      </c>
      <c r="W44" s="39">
        <f>IFERROR(aurora_data!U1464,0)</f>
        <v>3</v>
      </c>
      <c r="X44" s="70">
        <f>IFERROR(W44/$W$12,0)</f>
        <v>1.5</v>
      </c>
      <c r="Y44" s="2"/>
    </row>
    <row r="45" spans="1:25" customFormat="1">
      <c r="A45" s="2"/>
      <c r="B45" s="211"/>
      <c r="C45" s="213"/>
      <c r="D45" s="35" t="s">
        <v>96</v>
      </c>
      <c r="E45" s="110">
        <f>IFERROR(aurora_data!D1465,0)</f>
        <v>0</v>
      </c>
      <c r="F45" s="62">
        <f>IFERROR(aurora_data!E1465,0)</f>
        <v>0</v>
      </c>
      <c r="G45" s="62">
        <f>IFERROR(aurora_data!F1465,0)</f>
        <v>0</v>
      </c>
      <c r="H45" s="62">
        <f>IFERROR(aurora_data!G1465,0)</f>
        <v>0</v>
      </c>
      <c r="I45" s="63">
        <f>IFERROR(aurora_data!H1465,0)</f>
        <v>0</v>
      </c>
      <c r="J45" s="36">
        <f>IFERROR(aurora_data!I1465,0)</f>
        <v>0</v>
      </c>
      <c r="K45" s="62">
        <f>IFERROR(aurora_data!J1465,0)</f>
        <v>0</v>
      </c>
      <c r="L45" s="62">
        <f>IFERROR(aurora_data!K1465,0)</f>
        <v>0</v>
      </c>
      <c r="M45" s="62">
        <f>IFERROR(aurora_data!L1465,0)</f>
        <v>0</v>
      </c>
      <c r="N45" s="63">
        <f>IFERROR(aurora_data!M1465,0)</f>
        <v>0</v>
      </c>
      <c r="O45" s="36">
        <f>IFERROR(aurora_data!N1465,0)</f>
        <v>0</v>
      </c>
      <c r="P45" s="62">
        <f>IFERROR(aurora_data!O1465,0)</f>
        <v>0</v>
      </c>
      <c r="Q45" s="62">
        <f>IFERROR(aurora_data!P1465,0)</f>
        <v>0</v>
      </c>
      <c r="R45" s="63">
        <f>IFERROR(aurora_data!Q1465,0)</f>
        <v>0</v>
      </c>
      <c r="S45" s="62">
        <f>IFERROR(aurora_data!R1465,0)</f>
        <v>0</v>
      </c>
      <c r="T45" s="62">
        <f>IFERROR(aurora_data!S1465,0)</f>
        <v>0</v>
      </c>
      <c r="U45" s="63">
        <f>IFERROR(aurora_data!T1465,0)</f>
        <v>0</v>
      </c>
      <c r="V45" s="64" t="s">
        <v>95</v>
      </c>
      <c r="W45" s="36">
        <f>IFERROR(aurora_data!U1465,0)</f>
        <v>0</v>
      </c>
      <c r="X45" s="71">
        <f t="shared" ref="X45:X51" si="4">IFERROR(W45/$W$12,0)</f>
        <v>0</v>
      </c>
      <c r="Y45" s="2"/>
    </row>
    <row r="46" spans="1:25" customFormat="1">
      <c r="A46" s="2"/>
      <c r="B46" s="211"/>
      <c r="C46" s="213"/>
      <c r="D46" s="35" t="s">
        <v>60</v>
      </c>
      <c r="E46" s="110">
        <f>IFERROR(aurora_data!D1466,0)</f>
        <v>0</v>
      </c>
      <c r="F46" s="62">
        <f>IFERROR(aurora_data!E1466,0)</f>
        <v>0</v>
      </c>
      <c r="G46" s="62">
        <f>IFERROR(aurora_data!F1466,0)</f>
        <v>0</v>
      </c>
      <c r="H46" s="62">
        <f>IFERROR(aurora_data!G1466,0)</f>
        <v>0</v>
      </c>
      <c r="I46" s="63">
        <f>IFERROR(aurora_data!H1466,0)</f>
        <v>0</v>
      </c>
      <c r="J46" s="36">
        <f>IFERROR(aurora_data!I1466,0)</f>
        <v>0</v>
      </c>
      <c r="K46" s="62">
        <f>IFERROR(aurora_data!J1466,0)</f>
        <v>0</v>
      </c>
      <c r="L46" s="62">
        <f>IFERROR(aurora_data!K1466,0)</f>
        <v>0</v>
      </c>
      <c r="M46" s="62">
        <f>IFERROR(aurora_data!L1466,0)</f>
        <v>0</v>
      </c>
      <c r="N46" s="63">
        <f>IFERROR(aurora_data!M1466,0)</f>
        <v>0</v>
      </c>
      <c r="O46" s="36">
        <f>IFERROR(aurora_data!N1466,0)</f>
        <v>0</v>
      </c>
      <c r="P46" s="62">
        <f>IFERROR(aurora_data!O1466,0)</f>
        <v>0</v>
      </c>
      <c r="Q46" s="62">
        <f>IFERROR(aurora_data!P1466,0)</f>
        <v>0</v>
      </c>
      <c r="R46" s="63">
        <f>IFERROR(aurora_data!Q1466,0)</f>
        <v>0</v>
      </c>
      <c r="S46" s="62">
        <f>IFERROR(aurora_data!R1466,0)</f>
        <v>0</v>
      </c>
      <c r="T46" s="62">
        <f>IFERROR(aurora_data!S1466,0)</f>
        <v>0</v>
      </c>
      <c r="U46" s="63">
        <f>IFERROR(aurora_data!T1466,0)</f>
        <v>0</v>
      </c>
      <c r="V46" s="64" t="s">
        <v>95</v>
      </c>
      <c r="W46" s="36">
        <f>IFERROR(aurora_data!U1466,0)</f>
        <v>0</v>
      </c>
      <c r="X46" s="71">
        <f t="shared" si="4"/>
        <v>0</v>
      </c>
      <c r="Y46" s="2"/>
    </row>
    <row r="47" spans="1:25" customFormat="1">
      <c r="A47" s="2"/>
      <c r="B47" s="211"/>
      <c r="C47" s="213"/>
      <c r="D47" s="35" t="s">
        <v>97</v>
      </c>
      <c r="E47" s="36">
        <f>IFERROR(aurora_data!D1467,0)</f>
        <v>0</v>
      </c>
      <c r="F47" s="62">
        <f>IFERROR(aurora_data!E1467,0)</f>
        <v>0</v>
      </c>
      <c r="G47" s="62">
        <f>IFERROR(aurora_data!F1467,0)</f>
        <v>0</v>
      </c>
      <c r="H47" s="62">
        <f>IFERROR(aurora_data!G1467,0)</f>
        <v>0</v>
      </c>
      <c r="I47" s="63">
        <f>IFERROR(aurora_data!H1467,0)</f>
        <v>0</v>
      </c>
      <c r="J47" s="36">
        <f>IFERROR(aurora_data!I1467,0)</f>
        <v>0</v>
      </c>
      <c r="K47" s="62">
        <f>IFERROR(aurora_data!J1467,0)</f>
        <v>0</v>
      </c>
      <c r="L47" s="62">
        <f>IFERROR(aurora_data!K1467,0)</f>
        <v>0</v>
      </c>
      <c r="M47" s="62">
        <f>IFERROR(aurora_data!L1467,0)</f>
        <v>0</v>
      </c>
      <c r="N47" s="63">
        <f>IFERROR(aurora_data!M1467,0)</f>
        <v>0</v>
      </c>
      <c r="O47" s="36">
        <f>IFERROR(aurora_data!N1467,0)</f>
        <v>0</v>
      </c>
      <c r="P47" s="62">
        <f>IFERROR(aurora_data!O1467,0)</f>
        <v>0</v>
      </c>
      <c r="Q47" s="62">
        <f>IFERROR(aurora_data!P1467,0)</f>
        <v>0</v>
      </c>
      <c r="R47" s="63">
        <f>IFERROR(aurora_data!Q1467,0)</f>
        <v>0</v>
      </c>
      <c r="S47" s="62">
        <f>IFERROR(aurora_data!R1467,0)</f>
        <v>0</v>
      </c>
      <c r="T47" s="62">
        <f>IFERROR(aurora_data!S1467,0)</f>
        <v>0</v>
      </c>
      <c r="U47" s="63">
        <f>IFERROR(aurora_data!T1467,0)</f>
        <v>0</v>
      </c>
      <c r="V47" s="64" t="s">
        <v>95</v>
      </c>
      <c r="W47" s="36">
        <f>IFERROR(aurora_data!U1467,0)</f>
        <v>0</v>
      </c>
      <c r="X47" s="71">
        <f t="shared" si="4"/>
        <v>0</v>
      </c>
      <c r="Y47" s="2"/>
    </row>
    <row r="48" spans="1:25" customFormat="1">
      <c r="A48" s="2"/>
      <c r="B48" s="211"/>
      <c r="C48" s="213"/>
      <c r="D48" s="35" t="s">
        <v>98</v>
      </c>
      <c r="E48" s="36">
        <f>IFERROR(aurora_data!D1468,0)</f>
        <v>0</v>
      </c>
      <c r="F48" s="62">
        <f>IFERROR(aurora_data!E1468,0)</f>
        <v>0</v>
      </c>
      <c r="G48" s="62">
        <f>IFERROR(aurora_data!F1468,0)</f>
        <v>0</v>
      </c>
      <c r="H48" s="62">
        <f>IFERROR(aurora_data!G1468,0)</f>
        <v>0</v>
      </c>
      <c r="I48" s="63">
        <f>IFERROR(aurora_data!H1468,0)</f>
        <v>0</v>
      </c>
      <c r="J48" s="36">
        <f>IFERROR(aurora_data!I1468,0)</f>
        <v>0</v>
      </c>
      <c r="K48" s="62">
        <f>IFERROR(aurora_data!J1468,0)</f>
        <v>0</v>
      </c>
      <c r="L48" s="62">
        <f>IFERROR(aurora_data!K1468,0)</f>
        <v>0</v>
      </c>
      <c r="M48" s="62">
        <f>IFERROR(aurora_data!L1468,0)</f>
        <v>0</v>
      </c>
      <c r="N48" s="63">
        <f>IFERROR(aurora_data!M1468,0)</f>
        <v>0</v>
      </c>
      <c r="O48" s="36">
        <f>IFERROR(aurora_data!N1468,0)</f>
        <v>0</v>
      </c>
      <c r="P48" s="62">
        <f>IFERROR(aurora_data!O1468,0)</f>
        <v>0</v>
      </c>
      <c r="Q48" s="62">
        <f>IFERROR(aurora_data!P1468,0)</f>
        <v>0</v>
      </c>
      <c r="R48" s="63">
        <f>IFERROR(aurora_data!Q1468,0)</f>
        <v>0</v>
      </c>
      <c r="S48" s="62">
        <f>IFERROR(aurora_data!R1468,0)</f>
        <v>0</v>
      </c>
      <c r="T48" s="62">
        <f>IFERROR(aurora_data!S1468,0)</f>
        <v>0</v>
      </c>
      <c r="U48" s="63">
        <f>IFERROR(aurora_data!T1468,0)</f>
        <v>0</v>
      </c>
      <c r="V48" s="64" t="s">
        <v>95</v>
      </c>
      <c r="W48" s="36">
        <f>IFERROR(aurora_data!U1468,0)</f>
        <v>0</v>
      </c>
      <c r="X48" s="71">
        <f t="shared" si="4"/>
        <v>0</v>
      </c>
      <c r="Y48" s="2"/>
    </row>
    <row r="49" spans="1:25" customFormat="1" ht="16.5" thickBot="1">
      <c r="A49" s="2"/>
      <c r="B49" s="211"/>
      <c r="C49" s="213"/>
      <c r="D49" s="35" t="s">
        <v>99</v>
      </c>
      <c r="E49" s="36">
        <f>IFERROR(aurora_data!D1469,0)</f>
        <v>0</v>
      </c>
      <c r="F49" s="62">
        <f>IFERROR(aurora_data!E1469,0)</f>
        <v>0</v>
      </c>
      <c r="G49" s="62">
        <f>IFERROR(aurora_data!F1469,0)</f>
        <v>0</v>
      </c>
      <c r="H49" s="62">
        <f>IFERROR(aurora_data!G1469,0)</f>
        <v>0</v>
      </c>
      <c r="I49" s="63">
        <f>IFERROR(aurora_data!H1469,0)</f>
        <v>0</v>
      </c>
      <c r="J49" s="36">
        <f>IFERROR(aurora_data!I1469,0)</f>
        <v>0</v>
      </c>
      <c r="K49" s="62">
        <f>IFERROR(aurora_data!J1469,0)</f>
        <v>0</v>
      </c>
      <c r="L49" s="62">
        <f>IFERROR(aurora_data!K1469,0)</f>
        <v>0</v>
      </c>
      <c r="M49" s="62">
        <f>IFERROR(aurora_data!L1469,0)</f>
        <v>0</v>
      </c>
      <c r="N49" s="63">
        <f>IFERROR(aurora_data!M1469,0)</f>
        <v>0</v>
      </c>
      <c r="O49" s="36">
        <f>IFERROR(aurora_data!N1469,0)</f>
        <v>0</v>
      </c>
      <c r="P49" s="62">
        <f>IFERROR(aurora_data!O1469,0)</f>
        <v>0</v>
      </c>
      <c r="Q49" s="62">
        <f>IFERROR(aurora_data!P1469,0)</f>
        <v>0</v>
      </c>
      <c r="R49" s="63">
        <f>IFERROR(aurora_data!Q1469,0)</f>
        <v>0</v>
      </c>
      <c r="S49" s="62">
        <f>IFERROR(aurora_data!R1469,0)</f>
        <v>0</v>
      </c>
      <c r="T49" s="62">
        <f>IFERROR(aurora_data!S1469,0)</f>
        <v>0</v>
      </c>
      <c r="U49" s="63">
        <f>IFERROR(aurora_data!T1469,0)</f>
        <v>0</v>
      </c>
      <c r="V49" s="64" t="s">
        <v>95</v>
      </c>
      <c r="W49" s="36">
        <f>IFERROR(aurora_data!U1469,0)</f>
        <v>0</v>
      </c>
      <c r="X49" s="71">
        <f t="shared" si="4"/>
        <v>0</v>
      </c>
      <c r="Y49" s="2"/>
    </row>
    <row r="50" spans="1:25" customFormat="1" ht="16.5" thickBot="1">
      <c r="A50" s="2"/>
      <c r="B50" s="211"/>
      <c r="C50" s="213"/>
      <c r="D50" s="37" t="s">
        <v>64</v>
      </c>
      <c r="E50" s="59">
        <f>IFERROR(aurora_data!D1470,0)</f>
        <v>0</v>
      </c>
      <c r="F50" s="65">
        <f>IFERROR(aurora_data!E1470,0)</f>
        <v>0</v>
      </c>
      <c r="G50" s="65">
        <f>IFERROR(aurora_data!F1470,0)</f>
        <v>0</v>
      </c>
      <c r="H50" s="65">
        <f>IFERROR(aurora_data!G1470,0)</f>
        <v>0</v>
      </c>
      <c r="I50" s="66">
        <f>IFERROR(aurora_data!H1470,0)</f>
        <v>0</v>
      </c>
      <c r="J50" s="59">
        <f>IFERROR(aurora_data!I1470,0)</f>
        <v>0</v>
      </c>
      <c r="K50" s="65">
        <f>IFERROR(aurora_data!J1470,0)</f>
        <v>0</v>
      </c>
      <c r="L50" s="65">
        <f>IFERROR(aurora_data!K1470,0)</f>
        <v>0</v>
      </c>
      <c r="M50" s="65">
        <f>IFERROR(aurora_data!L1470,0)</f>
        <v>0</v>
      </c>
      <c r="N50" s="66">
        <f>IFERROR(aurora_data!M1470,0)</f>
        <v>0</v>
      </c>
      <c r="O50" s="59">
        <f>IFERROR(aurora_data!N1470,0)</f>
        <v>0</v>
      </c>
      <c r="P50" s="65">
        <f>IFERROR(aurora_data!O1470,0)</f>
        <v>0</v>
      </c>
      <c r="Q50" s="65">
        <f>IFERROR(aurora_data!P1470,0)</f>
        <v>0</v>
      </c>
      <c r="R50" s="66">
        <f>IFERROR(aurora_data!Q1470,0)</f>
        <v>0</v>
      </c>
      <c r="S50" s="65">
        <f>IFERROR(aurora_data!R1470,0)</f>
        <v>0</v>
      </c>
      <c r="T50" s="65">
        <f>IFERROR(aurora_data!S1470,0)</f>
        <v>0</v>
      </c>
      <c r="U50" s="66">
        <f>IFERROR(aurora_data!T1470,0)</f>
        <v>0</v>
      </c>
      <c r="V50" s="67" t="s">
        <v>95</v>
      </c>
      <c r="W50" s="59">
        <f>IFERROR(aurora_data!U1470,0)</f>
        <v>0</v>
      </c>
      <c r="X50" s="72">
        <f t="shared" si="4"/>
        <v>0</v>
      </c>
      <c r="Y50" s="2"/>
    </row>
    <row r="51" spans="1:25" customFormat="1" ht="16.5" thickBot="1">
      <c r="A51" s="2"/>
      <c r="B51" s="211"/>
      <c r="C51" s="213"/>
      <c r="D51" s="38" t="s">
        <v>100</v>
      </c>
      <c r="E51" s="60">
        <f>IFERROR(aurora_data!D1471,0)</f>
        <v>0</v>
      </c>
      <c r="F51" s="68">
        <f>IFERROR(aurora_data!E1471,0)</f>
        <v>0</v>
      </c>
      <c r="G51" s="68">
        <f>IFERROR(aurora_data!F1471,0)</f>
        <v>0</v>
      </c>
      <c r="H51" s="68">
        <f>IFERROR(aurora_data!G1471,0)</f>
        <v>0</v>
      </c>
      <c r="I51" s="69">
        <f>IFERROR(aurora_data!H1471,0)</f>
        <v>0</v>
      </c>
      <c r="J51" s="60">
        <f>IFERROR(aurora_data!I1471,0)</f>
        <v>0</v>
      </c>
      <c r="K51" s="68">
        <f>IFERROR(aurora_data!J1471,0)</f>
        <v>0</v>
      </c>
      <c r="L51" s="68">
        <f>IFERROR(aurora_data!K1471,0)</f>
        <v>0</v>
      </c>
      <c r="M51" s="68">
        <f>IFERROR(aurora_data!L1471,0)</f>
        <v>0</v>
      </c>
      <c r="N51" s="69">
        <f>IFERROR(aurora_data!M1471,0)</f>
        <v>0</v>
      </c>
      <c r="O51" s="60">
        <f>IFERROR(aurora_data!N1471,0)</f>
        <v>0</v>
      </c>
      <c r="P51" s="68">
        <f>IFERROR(aurora_data!O1471,0)</f>
        <v>0</v>
      </c>
      <c r="Q51" s="68">
        <f>IFERROR(aurora_data!P1471,0)</f>
        <v>0</v>
      </c>
      <c r="R51" s="69">
        <f>IFERROR(aurora_data!Q1471,0)</f>
        <v>0</v>
      </c>
      <c r="S51" s="68">
        <f>IFERROR(aurora_data!R1471,0)</f>
        <v>0</v>
      </c>
      <c r="T51" s="68">
        <f>IFERROR(aurora_data!S1471,0)</f>
        <v>0</v>
      </c>
      <c r="U51" s="74">
        <f>IFERROR(aurora_data!T1471,0)</f>
        <v>0</v>
      </c>
      <c r="V51" s="75" t="s">
        <v>95</v>
      </c>
      <c r="W51" s="60">
        <f>IFERROR(aurora_data!U1471,0)</f>
        <v>0</v>
      </c>
      <c r="X51" s="73">
        <f t="shared" si="4"/>
        <v>0</v>
      </c>
      <c r="Y51" s="2"/>
    </row>
    <row r="52" spans="1:25" customFormat="1">
      <c r="A52" s="2"/>
      <c r="B52" s="210" t="s">
        <v>94</v>
      </c>
      <c r="C52" s="212" t="str">
        <f>aurora_data!A1472</f>
        <v>11.00.00-11.11.30</v>
      </c>
      <c r="D52" s="34" t="s">
        <v>71</v>
      </c>
      <c r="E52" s="39">
        <f>IFERROR(aurora_data!D1472,0)</f>
        <v>0</v>
      </c>
      <c r="F52" s="40">
        <f>IFERROR(aurora_data!E1472,0)</f>
        <v>0</v>
      </c>
      <c r="G52" s="40">
        <f>IFERROR(aurora_data!F1472,0)</f>
        <v>0</v>
      </c>
      <c r="H52" s="40">
        <f>IFERROR(aurora_data!G1472,0)</f>
        <v>0</v>
      </c>
      <c r="I52" s="41">
        <f>IFERROR(aurora_data!H1472,0)</f>
        <v>0</v>
      </c>
      <c r="J52" s="39">
        <f>IFERROR(aurora_data!I1472,0)</f>
        <v>0</v>
      </c>
      <c r="K52" s="40">
        <f>IFERROR(aurora_data!J1472,0)</f>
        <v>0</v>
      </c>
      <c r="L52" s="40">
        <f>IFERROR(aurora_data!K1472,0)</f>
        <v>0</v>
      </c>
      <c r="M52" s="40">
        <f>IFERROR(aurora_data!L1472,0)</f>
        <v>0</v>
      </c>
      <c r="N52" s="41">
        <f>IFERROR(aurora_data!M1472,0)</f>
        <v>0</v>
      </c>
      <c r="O52" s="39">
        <f>IFERROR(aurora_data!N1472,0)</f>
        <v>0</v>
      </c>
      <c r="P52" s="40">
        <f>IFERROR(aurora_data!O1472,0)</f>
        <v>0</v>
      </c>
      <c r="Q52" s="40">
        <f>IFERROR(aurora_data!P1472,0)</f>
        <v>0</v>
      </c>
      <c r="R52" s="41">
        <f>IFERROR(aurora_data!Q1472,0)</f>
        <v>0</v>
      </c>
      <c r="S52" s="40">
        <f>IFERROR(aurora_data!R1472,0)</f>
        <v>0</v>
      </c>
      <c r="T52" s="40">
        <f>IFERROR(aurora_data!S1472,0)</f>
        <v>0</v>
      </c>
      <c r="U52" s="76">
        <f>IFERROR(aurora_data!T1472,0)</f>
        <v>0</v>
      </c>
      <c r="V52" s="61" t="s">
        <v>95</v>
      </c>
      <c r="W52" s="39">
        <f>IFERROR(aurora_data!U1472,0)</f>
        <v>2</v>
      </c>
      <c r="X52" s="70">
        <f>IFERROR(W52/$W$12,0)</f>
        <v>1</v>
      </c>
      <c r="Y52" s="2"/>
    </row>
    <row r="53" spans="1:25" customFormat="1">
      <c r="A53" s="2"/>
      <c r="B53" s="211"/>
      <c r="C53" s="213"/>
      <c r="D53" s="35" t="s">
        <v>96</v>
      </c>
      <c r="E53" s="110">
        <f>IFERROR(aurora_data!D1473,0)</f>
        <v>0</v>
      </c>
      <c r="F53" s="62">
        <f>IFERROR(aurora_data!E1473,0)</f>
        <v>0</v>
      </c>
      <c r="G53" s="62">
        <f>IFERROR(aurora_data!F1473,0)</f>
        <v>0</v>
      </c>
      <c r="H53" s="62">
        <f>IFERROR(aurora_data!G1473,0)</f>
        <v>0</v>
      </c>
      <c r="I53" s="63">
        <f>IFERROR(aurora_data!H1473,0)</f>
        <v>0</v>
      </c>
      <c r="J53" s="36">
        <f>IFERROR(aurora_data!I1473,0)</f>
        <v>0</v>
      </c>
      <c r="K53" s="62">
        <f>IFERROR(aurora_data!J1473,0)</f>
        <v>0</v>
      </c>
      <c r="L53" s="62">
        <f>IFERROR(aurora_data!K1473,0)</f>
        <v>0</v>
      </c>
      <c r="M53" s="62">
        <f>IFERROR(aurora_data!L1473,0)</f>
        <v>0</v>
      </c>
      <c r="N53" s="63">
        <f>IFERROR(aurora_data!M1473,0)</f>
        <v>0</v>
      </c>
      <c r="O53" s="36">
        <f>IFERROR(aurora_data!N1473,0)</f>
        <v>0</v>
      </c>
      <c r="P53" s="62">
        <f>IFERROR(aurora_data!O1473,0)</f>
        <v>0</v>
      </c>
      <c r="Q53" s="62">
        <f>IFERROR(aurora_data!P1473,0)</f>
        <v>0</v>
      </c>
      <c r="R53" s="63">
        <f>IFERROR(aurora_data!Q1473,0)</f>
        <v>0</v>
      </c>
      <c r="S53" s="62">
        <f>IFERROR(aurora_data!R1473,0)</f>
        <v>0</v>
      </c>
      <c r="T53" s="62">
        <f>IFERROR(aurora_data!S1473,0)</f>
        <v>0</v>
      </c>
      <c r="U53" s="63">
        <f>IFERROR(aurora_data!T1473,0)</f>
        <v>0</v>
      </c>
      <c r="V53" s="64" t="s">
        <v>95</v>
      </c>
      <c r="W53" s="36">
        <f>IFERROR(aurora_data!U1473,0)</f>
        <v>0</v>
      </c>
      <c r="X53" s="71">
        <f t="shared" ref="X53:X59" si="5">IFERROR(W53/$W$12,0)</f>
        <v>0</v>
      </c>
      <c r="Y53" s="2"/>
    </row>
    <row r="54" spans="1:25" customFormat="1">
      <c r="A54" s="2"/>
      <c r="B54" s="211"/>
      <c r="C54" s="213"/>
      <c r="D54" s="35" t="s">
        <v>60</v>
      </c>
      <c r="E54" s="110">
        <f>IFERROR(aurora_data!D1474,0)</f>
        <v>0</v>
      </c>
      <c r="F54" s="62">
        <f>IFERROR(aurora_data!E1474,0)</f>
        <v>0</v>
      </c>
      <c r="G54" s="62">
        <f>IFERROR(aurora_data!F1474,0)</f>
        <v>0</v>
      </c>
      <c r="H54" s="62">
        <f>IFERROR(aurora_data!G1474,0)</f>
        <v>0</v>
      </c>
      <c r="I54" s="63">
        <f>IFERROR(aurora_data!H1474,0)</f>
        <v>0</v>
      </c>
      <c r="J54" s="36">
        <f>IFERROR(aurora_data!I1474,0)</f>
        <v>0</v>
      </c>
      <c r="K54" s="62">
        <f>IFERROR(aurora_data!J1474,0)</f>
        <v>0</v>
      </c>
      <c r="L54" s="62">
        <f>IFERROR(aurora_data!K1474,0)</f>
        <v>0</v>
      </c>
      <c r="M54" s="62">
        <f>IFERROR(aurora_data!L1474,0)</f>
        <v>0</v>
      </c>
      <c r="N54" s="63">
        <f>IFERROR(aurora_data!M1474,0)</f>
        <v>0</v>
      </c>
      <c r="O54" s="36">
        <f>IFERROR(aurora_data!N1474,0)</f>
        <v>0</v>
      </c>
      <c r="P54" s="62">
        <f>IFERROR(aurora_data!O1474,0)</f>
        <v>0</v>
      </c>
      <c r="Q54" s="62">
        <f>IFERROR(aurora_data!P1474,0)</f>
        <v>0</v>
      </c>
      <c r="R54" s="63">
        <f>IFERROR(aurora_data!Q1474,0)</f>
        <v>0</v>
      </c>
      <c r="S54" s="62">
        <f>IFERROR(aurora_data!R1474,0)</f>
        <v>0</v>
      </c>
      <c r="T54" s="62">
        <f>IFERROR(aurora_data!S1474,0)</f>
        <v>0</v>
      </c>
      <c r="U54" s="63">
        <f>IFERROR(aurora_data!T1474,0)</f>
        <v>0</v>
      </c>
      <c r="V54" s="64" t="s">
        <v>95</v>
      </c>
      <c r="W54" s="36">
        <f>IFERROR(aurora_data!U1474,0)</f>
        <v>0</v>
      </c>
      <c r="X54" s="71">
        <f t="shared" si="5"/>
        <v>0</v>
      </c>
      <c r="Y54" s="2"/>
    </row>
    <row r="55" spans="1:25" customFormat="1">
      <c r="A55" s="2"/>
      <c r="B55" s="211"/>
      <c r="C55" s="213"/>
      <c r="D55" s="35" t="s">
        <v>97</v>
      </c>
      <c r="E55" s="36">
        <f>IFERROR(aurora_data!D1475,0)</f>
        <v>0</v>
      </c>
      <c r="F55" s="62">
        <f>IFERROR(aurora_data!E1475,0)</f>
        <v>0</v>
      </c>
      <c r="G55" s="62">
        <f>IFERROR(aurora_data!F1475,0)</f>
        <v>0</v>
      </c>
      <c r="H55" s="62">
        <f>IFERROR(aurora_data!G1475,0)</f>
        <v>0</v>
      </c>
      <c r="I55" s="63">
        <f>IFERROR(aurora_data!H1475,0)</f>
        <v>0</v>
      </c>
      <c r="J55" s="36">
        <f>IFERROR(aurora_data!I1475,0)</f>
        <v>0</v>
      </c>
      <c r="K55" s="62">
        <f>IFERROR(aurora_data!J1475,0)</f>
        <v>0</v>
      </c>
      <c r="L55" s="62">
        <f>IFERROR(aurora_data!K1475,0)</f>
        <v>0</v>
      </c>
      <c r="M55" s="62">
        <f>IFERROR(aurora_data!L1475,0)</f>
        <v>0</v>
      </c>
      <c r="N55" s="63">
        <f>IFERROR(aurora_data!M1475,0)</f>
        <v>0</v>
      </c>
      <c r="O55" s="36">
        <f>IFERROR(aurora_data!N1475,0)</f>
        <v>0</v>
      </c>
      <c r="P55" s="62">
        <f>IFERROR(aurora_data!O1475,0)</f>
        <v>0</v>
      </c>
      <c r="Q55" s="62">
        <f>IFERROR(aurora_data!P1475,0)</f>
        <v>0</v>
      </c>
      <c r="R55" s="63">
        <f>IFERROR(aurora_data!Q1475,0)</f>
        <v>0</v>
      </c>
      <c r="S55" s="62">
        <f>IFERROR(aurora_data!R1475,0)</f>
        <v>0</v>
      </c>
      <c r="T55" s="62">
        <f>IFERROR(aurora_data!S1475,0)</f>
        <v>0</v>
      </c>
      <c r="U55" s="63">
        <f>IFERROR(aurora_data!T1475,0)</f>
        <v>0</v>
      </c>
      <c r="V55" s="64" t="s">
        <v>95</v>
      </c>
      <c r="W55" s="36">
        <f>IFERROR(aurora_data!U1475,0)</f>
        <v>0</v>
      </c>
      <c r="X55" s="71">
        <f t="shared" si="5"/>
        <v>0</v>
      </c>
      <c r="Y55" s="2"/>
    </row>
    <row r="56" spans="1:25" customFormat="1">
      <c r="A56" s="2"/>
      <c r="B56" s="211"/>
      <c r="C56" s="213"/>
      <c r="D56" s="35" t="s">
        <v>98</v>
      </c>
      <c r="E56" s="36">
        <f>IFERROR(aurora_data!D1476,0)</f>
        <v>0</v>
      </c>
      <c r="F56" s="62">
        <f>IFERROR(aurora_data!E1476,0)</f>
        <v>0</v>
      </c>
      <c r="G56" s="62">
        <f>IFERROR(aurora_data!F1476,0)</f>
        <v>0</v>
      </c>
      <c r="H56" s="62">
        <f>IFERROR(aurora_data!G1476,0)</f>
        <v>0</v>
      </c>
      <c r="I56" s="63">
        <f>IFERROR(aurora_data!H1476,0)</f>
        <v>0</v>
      </c>
      <c r="J56" s="36">
        <f>IFERROR(aurora_data!I1476,0)</f>
        <v>0</v>
      </c>
      <c r="K56" s="62">
        <f>IFERROR(aurora_data!J1476,0)</f>
        <v>0</v>
      </c>
      <c r="L56" s="62">
        <f>IFERROR(aurora_data!K1476,0)</f>
        <v>0</v>
      </c>
      <c r="M56" s="62">
        <f>IFERROR(aurora_data!L1476,0)</f>
        <v>0</v>
      </c>
      <c r="N56" s="63">
        <f>IFERROR(aurora_data!M1476,0)</f>
        <v>0</v>
      </c>
      <c r="O56" s="36">
        <f>IFERROR(aurora_data!N1476,0)</f>
        <v>0</v>
      </c>
      <c r="P56" s="62">
        <f>IFERROR(aurora_data!O1476,0)</f>
        <v>0</v>
      </c>
      <c r="Q56" s="62">
        <f>IFERROR(aurora_data!P1476,0)</f>
        <v>0</v>
      </c>
      <c r="R56" s="63">
        <f>IFERROR(aurora_data!Q1476,0)</f>
        <v>0</v>
      </c>
      <c r="S56" s="62">
        <f>IFERROR(aurora_data!R1476,0)</f>
        <v>0</v>
      </c>
      <c r="T56" s="62">
        <f>IFERROR(aurora_data!S1476,0)</f>
        <v>0</v>
      </c>
      <c r="U56" s="63">
        <f>IFERROR(aurora_data!T1476,0)</f>
        <v>0</v>
      </c>
      <c r="V56" s="64" t="s">
        <v>95</v>
      </c>
      <c r="W56" s="36">
        <f>IFERROR(aurora_data!U1476,0)</f>
        <v>0</v>
      </c>
      <c r="X56" s="71">
        <f t="shared" si="5"/>
        <v>0</v>
      </c>
      <c r="Y56" s="2"/>
    </row>
    <row r="57" spans="1:25" customFormat="1" ht="16.5" thickBot="1">
      <c r="A57" s="2"/>
      <c r="B57" s="211"/>
      <c r="C57" s="213"/>
      <c r="D57" s="35" t="s">
        <v>99</v>
      </c>
      <c r="E57" s="36">
        <f>IFERROR(aurora_data!D1477,0)</f>
        <v>0</v>
      </c>
      <c r="F57" s="62">
        <f>IFERROR(aurora_data!E1477,0)</f>
        <v>0</v>
      </c>
      <c r="G57" s="62">
        <f>IFERROR(aurora_data!F1477,0)</f>
        <v>0</v>
      </c>
      <c r="H57" s="62">
        <f>IFERROR(aurora_data!G1477,0)</f>
        <v>0</v>
      </c>
      <c r="I57" s="63">
        <f>IFERROR(aurora_data!H1477,0)</f>
        <v>0</v>
      </c>
      <c r="J57" s="36">
        <f>IFERROR(aurora_data!I1477,0)</f>
        <v>0</v>
      </c>
      <c r="K57" s="62">
        <f>IFERROR(aurora_data!J1477,0)</f>
        <v>0</v>
      </c>
      <c r="L57" s="62">
        <f>IFERROR(aurora_data!K1477,0)</f>
        <v>0</v>
      </c>
      <c r="M57" s="62">
        <f>IFERROR(aurora_data!L1477,0)</f>
        <v>0</v>
      </c>
      <c r="N57" s="63">
        <f>IFERROR(aurora_data!M1477,0)</f>
        <v>0</v>
      </c>
      <c r="O57" s="36">
        <f>IFERROR(aurora_data!N1477,0)</f>
        <v>0</v>
      </c>
      <c r="P57" s="62">
        <f>IFERROR(aurora_data!O1477,0)</f>
        <v>0</v>
      </c>
      <c r="Q57" s="62">
        <f>IFERROR(aurora_data!P1477,0)</f>
        <v>0</v>
      </c>
      <c r="R57" s="63">
        <f>IFERROR(aurora_data!Q1477,0)</f>
        <v>0</v>
      </c>
      <c r="S57" s="62">
        <f>IFERROR(aurora_data!R1477,0)</f>
        <v>0</v>
      </c>
      <c r="T57" s="62">
        <f>IFERROR(aurora_data!S1477,0)</f>
        <v>0</v>
      </c>
      <c r="U57" s="63">
        <f>IFERROR(aurora_data!T1477,0)</f>
        <v>0</v>
      </c>
      <c r="V57" s="64" t="s">
        <v>95</v>
      </c>
      <c r="W57" s="36">
        <f>IFERROR(aurora_data!U1477,0)</f>
        <v>0</v>
      </c>
      <c r="X57" s="71">
        <f t="shared" si="5"/>
        <v>0</v>
      </c>
      <c r="Y57" s="2"/>
    </row>
    <row r="58" spans="1:25" customFormat="1" ht="16.5" thickBot="1">
      <c r="A58" s="2"/>
      <c r="B58" s="211"/>
      <c r="C58" s="213"/>
      <c r="D58" s="37" t="s">
        <v>64</v>
      </c>
      <c r="E58" s="59">
        <f>IFERROR(aurora_data!D1478,0)</f>
        <v>0</v>
      </c>
      <c r="F58" s="65">
        <f>IFERROR(aurora_data!E1478,0)</f>
        <v>0</v>
      </c>
      <c r="G58" s="65">
        <f>IFERROR(aurora_data!F1478,0)</f>
        <v>0</v>
      </c>
      <c r="H58" s="65">
        <f>IFERROR(aurora_data!G1478,0)</f>
        <v>0</v>
      </c>
      <c r="I58" s="66">
        <f>IFERROR(aurora_data!H1478,0)</f>
        <v>0</v>
      </c>
      <c r="J58" s="59">
        <f>IFERROR(aurora_data!I1478,0)</f>
        <v>0</v>
      </c>
      <c r="K58" s="65">
        <f>IFERROR(aurora_data!J1478,0)</f>
        <v>0</v>
      </c>
      <c r="L58" s="65">
        <f>IFERROR(aurora_data!K1478,0)</f>
        <v>0</v>
      </c>
      <c r="M58" s="65">
        <f>IFERROR(aurora_data!L1478,0)</f>
        <v>0</v>
      </c>
      <c r="N58" s="66">
        <f>IFERROR(aurora_data!M1478,0)</f>
        <v>0</v>
      </c>
      <c r="O58" s="59">
        <f>IFERROR(aurora_data!N1478,0)</f>
        <v>0</v>
      </c>
      <c r="P58" s="65">
        <f>IFERROR(aurora_data!O1478,0)</f>
        <v>0</v>
      </c>
      <c r="Q58" s="65">
        <f>IFERROR(aurora_data!P1478,0)</f>
        <v>0</v>
      </c>
      <c r="R58" s="66">
        <f>IFERROR(aurora_data!Q1478,0)</f>
        <v>0</v>
      </c>
      <c r="S58" s="65">
        <f>IFERROR(aurora_data!R1478,0)</f>
        <v>0</v>
      </c>
      <c r="T58" s="65">
        <f>IFERROR(aurora_data!S1478,0)</f>
        <v>0</v>
      </c>
      <c r="U58" s="66">
        <f>IFERROR(aurora_data!T1478,0)</f>
        <v>0</v>
      </c>
      <c r="V58" s="67" t="s">
        <v>95</v>
      </c>
      <c r="W58" s="59">
        <f>IFERROR(aurora_data!U1478,0)</f>
        <v>0</v>
      </c>
      <c r="X58" s="72">
        <f t="shared" si="5"/>
        <v>0</v>
      </c>
      <c r="Y58" s="2"/>
    </row>
    <row r="59" spans="1:25" customFormat="1" ht="16.5" thickBot="1">
      <c r="A59" s="2"/>
      <c r="B59" s="211"/>
      <c r="C59" s="213"/>
      <c r="D59" s="38" t="s">
        <v>100</v>
      </c>
      <c r="E59" s="60">
        <f>IFERROR(aurora_data!D1479,0)</f>
        <v>0</v>
      </c>
      <c r="F59" s="68">
        <f>IFERROR(aurora_data!E1479,0)</f>
        <v>0</v>
      </c>
      <c r="G59" s="68">
        <f>IFERROR(aurora_data!F1479,0)</f>
        <v>0</v>
      </c>
      <c r="H59" s="68">
        <f>IFERROR(aurora_data!G1479,0)</f>
        <v>0</v>
      </c>
      <c r="I59" s="69">
        <f>IFERROR(aurora_data!H1479,0)</f>
        <v>0</v>
      </c>
      <c r="J59" s="60">
        <f>IFERROR(aurora_data!I1479,0)</f>
        <v>0</v>
      </c>
      <c r="K59" s="68">
        <f>IFERROR(aurora_data!J1479,0)</f>
        <v>0</v>
      </c>
      <c r="L59" s="68">
        <f>IFERROR(aurora_data!K1479,0)</f>
        <v>0</v>
      </c>
      <c r="M59" s="68">
        <f>IFERROR(aurora_data!L1479,0)</f>
        <v>0</v>
      </c>
      <c r="N59" s="69">
        <f>IFERROR(aurora_data!M1479,0)</f>
        <v>0</v>
      </c>
      <c r="O59" s="60">
        <f>IFERROR(aurora_data!N1479,0)</f>
        <v>0</v>
      </c>
      <c r="P59" s="68">
        <f>IFERROR(aurora_data!O1479,0)</f>
        <v>0</v>
      </c>
      <c r="Q59" s="68">
        <f>IFERROR(aurora_data!P1479,0)</f>
        <v>0</v>
      </c>
      <c r="R59" s="69">
        <f>IFERROR(aurora_data!Q1479,0)</f>
        <v>0</v>
      </c>
      <c r="S59" s="68">
        <f>IFERROR(aurora_data!R1479,0)</f>
        <v>0</v>
      </c>
      <c r="T59" s="68">
        <f>IFERROR(aurora_data!S1479,0)</f>
        <v>0</v>
      </c>
      <c r="U59" s="74">
        <f>IFERROR(aurora_data!T1479,0)</f>
        <v>0</v>
      </c>
      <c r="V59" s="75" t="s">
        <v>95</v>
      </c>
      <c r="W59" s="60">
        <f>IFERROR(aurora_data!U1479,0)</f>
        <v>0</v>
      </c>
      <c r="X59" s="73">
        <f t="shared" si="5"/>
        <v>0</v>
      </c>
      <c r="Y59" s="2"/>
    </row>
    <row r="60" spans="1:25" customFormat="1">
      <c r="A60" s="2"/>
      <c r="B60" s="210" t="s">
        <v>94</v>
      </c>
      <c r="C60" s="212" t="str">
        <f>aurora_data!A1480</f>
        <v>12.00.00-12.11.30</v>
      </c>
      <c r="D60" s="34" t="s">
        <v>71</v>
      </c>
      <c r="E60" s="39">
        <f>IFERROR(aurora_data!D1480,0)</f>
        <v>0</v>
      </c>
      <c r="F60" s="40">
        <f>IFERROR(aurora_data!E1480,0)</f>
        <v>0</v>
      </c>
      <c r="G60" s="40">
        <f>IFERROR(aurora_data!F1480,0)</f>
        <v>0</v>
      </c>
      <c r="H60" s="40">
        <f>IFERROR(aurora_data!G1480,0)</f>
        <v>0</v>
      </c>
      <c r="I60" s="41">
        <f>IFERROR(aurora_data!H1480,0)</f>
        <v>0</v>
      </c>
      <c r="J60" s="39">
        <f>IFERROR(aurora_data!I1480,0)</f>
        <v>0</v>
      </c>
      <c r="K60" s="40">
        <f>IFERROR(aurora_data!J1480,0)</f>
        <v>0</v>
      </c>
      <c r="L60" s="40">
        <f>IFERROR(aurora_data!K1480,0)</f>
        <v>0</v>
      </c>
      <c r="M60" s="40">
        <f>IFERROR(aurora_data!L1480,0)</f>
        <v>0</v>
      </c>
      <c r="N60" s="41">
        <f>IFERROR(aurora_data!M1480,0)</f>
        <v>0</v>
      </c>
      <c r="O60" s="39">
        <f>IFERROR(aurora_data!N1480,0)</f>
        <v>0</v>
      </c>
      <c r="P60" s="40">
        <f>IFERROR(aurora_data!O1480,0)</f>
        <v>0</v>
      </c>
      <c r="Q60" s="40">
        <f>IFERROR(aurora_data!P1480,0)</f>
        <v>0</v>
      </c>
      <c r="R60" s="41">
        <f>IFERROR(aurora_data!Q1480,0)</f>
        <v>0</v>
      </c>
      <c r="S60" s="40">
        <f>IFERROR(aurora_data!R1480,0)</f>
        <v>0</v>
      </c>
      <c r="T60" s="40">
        <f>IFERROR(aurora_data!S1480,0)</f>
        <v>0</v>
      </c>
      <c r="U60" s="76">
        <f>IFERROR(aurora_data!T1480,0)</f>
        <v>0</v>
      </c>
      <c r="V60" s="61" t="s">
        <v>95</v>
      </c>
      <c r="W60" s="39">
        <f>IFERROR(aurora_data!U1480,0)</f>
        <v>3</v>
      </c>
      <c r="X60" s="70">
        <f>IFERROR(W60/$W$12,0)</f>
        <v>1.5</v>
      </c>
      <c r="Y60" s="2"/>
    </row>
    <row r="61" spans="1:25" customFormat="1">
      <c r="A61" s="2"/>
      <c r="B61" s="211"/>
      <c r="C61" s="213"/>
      <c r="D61" s="35" t="s">
        <v>96</v>
      </c>
      <c r="E61" s="110">
        <f>IFERROR(aurora_data!D1481,0)</f>
        <v>0</v>
      </c>
      <c r="F61" s="62">
        <f>IFERROR(aurora_data!E1481,0)</f>
        <v>0</v>
      </c>
      <c r="G61" s="62">
        <f>IFERROR(aurora_data!F1481,0)</f>
        <v>0</v>
      </c>
      <c r="H61" s="62">
        <f>IFERROR(aurora_data!G1481,0)</f>
        <v>0</v>
      </c>
      <c r="I61" s="63">
        <f>IFERROR(aurora_data!H1481,0)</f>
        <v>0</v>
      </c>
      <c r="J61" s="36">
        <f>IFERROR(aurora_data!I1481,0)</f>
        <v>0</v>
      </c>
      <c r="K61" s="62">
        <f>IFERROR(aurora_data!J1481,0)</f>
        <v>0</v>
      </c>
      <c r="L61" s="62">
        <f>IFERROR(aurora_data!K1481,0)</f>
        <v>0</v>
      </c>
      <c r="M61" s="62">
        <f>IFERROR(aurora_data!L1481,0)</f>
        <v>0</v>
      </c>
      <c r="N61" s="63">
        <f>IFERROR(aurora_data!M1481,0)</f>
        <v>0</v>
      </c>
      <c r="O61" s="36">
        <f>IFERROR(aurora_data!N1481,0)</f>
        <v>0</v>
      </c>
      <c r="P61" s="62">
        <f>IFERROR(aurora_data!O1481,0)</f>
        <v>0</v>
      </c>
      <c r="Q61" s="62">
        <f>IFERROR(aurora_data!P1481,0)</f>
        <v>0</v>
      </c>
      <c r="R61" s="63">
        <f>IFERROR(aurora_data!Q1481,0)</f>
        <v>0</v>
      </c>
      <c r="S61" s="62">
        <f>IFERROR(aurora_data!R1481,0)</f>
        <v>0</v>
      </c>
      <c r="T61" s="62">
        <f>IFERROR(aurora_data!S1481,0)</f>
        <v>0</v>
      </c>
      <c r="U61" s="63">
        <f>IFERROR(aurora_data!T1481,0)</f>
        <v>0</v>
      </c>
      <c r="V61" s="64" t="s">
        <v>95</v>
      </c>
      <c r="W61" s="36">
        <f>IFERROR(aurora_data!U1481,0)</f>
        <v>0</v>
      </c>
      <c r="X61" s="71">
        <f t="shared" ref="X61:X67" si="6">IFERROR(W61/$W$12,0)</f>
        <v>0</v>
      </c>
      <c r="Y61" s="2"/>
    </row>
    <row r="62" spans="1:25" customFormat="1">
      <c r="A62" s="2"/>
      <c r="B62" s="211"/>
      <c r="C62" s="213"/>
      <c r="D62" s="35" t="s">
        <v>60</v>
      </c>
      <c r="E62" s="110">
        <f>IFERROR(aurora_data!D1482,0)</f>
        <v>0</v>
      </c>
      <c r="F62" s="62">
        <f>IFERROR(aurora_data!E1482,0)</f>
        <v>0</v>
      </c>
      <c r="G62" s="62">
        <f>IFERROR(aurora_data!F1482,0)</f>
        <v>0</v>
      </c>
      <c r="H62" s="62">
        <f>IFERROR(aurora_data!G1482,0)</f>
        <v>0</v>
      </c>
      <c r="I62" s="63">
        <f>IFERROR(aurora_data!H1482,0)</f>
        <v>0</v>
      </c>
      <c r="J62" s="36">
        <f>IFERROR(aurora_data!I1482,0)</f>
        <v>0</v>
      </c>
      <c r="K62" s="62">
        <f>IFERROR(aurora_data!J1482,0)</f>
        <v>0</v>
      </c>
      <c r="L62" s="62">
        <f>IFERROR(aurora_data!K1482,0)</f>
        <v>0</v>
      </c>
      <c r="M62" s="62">
        <f>IFERROR(aurora_data!L1482,0)</f>
        <v>0</v>
      </c>
      <c r="N62" s="63">
        <f>IFERROR(aurora_data!M1482,0)</f>
        <v>0</v>
      </c>
      <c r="O62" s="36">
        <f>IFERROR(aurora_data!N1482,0)</f>
        <v>0</v>
      </c>
      <c r="P62" s="62">
        <f>IFERROR(aurora_data!O1482,0)</f>
        <v>0</v>
      </c>
      <c r="Q62" s="62">
        <f>IFERROR(aurora_data!P1482,0)</f>
        <v>0</v>
      </c>
      <c r="R62" s="63">
        <f>IFERROR(aurora_data!Q1482,0)</f>
        <v>0</v>
      </c>
      <c r="S62" s="62">
        <f>IFERROR(aurora_data!R1482,0)</f>
        <v>0</v>
      </c>
      <c r="T62" s="62">
        <f>IFERROR(aurora_data!S1482,0)</f>
        <v>0</v>
      </c>
      <c r="U62" s="63">
        <f>IFERROR(aurora_data!T1482,0)</f>
        <v>0</v>
      </c>
      <c r="V62" s="64" t="s">
        <v>95</v>
      </c>
      <c r="W62" s="36">
        <f>IFERROR(aurora_data!U1482,0)</f>
        <v>0</v>
      </c>
      <c r="X62" s="71">
        <f t="shared" si="6"/>
        <v>0</v>
      </c>
      <c r="Y62" s="2"/>
    </row>
    <row r="63" spans="1:25" customFormat="1">
      <c r="A63" s="2"/>
      <c r="B63" s="211"/>
      <c r="C63" s="213"/>
      <c r="D63" s="35" t="s">
        <v>97</v>
      </c>
      <c r="E63" s="36">
        <f>IFERROR(aurora_data!D1483,0)</f>
        <v>0</v>
      </c>
      <c r="F63" s="62">
        <f>IFERROR(aurora_data!E1483,0)</f>
        <v>0</v>
      </c>
      <c r="G63" s="62">
        <f>IFERROR(aurora_data!F1483,0)</f>
        <v>0</v>
      </c>
      <c r="H63" s="62">
        <f>IFERROR(aurora_data!G1483,0)</f>
        <v>0</v>
      </c>
      <c r="I63" s="63">
        <f>IFERROR(aurora_data!H1483,0)</f>
        <v>0</v>
      </c>
      <c r="J63" s="36">
        <f>IFERROR(aurora_data!I1483,0)</f>
        <v>0</v>
      </c>
      <c r="K63" s="62">
        <f>IFERROR(aurora_data!J1483,0)</f>
        <v>0</v>
      </c>
      <c r="L63" s="62">
        <f>IFERROR(aurora_data!K1483,0)</f>
        <v>0</v>
      </c>
      <c r="M63" s="62">
        <f>IFERROR(aurora_data!L1483,0)</f>
        <v>0</v>
      </c>
      <c r="N63" s="63">
        <f>IFERROR(aurora_data!M1483,0)</f>
        <v>0</v>
      </c>
      <c r="O63" s="36">
        <f>IFERROR(aurora_data!N1483,0)</f>
        <v>0</v>
      </c>
      <c r="P63" s="62">
        <f>IFERROR(aurora_data!O1483,0)</f>
        <v>0</v>
      </c>
      <c r="Q63" s="62">
        <f>IFERROR(aurora_data!P1483,0)</f>
        <v>0</v>
      </c>
      <c r="R63" s="63">
        <f>IFERROR(aurora_data!Q1483,0)</f>
        <v>0</v>
      </c>
      <c r="S63" s="62">
        <f>IFERROR(aurora_data!R1483,0)</f>
        <v>0</v>
      </c>
      <c r="T63" s="62">
        <f>IFERROR(aurora_data!S1483,0)</f>
        <v>0</v>
      </c>
      <c r="U63" s="63">
        <f>IFERROR(aurora_data!T1483,0)</f>
        <v>0</v>
      </c>
      <c r="V63" s="64" t="s">
        <v>95</v>
      </c>
      <c r="W63" s="36">
        <f>IFERROR(aurora_data!U1483,0)</f>
        <v>0</v>
      </c>
      <c r="X63" s="71">
        <f t="shared" si="6"/>
        <v>0</v>
      </c>
      <c r="Y63" s="2"/>
    </row>
    <row r="64" spans="1:25" customFormat="1">
      <c r="A64" s="2"/>
      <c r="B64" s="211"/>
      <c r="C64" s="213"/>
      <c r="D64" s="35" t="s">
        <v>98</v>
      </c>
      <c r="E64" s="36">
        <f>IFERROR(aurora_data!D1484,0)</f>
        <v>0</v>
      </c>
      <c r="F64" s="62">
        <f>IFERROR(aurora_data!E1484,0)</f>
        <v>0</v>
      </c>
      <c r="G64" s="62">
        <f>IFERROR(aurora_data!F1484,0)</f>
        <v>0</v>
      </c>
      <c r="H64" s="62">
        <f>IFERROR(aurora_data!G1484,0)</f>
        <v>0</v>
      </c>
      <c r="I64" s="63">
        <f>IFERROR(aurora_data!H1484,0)</f>
        <v>0</v>
      </c>
      <c r="J64" s="36">
        <f>IFERROR(aurora_data!I1484,0)</f>
        <v>0</v>
      </c>
      <c r="K64" s="62">
        <f>IFERROR(aurora_data!J1484,0)</f>
        <v>0</v>
      </c>
      <c r="L64" s="62">
        <f>IFERROR(aurora_data!K1484,0)</f>
        <v>0</v>
      </c>
      <c r="M64" s="62">
        <f>IFERROR(aurora_data!L1484,0)</f>
        <v>0</v>
      </c>
      <c r="N64" s="63">
        <f>IFERROR(aurora_data!M1484,0)</f>
        <v>0</v>
      </c>
      <c r="O64" s="36">
        <f>IFERROR(aurora_data!N1484,0)</f>
        <v>0</v>
      </c>
      <c r="P64" s="62">
        <f>IFERROR(aurora_data!O1484,0)</f>
        <v>0</v>
      </c>
      <c r="Q64" s="62">
        <f>IFERROR(aurora_data!P1484,0)</f>
        <v>0</v>
      </c>
      <c r="R64" s="63">
        <f>IFERROR(aurora_data!Q1484,0)</f>
        <v>0</v>
      </c>
      <c r="S64" s="62">
        <f>IFERROR(aurora_data!R1484,0)</f>
        <v>0</v>
      </c>
      <c r="T64" s="62">
        <f>IFERROR(aurora_data!S1484,0)</f>
        <v>0</v>
      </c>
      <c r="U64" s="63">
        <f>IFERROR(aurora_data!T1484,0)</f>
        <v>0</v>
      </c>
      <c r="V64" s="64" t="s">
        <v>95</v>
      </c>
      <c r="W64" s="36">
        <f>IFERROR(aurora_data!U1484,0)</f>
        <v>0</v>
      </c>
      <c r="X64" s="71">
        <f t="shared" si="6"/>
        <v>0</v>
      </c>
      <c r="Y64" s="2"/>
    </row>
    <row r="65" spans="1:25" customFormat="1" ht="16.5" thickBot="1">
      <c r="A65" s="2"/>
      <c r="B65" s="211"/>
      <c r="C65" s="213"/>
      <c r="D65" s="35" t="s">
        <v>99</v>
      </c>
      <c r="E65" s="36">
        <f>IFERROR(aurora_data!D1485,0)</f>
        <v>0</v>
      </c>
      <c r="F65" s="62">
        <f>IFERROR(aurora_data!E1485,0)</f>
        <v>0</v>
      </c>
      <c r="G65" s="62">
        <f>IFERROR(aurora_data!F1485,0)</f>
        <v>0</v>
      </c>
      <c r="H65" s="62">
        <f>IFERROR(aurora_data!G1485,0)</f>
        <v>0</v>
      </c>
      <c r="I65" s="63">
        <f>IFERROR(aurora_data!H1485,0)</f>
        <v>0</v>
      </c>
      <c r="J65" s="36">
        <f>IFERROR(aurora_data!I1485,0)</f>
        <v>0</v>
      </c>
      <c r="K65" s="62">
        <f>IFERROR(aurora_data!J1485,0)</f>
        <v>0</v>
      </c>
      <c r="L65" s="62">
        <f>IFERROR(aurora_data!K1485,0)</f>
        <v>0</v>
      </c>
      <c r="M65" s="62">
        <f>IFERROR(aurora_data!L1485,0)</f>
        <v>0</v>
      </c>
      <c r="N65" s="63">
        <f>IFERROR(aurora_data!M1485,0)</f>
        <v>0</v>
      </c>
      <c r="O65" s="36">
        <f>IFERROR(aurora_data!N1485,0)</f>
        <v>0</v>
      </c>
      <c r="P65" s="62">
        <f>IFERROR(aurora_data!O1485,0)</f>
        <v>0</v>
      </c>
      <c r="Q65" s="62">
        <f>IFERROR(aurora_data!P1485,0)</f>
        <v>0</v>
      </c>
      <c r="R65" s="63">
        <f>IFERROR(aurora_data!Q1485,0)</f>
        <v>0</v>
      </c>
      <c r="S65" s="62">
        <f>IFERROR(aurora_data!R1485,0)</f>
        <v>0</v>
      </c>
      <c r="T65" s="62">
        <f>IFERROR(aurora_data!S1485,0)</f>
        <v>0</v>
      </c>
      <c r="U65" s="63">
        <f>IFERROR(aurora_data!T1485,0)</f>
        <v>0</v>
      </c>
      <c r="V65" s="64" t="s">
        <v>95</v>
      </c>
      <c r="W65" s="36">
        <f>IFERROR(aurora_data!U1485,0)</f>
        <v>0</v>
      </c>
      <c r="X65" s="71">
        <f t="shared" si="6"/>
        <v>0</v>
      </c>
      <c r="Y65" s="2"/>
    </row>
    <row r="66" spans="1:25" customFormat="1" ht="16.5" thickBot="1">
      <c r="A66" s="2"/>
      <c r="B66" s="211"/>
      <c r="C66" s="213"/>
      <c r="D66" s="37" t="s">
        <v>64</v>
      </c>
      <c r="E66" s="59">
        <f>IFERROR(aurora_data!D1486,0)</f>
        <v>0</v>
      </c>
      <c r="F66" s="65">
        <f>IFERROR(aurora_data!E1486,0)</f>
        <v>0</v>
      </c>
      <c r="G66" s="65">
        <f>IFERROR(aurora_data!F1486,0)</f>
        <v>0</v>
      </c>
      <c r="H66" s="65">
        <f>IFERROR(aurora_data!G1486,0)</f>
        <v>0</v>
      </c>
      <c r="I66" s="66">
        <f>IFERROR(aurora_data!H1486,0)</f>
        <v>0</v>
      </c>
      <c r="J66" s="59">
        <f>IFERROR(aurora_data!I1486,0)</f>
        <v>0</v>
      </c>
      <c r="K66" s="65">
        <f>IFERROR(aurora_data!J1486,0)</f>
        <v>0</v>
      </c>
      <c r="L66" s="65">
        <f>IFERROR(aurora_data!K1486,0)</f>
        <v>0</v>
      </c>
      <c r="M66" s="65">
        <f>IFERROR(aurora_data!L1486,0)</f>
        <v>0</v>
      </c>
      <c r="N66" s="66">
        <f>IFERROR(aurora_data!M1486,0)</f>
        <v>0</v>
      </c>
      <c r="O66" s="59">
        <f>IFERROR(aurora_data!N1486,0)</f>
        <v>0</v>
      </c>
      <c r="P66" s="65">
        <f>IFERROR(aurora_data!O1486,0)</f>
        <v>0</v>
      </c>
      <c r="Q66" s="65">
        <f>IFERROR(aurora_data!P1486,0)</f>
        <v>0</v>
      </c>
      <c r="R66" s="66">
        <f>IFERROR(aurora_data!Q1486,0)</f>
        <v>0</v>
      </c>
      <c r="S66" s="65">
        <f>IFERROR(aurora_data!R1486,0)</f>
        <v>0</v>
      </c>
      <c r="T66" s="65">
        <f>IFERROR(aurora_data!S1486,0)</f>
        <v>0</v>
      </c>
      <c r="U66" s="66">
        <f>IFERROR(aurora_data!T1486,0)</f>
        <v>0</v>
      </c>
      <c r="V66" s="67" t="s">
        <v>95</v>
      </c>
      <c r="W66" s="59">
        <f>IFERROR(aurora_data!U1486,0)</f>
        <v>0</v>
      </c>
      <c r="X66" s="72">
        <f t="shared" si="6"/>
        <v>0</v>
      </c>
      <c r="Y66" s="2"/>
    </row>
    <row r="67" spans="1:25" customFormat="1" ht="16.5" thickBot="1">
      <c r="A67" s="2"/>
      <c r="B67" s="211"/>
      <c r="C67" s="213"/>
      <c r="D67" s="38" t="s">
        <v>100</v>
      </c>
      <c r="E67" s="60">
        <f>IFERROR(aurora_data!D1487,0)</f>
        <v>0</v>
      </c>
      <c r="F67" s="68">
        <f>IFERROR(aurora_data!E1487,0)</f>
        <v>0</v>
      </c>
      <c r="G67" s="68">
        <f>IFERROR(aurora_data!F1487,0)</f>
        <v>0</v>
      </c>
      <c r="H67" s="68">
        <f>IFERROR(aurora_data!G1487,0)</f>
        <v>0</v>
      </c>
      <c r="I67" s="69">
        <f>IFERROR(aurora_data!H1487,0)</f>
        <v>0</v>
      </c>
      <c r="J67" s="60">
        <f>IFERROR(aurora_data!I1487,0)</f>
        <v>0</v>
      </c>
      <c r="K67" s="68">
        <f>IFERROR(aurora_data!J1487,0)</f>
        <v>0</v>
      </c>
      <c r="L67" s="68">
        <f>IFERROR(aurora_data!K1487,0)</f>
        <v>0</v>
      </c>
      <c r="M67" s="68">
        <f>IFERROR(aurora_data!L1487,0)</f>
        <v>0</v>
      </c>
      <c r="N67" s="69">
        <f>IFERROR(aurora_data!M1487,0)</f>
        <v>0</v>
      </c>
      <c r="O67" s="60">
        <f>IFERROR(aurora_data!N1487,0)</f>
        <v>0</v>
      </c>
      <c r="P67" s="68">
        <f>IFERROR(aurora_data!O1487,0)</f>
        <v>0</v>
      </c>
      <c r="Q67" s="68">
        <f>IFERROR(aurora_data!P1487,0)</f>
        <v>0</v>
      </c>
      <c r="R67" s="69">
        <f>IFERROR(aurora_data!Q1487,0)</f>
        <v>0</v>
      </c>
      <c r="S67" s="68">
        <f>IFERROR(aurora_data!R1487,0)</f>
        <v>0</v>
      </c>
      <c r="T67" s="68">
        <f>IFERROR(aurora_data!S1487,0)</f>
        <v>0</v>
      </c>
      <c r="U67" s="74">
        <f>IFERROR(aurora_data!T1487,0)</f>
        <v>0</v>
      </c>
      <c r="V67" s="75" t="s">
        <v>95</v>
      </c>
      <c r="W67" s="60">
        <f>IFERROR(aurora_data!U1487,0)</f>
        <v>0</v>
      </c>
      <c r="X67" s="73">
        <f t="shared" si="6"/>
        <v>0</v>
      </c>
      <c r="Y67" s="2"/>
    </row>
    <row r="68" spans="1:25" customFormat="1">
      <c r="A68" s="2"/>
      <c r="B68" s="210" t="s">
        <v>94</v>
      </c>
      <c r="C68" s="212" t="str">
        <f>aurora_data!A1488</f>
        <v>13.00.00-13.11.30</v>
      </c>
      <c r="D68" s="34" t="s">
        <v>71</v>
      </c>
      <c r="E68" s="39">
        <f>IFERROR(aurora_data!D1488,0)</f>
        <v>0</v>
      </c>
      <c r="F68" s="40">
        <f>IFERROR(aurora_data!E1488,0)</f>
        <v>0</v>
      </c>
      <c r="G68" s="40">
        <f>IFERROR(aurora_data!F1488,0)</f>
        <v>0</v>
      </c>
      <c r="H68" s="40">
        <f>IFERROR(aurora_data!G1488,0)</f>
        <v>0</v>
      </c>
      <c r="I68" s="41">
        <f>IFERROR(aurora_data!H1488,0)</f>
        <v>0</v>
      </c>
      <c r="J68" s="39">
        <f>IFERROR(aurora_data!I1488,0)</f>
        <v>0</v>
      </c>
      <c r="K68" s="40">
        <f>IFERROR(aurora_data!J1488,0)</f>
        <v>0</v>
      </c>
      <c r="L68" s="40">
        <f>IFERROR(aurora_data!K1488,0)</f>
        <v>0</v>
      </c>
      <c r="M68" s="40">
        <f>IFERROR(aurora_data!L1488,0)</f>
        <v>0</v>
      </c>
      <c r="N68" s="41">
        <f>IFERROR(aurora_data!M1488,0)</f>
        <v>0</v>
      </c>
      <c r="O68" s="39">
        <f>IFERROR(aurora_data!N1488,0)</f>
        <v>0</v>
      </c>
      <c r="P68" s="40">
        <f>IFERROR(aurora_data!O1488,0)</f>
        <v>0</v>
      </c>
      <c r="Q68" s="40">
        <f>IFERROR(aurora_data!P1488,0)</f>
        <v>0</v>
      </c>
      <c r="R68" s="41">
        <f>IFERROR(aurora_data!Q1488,0)</f>
        <v>0</v>
      </c>
      <c r="S68" s="40">
        <f>IFERROR(aurora_data!R1488,0)</f>
        <v>0</v>
      </c>
      <c r="T68" s="40">
        <f>IFERROR(aurora_data!S1488,0)</f>
        <v>0</v>
      </c>
      <c r="U68" s="76">
        <f>IFERROR(aurora_data!T1488,0)</f>
        <v>0</v>
      </c>
      <c r="V68" s="61" t="s">
        <v>95</v>
      </c>
      <c r="W68" s="39">
        <f>IFERROR(aurora_data!U1488,0)</f>
        <v>2</v>
      </c>
      <c r="X68" s="70">
        <f>IFERROR(W68/$W$12,0)</f>
        <v>1</v>
      </c>
      <c r="Y68" s="2"/>
    </row>
    <row r="69" spans="1:25" customFormat="1">
      <c r="A69" s="2"/>
      <c r="B69" s="211"/>
      <c r="C69" s="213"/>
      <c r="D69" s="35" t="s">
        <v>96</v>
      </c>
      <c r="E69" s="110">
        <f>IFERROR(aurora_data!D1489,0)</f>
        <v>0</v>
      </c>
      <c r="F69" s="62">
        <f>IFERROR(aurora_data!E1489,0)</f>
        <v>0</v>
      </c>
      <c r="G69" s="62">
        <f>IFERROR(aurora_data!F1489,0)</f>
        <v>0</v>
      </c>
      <c r="H69" s="62">
        <f>IFERROR(aurora_data!G1489,0)</f>
        <v>0</v>
      </c>
      <c r="I69" s="63">
        <f>IFERROR(aurora_data!H1489,0)</f>
        <v>0</v>
      </c>
      <c r="J69" s="36">
        <f>IFERROR(aurora_data!I1489,0)</f>
        <v>0</v>
      </c>
      <c r="K69" s="62">
        <f>IFERROR(aurora_data!J1489,0)</f>
        <v>0</v>
      </c>
      <c r="L69" s="62">
        <f>IFERROR(aurora_data!K1489,0)</f>
        <v>0</v>
      </c>
      <c r="M69" s="62">
        <f>IFERROR(aurora_data!L1489,0)</f>
        <v>0</v>
      </c>
      <c r="N69" s="63">
        <f>IFERROR(aurora_data!M1489,0)</f>
        <v>0</v>
      </c>
      <c r="O69" s="36">
        <f>IFERROR(aurora_data!N1489,0)</f>
        <v>0</v>
      </c>
      <c r="P69" s="62">
        <f>IFERROR(aurora_data!O1489,0)</f>
        <v>0</v>
      </c>
      <c r="Q69" s="62">
        <f>IFERROR(aurora_data!P1489,0)</f>
        <v>0</v>
      </c>
      <c r="R69" s="63">
        <f>IFERROR(aurora_data!Q1489,0)</f>
        <v>0</v>
      </c>
      <c r="S69" s="62">
        <f>IFERROR(aurora_data!R1489,0)</f>
        <v>0</v>
      </c>
      <c r="T69" s="62">
        <f>IFERROR(aurora_data!S1489,0)</f>
        <v>0</v>
      </c>
      <c r="U69" s="63">
        <f>IFERROR(aurora_data!T1489,0)</f>
        <v>0</v>
      </c>
      <c r="V69" s="64" t="s">
        <v>95</v>
      </c>
      <c r="W69" s="36">
        <f>IFERROR(aurora_data!U1489,0)</f>
        <v>0</v>
      </c>
      <c r="X69" s="71">
        <f t="shared" ref="X69:X75" si="7">IFERROR(W69/$W$12,0)</f>
        <v>0</v>
      </c>
      <c r="Y69" s="2"/>
    </row>
    <row r="70" spans="1:25" customFormat="1">
      <c r="A70" s="2"/>
      <c r="B70" s="211"/>
      <c r="C70" s="213"/>
      <c r="D70" s="35" t="s">
        <v>60</v>
      </c>
      <c r="E70" s="110">
        <f>IFERROR(aurora_data!D1490,0)</f>
        <v>0</v>
      </c>
      <c r="F70" s="62">
        <f>IFERROR(aurora_data!E1490,0)</f>
        <v>0</v>
      </c>
      <c r="G70" s="62">
        <f>IFERROR(aurora_data!F1490,0)</f>
        <v>0</v>
      </c>
      <c r="H70" s="62">
        <f>IFERROR(aurora_data!G1490,0)</f>
        <v>0</v>
      </c>
      <c r="I70" s="63">
        <f>IFERROR(aurora_data!H1490,0)</f>
        <v>0</v>
      </c>
      <c r="J70" s="36">
        <f>IFERROR(aurora_data!I1490,0)</f>
        <v>0</v>
      </c>
      <c r="K70" s="62">
        <f>IFERROR(aurora_data!J1490,0)</f>
        <v>0</v>
      </c>
      <c r="L70" s="62">
        <f>IFERROR(aurora_data!K1490,0)</f>
        <v>0</v>
      </c>
      <c r="M70" s="62">
        <f>IFERROR(aurora_data!L1490,0)</f>
        <v>0</v>
      </c>
      <c r="N70" s="63">
        <f>IFERROR(aurora_data!M1490,0)</f>
        <v>0</v>
      </c>
      <c r="O70" s="36">
        <f>IFERROR(aurora_data!N1490,0)</f>
        <v>0</v>
      </c>
      <c r="P70" s="62">
        <f>IFERROR(aurora_data!O1490,0)</f>
        <v>0</v>
      </c>
      <c r="Q70" s="62">
        <f>IFERROR(aurora_data!P1490,0)</f>
        <v>0</v>
      </c>
      <c r="R70" s="63">
        <f>IFERROR(aurora_data!Q1490,0)</f>
        <v>0</v>
      </c>
      <c r="S70" s="62">
        <f>IFERROR(aurora_data!R1490,0)</f>
        <v>0</v>
      </c>
      <c r="T70" s="62">
        <f>IFERROR(aurora_data!S1490,0)</f>
        <v>0</v>
      </c>
      <c r="U70" s="63">
        <f>IFERROR(aurora_data!T1490,0)</f>
        <v>0</v>
      </c>
      <c r="V70" s="64" t="s">
        <v>95</v>
      </c>
      <c r="W70" s="36">
        <f>IFERROR(aurora_data!U1490,0)</f>
        <v>0</v>
      </c>
      <c r="X70" s="71">
        <f t="shared" si="7"/>
        <v>0</v>
      </c>
      <c r="Y70" s="2"/>
    </row>
    <row r="71" spans="1:25" customFormat="1">
      <c r="A71" s="2"/>
      <c r="B71" s="211"/>
      <c r="C71" s="213"/>
      <c r="D71" s="35" t="s">
        <v>97</v>
      </c>
      <c r="E71" s="36">
        <f>IFERROR(aurora_data!D1491,0)</f>
        <v>0</v>
      </c>
      <c r="F71" s="62">
        <f>IFERROR(aurora_data!E1491,0)</f>
        <v>0</v>
      </c>
      <c r="G71" s="62">
        <f>IFERROR(aurora_data!F1491,0)</f>
        <v>0</v>
      </c>
      <c r="H71" s="62">
        <f>IFERROR(aurora_data!G1491,0)</f>
        <v>0</v>
      </c>
      <c r="I71" s="63">
        <f>IFERROR(aurora_data!H1491,0)</f>
        <v>0</v>
      </c>
      <c r="J71" s="36">
        <f>IFERROR(aurora_data!I1491,0)</f>
        <v>0</v>
      </c>
      <c r="K71" s="62">
        <f>IFERROR(aurora_data!J1491,0)</f>
        <v>0</v>
      </c>
      <c r="L71" s="62">
        <f>IFERROR(aurora_data!K1491,0)</f>
        <v>0</v>
      </c>
      <c r="M71" s="62">
        <f>IFERROR(aurora_data!L1491,0)</f>
        <v>0</v>
      </c>
      <c r="N71" s="63">
        <f>IFERROR(aurora_data!M1491,0)</f>
        <v>0</v>
      </c>
      <c r="O71" s="36">
        <f>IFERROR(aurora_data!N1491,0)</f>
        <v>0</v>
      </c>
      <c r="P71" s="62">
        <f>IFERROR(aurora_data!O1491,0)</f>
        <v>0</v>
      </c>
      <c r="Q71" s="62">
        <f>IFERROR(aurora_data!P1491,0)</f>
        <v>0</v>
      </c>
      <c r="R71" s="63">
        <f>IFERROR(aurora_data!Q1491,0)</f>
        <v>0</v>
      </c>
      <c r="S71" s="62">
        <f>IFERROR(aurora_data!R1491,0)</f>
        <v>0</v>
      </c>
      <c r="T71" s="62">
        <f>IFERROR(aurora_data!S1491,0)</f>
        <v>0</v>
      </c>
      <c r="U71" s="63">
        <f>IFERROR(aurora_data!T1491,0)</f>
        <v>0</v>
      </c>
      <c r="V71" s="64" t="s">
        <v>95</v>
      </c>
      <c r="W71" s="36">
        <f>IFERROR(aurora_data!U1491,0)</f>
        <v>0</v>
      </c>
      <c r="X71" s="71">
        <f t="shared" si="7"/>
        <v>0</v>
      </c>
      <c r="Y71" s="2"/>
    </row>
    <row r="72" spans="1:25" customFormat="1">
      <c r="A72" s="2"/>
      <c r="B72" s="211"/>
      <c r="C72" s="213"/>
      <c r="D72" s="35" t="s">
        <v>98</v>
      </c>
      <c r="E72" s="36">
        <f>IFERROR(aurora_data!D1492,0)</f>
        <v>0</v>
      </c>
      <c r="F72" s="62">
        <f>IFERROR(aurora_data!E1492,0)</f>
        <v>0</v>
      </c>
      <c r="G72" s="62">
        <f>IFERROR(aurora_data!F1492,0)</f>
        <v>0</v>
      </c>
      <c r="H72" s="62">
        <f>IFERROR(aurora_data!G1492,0)</f>
        <v>0</v>
      </c>
      <c r="I72" s="63">
        <f>IFERROR(aurora_data!H1492,0)</f>
        <v>0</v>
      </c>
      <c r="J72" s="36">
        <f>IFERROR(aurora_data!I1492,0)</f>
        <v>0</v>
      </c>
      <c r="K72" s="62">
        <f>IFERROR(aurora_data!J1492,0)</f>
        <v>0</v>
      </c>
      <c r="L72" s="62">
        <f>IFERROR(aurora_data!K1492,0)</f>
        <v>0</v>
      </c>
      <c r="M72" s="62">
        <f>IFERROR(aurora_data!L1492,0)</f>
        <v>0</v>
      </c>
      <c r="N72" s="63">
        <f>IFERROR(aurora_data!M1492,0)</f>
        <v>0</v>
      </c>
      <c r="O72" s="36">
        <f>IFERROR(aurora_data!N1492,0)</f>
        <v>0</v>
      </c>
      <c r="P72" s="62">
        <f>IFERROR(aurora_data!O1492,0)</f>
        <v>0</v>
      </c>
      <c r="Q72" s="62">
        <f>IFERROR(aurora_data!P1492,0)</f>
        <v>0</v>
      </c>
      <c r="R72" s="63">
        <f>IFERROR(aurora_data!Q1492,0)</f>
        <v>0</v>
      </c>
      <c r="S72" s="62">
        <f>IFERROR(aurora_data!R1492,0)</f>
        <v>0</v>
      </c>
      <c r="T72" s="62">
        <f>IFERROR(aurora_data!S1492,0)</f>
        <v>0</v>
      </c>
      <c r="U72" s="63">
        <f>IFERROR(aurora_data!T1492,0)</f>
        <v>0</v>
      </c>
      <c r="V72" s="64" t="s">
        <v>95</v>
      </c>
      <c r="W72" s="36">
        <f>IFERROR(aurora_data!U1492,0)</f>
        <v>0</v>
      </c>
      <c r="X72" s="71">
        <f t="shared" si="7"/>
        <v>0</v>
      </c>
      <c r="Y72" s="2"/>
    </row>
    <row r="73" spans="1:25" customFormat="1" ht="16.5" thickBot="1">
      <c r="A73" s="2"/>
      <c r="B73" s="211"/>
      <c r="C73" s="213"/>
      <c r="D73" s="35" t="s">
        <v>99</v>
      </c>
      <c r="E73" s="36">
        <f>IFERROR(aurora_data!D1493,0)</f>
        <v>0</v>
      </c>
      <c r="F73" s="62">
        <f>IFERROR(aurora_data!E1493,0)</f>
        <v>0</v>
      </c>
      <c r="G73" s="62">
        <f>IFERROR(aurora_data!F1493,0)</f>
        <v>0</v>
      </c>
      <c r="H73" s="62">
        <f>IFERROR(aurora_data!G1493,0)</f>
        <v>0</v>
      </c>
      <c r="I73" s="63">
        <f>IFERROR(aurora_data!H1493,0)</f>
        <v>0</v>
      </c>
      <c r="J73" s="36">
        <f>IFERROR(aurora_data!I1493,0)</f>
        <v>0</v>
      </c>
      <c r="K73" s="62">
        <f>IFERROR(aurora_data!J1493,0)</f>
        <v>0</v>
      </c>
      <c r="L73" s="62">
        <f>IFERROR(aurora_data!K1493,0)</f>
        <v>0</v>
      </c>
      <c r="M73" s="62">
        <f>IFERROR(aurora_data!L1493,0)</f>
        <v>0</v>
      </c>
      <c r="N73" s="63">
        <f>IFERROR(aurora_data!M1493,0)</f>
        <v>0</v>
      </c>
      <c r="O73" s="36">
        <f>IFERROR(aurora_data!N1493,0)</f>
        <v>0</v>
      </c>
      <c r="P73" s="62">
        <f>IFERROR(aurora_data!O1493,0)</f>
        <v>0</v>
      </c>
      <c r="Q73" s="62">
        <f>IFERROR(aurora_data!P1493,0)</f>
        <v>0</v>
      </c>
      <c r="R73" s="63">
        <f>IFERROR(aurora_data!Q1493,0)</f>
        <v>0</v>
      </c>
      <c r="S73" s="62">
        <f>IFERROR(aurora_data!R1493,0)</f>
        <v>0</v>
      </c>
      <c r="T73" s="62">
        <f>IFERROR(aurora_data!S1493,0)</f>
        <v>0</v>
      </c>
      <c r="U73" s="63">
        <f>IFERROR(aurora_data!T1493,0)</f>
        <v>0</v>
      </c>
      <c r="V73" s="64" t="s">
        <v>95</v>
      </c>
      <c r="W73" s="36">
        <f>IFERROR(aurora_data!U1493,0)</f>
        <v>0</v>
      </c>
      <c r="X73" s="71">
        <f t="shared" si="7"/>
        <v>0</v>
      </c>
      <c r="Y73" s="2"/>
    </row>
    <row r="74" spans="1:25" customFormat="1" ht="16.5" thickBot="1">
      <c r="A74" s="2"/>
      <c r="B74" s="211"/>
      <c r="C74" s="213"/>
      <c r="D74" s="37" t="s">
        <v>64</v>
      </c>
      <c r="E74" s="59">
        <f>IFERROR(aurora_data!D1494,0)</f>
        <v>0</v>
      </c>
      <c r="F74" s="65">
        <f>IFERROR(aurora_data!E1494,0)</f>
        <v>0</v>
      </c>
      <c r="G74" s="65">
        <f>IFERROR(aurora_data!F1494,0)</f>
        <v>0</v>
      </c>
      <c r="H74" s="65">
        <f>IFERROR(aurora_data!G1494,0)</f>
        <v>0</v>
      </c>
      <c r="I74" s="66">
        <f>IFERROR(aurora_data!H1494,0)</f>
        <v>0</v>
      </c>
      <c r="J74" s="59">
        <f>IFERROR(aurora_data!I1494,0)</f>
        <v>0</v>
      </c>
      <c r="K74" s="65">
        <f>IFERROR(aurora_data!J1494,0)</f>
        <v>0</v>
      </c>
      <c r="L74" s="65">
        <f>IFERROR(aurora_data!K1494,0)</f>
        <v>0</v>
      </c>
      <c r="M74" s="65">
        <f>IFERROR(aurora_data!L1494,0)</f>
        <v>0</v>
      </c>
      <c r="N74" s="66">
        <f>IFERROR(aurora_data!M1494,0)</f>
        <v>0</v>
      </c>
      <c r="O74" s="59">
        <f>IFERROR(aurora_data!N1494,0)</f>
        <v>0</v>
      </c>
      <c r="P74" s="65">
        <f>IFERROR(aurora_data!O1494,0)</f>
        <v>0</v>
      </c>
      <c r="Q74" s="65">
        <f>IFERROR(aurora_data!P1494,0)</f>
        <v>0</v>
      </c>
      <c r="R74" s="66">
        <f>IFERROR(aurora_data!Q1494,0)</f>
        <v>0</v>
      </c>
      <c r="S74" s="65">
        <f>IFERROR(aurora_data!R1494,0)</f>
        <v>0</v>
      </c>
      <c r="T74" s="65">
        <f>IFERROR(aurora_data!S1494,0)</f>
        <v>0</v>
      </c>
      <c r="U74" s="66">
        <f>IFERROR(aurora_data!T1494,0)</f>
        <v>0</v>
      </c>
      <c r="V74" s="67" t="s">
        <v>95</v>
      </c>
      <c r="W74" s="59">
        <f>IFERROR(aurora_data!U1494,0)</f>
        <v>0</v>
      </c>
      <c r="X74" s="72">
        <f t="shared" si="7"/>
        <v>0</v>
      </c>
      <c r="Y74" s="2"/>
    </row>
    <row r="75" spans="1:25" customFormat="1" ht="16.5" thickBot="1">
      <c r="A75" s="2"/>
      <c r="B75" s="211"/>
      <c r="C75" s="213"/>
      <c r="D75" s="38" t="s">
        <v>100</v>
      </c>
      <c r="E75" s="60">
        <f>IFERROR(aurora_data!D1495,0)</f>
        <v>0</v>
      </c>
      <c r="F75" s="68">
        <f>IFERROR(aurora_data!E1495,0)</f>
        <v>0</v>
      </c>
      <c r="G75" s="68">
        <f>IFERROR(aurora_data!F1495,0)</f>
        <v>0</v>
      </c>
      <c r="H75" s="68">
        <f>IFERROR(aurora_data!G1495,0)</f>
        <v>0</v>
      </c>
      <c r="I75" s="69">
        <f>IFERROR(aurora_data!H1495,0)</f>
        <v>0</v>
      </c>
      <c r="J75" s="60">
        <f>IFERROR(aurora_data!I1495,0)</f>
        <v>0</v>
      </c>
      <c r="K75" s="68">
        <f>IFERROR(aurora_data!J1495,0)</f>
        <v>0</v>
      </c>
      <c r="L75" s="68">
        <f>IFERROR(aurora_data!K1495,0)</f>
        <v>0</v>
      </c>
      <c r="M75" s="68">
        <f>IFERROR(aurora_data!L1495,0)</f>
        <v>0</v>
      </c>
      <c r="N75" s="69">
        <f>IFERROR(aurora_data!M1495,0)</f>
        <v>0</v>
      </c>
      <c r="O75" s="60">
        <f>IFERROR(aurora_data!N1495,0)</f>
        <v>0</v>
      </c>
      <c r="P75" s="68">
        <f>IFERROR(aurora_data!O1495,0)</f>
        <v>0</v>
      </c>
      <c r="Q75" s="68">
        <f>IFERROR(aurora_data!P1495,0)</f>
        <v>0</v>
      </c>
      <c r="R75" s="69">
        <f>IFERROR(aurora_data!Q1495,0)</f>
        <v>0</v>
      </c>
      <c r="S75" s="68">
        <f>IFERROR(aurora_data!R1495,0)</f>
        <v>0</v>
      </c>
      <c r="T75" s="68">
        <f>IFERROR(aurora_data!S1495,0)</f>
        <v>0</v>
      </c>
      <c r="U75" s="74">
        <f>IFERROR(aurora_data!T1495,0)</f>
        <v>0</v>
      </c>
      <c r="V75" s="75" t="s">
        <v>95</v>
      </c>
      <c r="W75" s="60">
        <f>IFERROR(aurora_data!U1495,0)</f>
        <v>0</v>
      </c>
      <c r="X75" s="73">
        <f t="shared" si="7"/>
        <v>0</v>
      </c>
      <c r="Y75" s="2"/>
    </row>
    <row r="76" spans="1:25" customFormat="1">
      <c r="A76" s="2"/>
      <c r="B76" s="210" t="s">
        <v>94</v>
      </c>
      <c r="C76" s="212" t="str">
        <f>aurora_data!A1496</f>
        <v>14.00.00-14.11.30</v>
      </c>
      <c r="D76" s="34" t="s">
        <v>71</v>
      </c>
      <c r="E76" s="39">
        <f>IFERROR(aurora_data!D1496,0)</f>
        <v>0</v>
      </c>
      <c r="F76" s="40">
        <f>IFERROR(aurora_data!E1496,0)</f>
        <v>0</v>
      </c>
      <c r="G76" s="40">
        <f>IFERROR(aurora_data!F1496,0)</f>
        <v>0</v>
      </c>
      <c r="H76" s="40">
        <f>IFERROR(aurora_data!G1496,0)</f>
        <v>0</v>
      </c>
      <c r="I76" s="41">
        <f>IFERROR(aurora_data!H1496,0)</f>
        <v>0</v>
      </c>
      <c r="J76" s="39">
        <f>IFERROR(aurora_data!I1496,0)</f>
        <v>0</v>
      </c>
      <c r="K76" s="40">
        <f>IFERROR(aurora_data!J1496,0)</f>
        <v>0</v>
      </c>
      <c r="L76" s="40">
        <f>IFERROR(aurora_data!K1496,0)</f>
        <v>0</v>
      </c>
      <c r="M76" s="40">
        <f>IFERROR(aurora_data!L1496,0)</f>
        <v>0</v>
      </c>
      <c r="N76" s="41">
        <f>IFERROR(aurora_data!M1496,0)</f>
        <v>0</v>
      </c>
      <c r="O76" s="39">
        <f>IFERROR(aurora_data!N1496,0)</f>
        <v>0</v>
      </c>
      <c r="P76" s="40">
        <f>IFERROR(aurora_data!O1496,0)</f>
        <v>0</v>
      </c>
      <c r="Q76" s="40">
        <f>IFERROR(aurora_data!P1496,0)</f>
        <v>0</v>
      </c>
      <c r="R76" s="41">
        <f>IFERROR(aurora_data!Q1496,0)</f>
        <v>0</v>
      </c>
      <c r="S76" s="40">
        <f>IFERROR(aurora_data!R1496,0)</f>
        <v>0</v>
      </c>
      <c r="T76" s="40">
        <f>IFERROR(aurora_data!S1496,0)</f>
        <v>0</v>
      </c>
      <c r="U76" s="76">
        <f>IFERROR(aurora_data!T1496,0)</f>
        <v>0</v>
      </c>
      <c r="V76" s="61" t="s">
        <v>95</v>
      </c>
      <c r="W76" s="39">
        <f>IFERROR(aurora_data!U1496,0)</f>
        <v>3</v>
      </c>
      <c r="X76" s="70">
        <f>IFERROR(W76/$W$12,0)</f>
        <v>1.5</v>
      </c>
      <c r="Y76" s="2"/>
    </row>
    <row r="77" spans="1:25" customFormat="1">
      <c r="A77" s="2"/>
      <c r="B77" s="211"/>
      <c r="C77" s="213"/>
      <c r="D77" s="35" t="s">
        <v>96</v>
      </c>
      <c r="E77" s="110">
        <f>IFERROR(aurora_data!D1497,0)</f>
        <v>0</v>
      </c>
      <c r="F77" s="62">
        <f>IFERROR(aurora_data!E1497,0)</f>
        <v>0</v>
      </c>
      <c r="G77" s="62">
        <f>IFERROR(aurora_data!F1497,0)</f>
        <v>0</v>
      </c>
      <c r="H77" s="62">
        <f>IFERROR(aurora_data!G1497,0)</f>
        <v>0</v>
      </c>
      <c r="I77" s="63">
        <f>IFERROR(aurora_data!H1497,0)</f>
        <v>0</v>
      </c>
      <c r="J77" s="36">
        <f>IFERROR(aurora_data!I1497,0)</f>
        <v>0</v>
      </c>
      <c r="K77" s="62">
        <f>IFERROR(aurora_data!J1497,0)</f>
        <v>0</v>
      </c>
      <c r="L77" s="62">
        <f>IFERROR(aurora_data!K1497,0)</f>
        <v>0</v>
      </c>
      <c r="M77" s="62">
        <f>IFERROR(aurora_data!L1497,0)</f>
        <v>0</v>
      </c>
      <c r="N77" s="63">
        <f>IFERROR(aurora_data!M1497,0)</f>
        <v>0</v>
      </c>
      <c r="O77" s="36">
        <f>IFERROR(aurora_data!N1497,0)</f>
        <v>0</v>
      </c>
      <c r="P77" s="62">
        <f>IFERROR(aurora_data!O1497,0)</f>
        <v>0</v>
      </c>
      <c r="Q77" s="62">
        <f>IFERROR(aurora_data!P1497,0)</f>
        <v>0</v>
      </c>
      <c r="R77" s="63">
        <f>IFERROR(aurora_data!Q1497,0)</f>
        <v>0</v>
      </c>
      <c r="S77" s="62">
        <f>IFERROR(aurora_data!R1497,0)</f>
        <v>0</v>
      </c>
      <c r="T77" s="62">
        <f>IFERROR(aurora_data!S1497,0)</f>
        <v>0</v>
      </c>
      <c r="U77" s="63">
        <f>IFERROR(aurora_data!T1497,0)</f>
        <v>0</v>
      </c>
      <c r="V77" s="64" t="s">
        <v>95</v>
      </c>
      <c r="W77" s="36">
        <f>IFERROR(aurora_data!U1497,0)</f>
        <v>0</v>
      </c>
      <c r="X77" s="71">
        <f t="shared" ref="X77:X83" si="8">IFERROR(W77/$W$12,0)</f>
        <v>0</v>
      </c>
      <c r="Y77" s="2"/>
    </row>
    <row r="78" spans="1:25" customFormat="1">
      <c r="A78" s="2"/>
      <c r="B78" s="211"/>
      <c r="C78" s="213"/>
      <c r="D78" s="35" t="s">
        <v>60</v>
      </c>
      <c r="E78" s="110">
        <f>IFERROR(aurora_data!D1498,0)</f>
        <v>0</v>
      </c>
      <c r="F78" s="62">
        <f>IFERROR(aurora_data!E1498,0)</f>
        <v>0</v>
      </c>
      <c r="G78" s="62">
        <f>IFERROR(aurora_data!F1498,0)</f>
        <v>0</v>
      </c>
      <c r="H78" s="62">
        <f>IFERROR(aurora_data!G1498,0)</f>
        <v>0</v>
      </c>
      <c r="I78" s="63">
        <f>IFERROR(aurora_data!H1498,0)</f>
        <v>0</v>
      </c>
      <c r="J78" s="36">
        <f>IFERROR(aurora_data!I1498,0)</f>
        <v>0</v>
      </c>
      <c r="K78" s="62">
        <f>IFERROR(aurora_data!J1498,0)</f>
        <v>0</v>
      </c>
      <c r="L78" s="62">
        <f>IFERROR(aurora_data!K1498,0)</f>
        <v>0</v>
      </c>
      <c r="M78" s="62">
        <f>IFERROR(aurora_data!L1498,0)</f>
        <v>0</v>
      </c>
      <c r="N78" s="63">
        <f>IFERROR(aurora_data!M1498,0)</f>
        <v>0</v>
      </c>
      <c r="O78" s="36">
        <f>IFERROR(aurora_data!N1498,0)</f>
        <v>0</v>
      </c>
      <c r="P78" s="62">
        <f>IFERROR(aurora_data!O1498,0)</f>
        <v>0</v>
      </c>
      <c r="Q78" s="62">
        <f>IFERROR(aurora_data!P1498,0)</f>
        <v>0</v>
      </c>
      <c r="R78" s="63">
        <f>IFERROR(aurora_data!Q1498,0)</f>
        <v>0</v>
      </c>
      <c r="S78" s="62">
        <f>IFERROR(aurora_data!R1498,0)</f>
        <v>0</v>
      </c>
      <c r="T78" s="62">
        <f>IFERROR(aurora_data!S1498,0)</f>
        <v>0</v>
      </c>
      <c r="U78" s="63">
        <f>IFERROR(aurora_data!T1498,0)</f>
        <v>0</v>
      </c>
      <c r="V78" s="64" t="s">
        <v>95</v>
      </c>
      <c r="W78" s="36">
        <f>IFERROR(aurora_data!U1498,0)</f>
        <v>0</v>
      </c>
      <c r="X78" s="71">
        <f t="shared" si="8"/>
        <v>0</v>
      </c>
      <c r="Y78" s="2"/>
    </row>
    <row r="79" spans="1:25" customFormat="1">
      <c r="A79" s="2"/>
      <c r="B79" s="211"/>
      <c r="C79" s="213"/>
      <c r="D79" s="35" t="s">
        <v>97</v>
      </c>
      <c r="E79" s="36">
        <f>IFERROR(aurora_data!D1499,0)</f>
        <v>0</v>
      </c>
      <c r="F79" s="62">
        <f>IFERROR(aurora_data!E1499,0)</f>
        <v>0</v>
      </c>
      <c r="G79" s="62">
        <f>IFERROR(aurora_data!F1499,0)</f>
        <v>0</v>
      </c>
      <c r="H79" s="62">
        <f>IFERROR(aurora_data!G1499,0)</f>
        <v>0</v>
      </c>
      <c r="I79" s="63">
        <f>IFERROR(aurora_data!H1499,0)</f>
        <v>0</v>
      </c>
      <c r="J79" s="36">
        <f>IFERROR(aurora_data!I1499,0)</f>
        <v>0</v>
      </c>
      <c r="K79" s="62">
        <f>IFERROR(aurora_data!J1499,0)</f>
        <v>0</v>
      </c>
      <c r="L79" s="62">
        <f>IFERROR(aurora_data!K1499,0)</f>
        <v>0</v>
      </c>
      <c r="M79" s="62">
        <f>IFERROR(aurora_data!L1499,0)</f>
        <v>0</v>
      </c>
      <c r="N79" s="63">
        <f>IFERROR(aurora_data!M1499,0)</f>
        <v>0</v>
      </c>
      <c r="O79" s="36">
        <f>IFERROR(aurora_data!N1499,0)</f>
        <v>0</v>
      </c>
      <c r="P79" s="62">
        <f>IFERROR(aurora_data!O1499,0)</f>
        <v>0</v>
      </c>
      <c r="Q79" s="62">
        <f>IFERROR(aurora_data!P1499,0)</f>
        <v>0</v>
      </c>
      <c r="R79" s="63">
        <f>IFERROR(aurora_data!Q1499,0)</f>
        <v>0</v>
      </c>
      <c r="S79" s="62">
        <f>IFERROR(aurora_data!R1499,0)</f>
        <v>0</v>
      </c>
      <c r="T79" s="62">
        <f>IFERROR(aurora_data!S1499,0)</f>
        <v>0</v>
      </c>
      <c r="U79" s="63">
        <f>IFERROR(aurora_data!T1499,0)</f>
        <v>0</v>
      </c>
      <c r="V79" s="64" t="s">
        <v>95</v>
      </c>
      <c r="W79" s="36">
        <f>IFERROR(aurora_data!U1499,0)</f>
        <v>0</v>
      </c>
      <c r="X79" s="71">
        <f t="shared" si="8"/>
        <v>0</v>
      </c>
      <c r="Y79" s="2"/>
    </row>
    <row r="80" spans="1:25" customFormat="1">
      <c r="A80" s="2"/>
      <c r="B80" s="211"/>
      <c r="C80" s="213"/>
      <c r="D80" s="35" t="s">
        <v>98</v>
      </c>
      <c r="E80" s="36">
        <f>IFERROR(aurora_data!D1500,0)</f>
        <v>0</v>
      </c>
      <c r="F80" s="62">
        <f>IFERROR(aurora_data!E1500,0)</f>
        <v>0</v>
      </c>
      <c r="G80" s="62">
        <f>IFERROR(aurora_data!F1500,0)</f>
        <v>0</v>
      </c>
      <c r="H80" s="62">
        <f>IFERROR(aurora_data!G1500,0)</f>
        <v>0</v>
      </c>
      <c r="I80" s="63">
        <f>IFERROR(aurora_data!H1500,0)</f>
        <v>0</v>
      </c>
      <c r="J80" s="36">
        <f>IFERROR(aurora_data!I1500,0)</f>
        <v>0</v>
      </c>
      <c r="K80" s="62">
        <f>IFERROR(aurora_data!J1500,0)</f>
        <v>0</v>
      </c>
      <c r="L80" s="62">
        <f>IFERROR(aurora_data!K1500,0)</f>
        <v>0</v>
      </c>
      <c r="M80" s="62">
        <f>IFERROR(aurora_data!L1500,0)</f>
        <v>0</v>
      </c>
      <c r="N80" s="63">
        <f>IFERROR(aurora_data!M1500,0)</f>
        <v>0</v>
      </c>
      <c r="O80" s="36">
        <f>IFERROR(aurora_data!N1500,0)</f>
        <v>0</v>
      </c>
      <c r="P80" s="62">
        <f>IFERROR(aurora_data!O1500,0)</f>
        <v>0</v>
      </c>
      <c r="Q80" s="62">
        <f>IFERROR(aurora_data!P1500,0)</f>
        <v>0</v>
      </c>
      <c r="R80" s="63">
        <f>IFERROR(aurora_data!Q1500,0)</f>
        <v>0</v>
      </c>
      <c r="S80" s="62">
        <f>IFERROR(aurora_data!R1500,0)</f>
        <v>0</v>
      </c>
      <c r="T80" s="62">
        <f>IFERROR(aurora_data!S1500,0)</f>
        <v>0</v>
      </c>
      <c r="U80" s="63">
        <f>IFERROR(aurora_data!T1500,0)</f>
        <v>0</v>
      </c>
      <c r="V80" s="64" t="s">
        <v>95</v>
      </c>
      <c r="W80" s="36">
        <f>IFERROR(aurora_data!U1500,0)</f>
        <v>0</v>
      </c>
      <c r="X80" s="71">
        <f t="shared" si="8"/>
        <v>0</v>
      </c>
      <c r="Y80" s="2"/>
    </row>
    <row r="81" spans="1:25" customFormat="1" ht="16.5" thickBot="1">
      <c r="A81" s="2"/>
      <c r="B81" s="211"/>
      <c r="C81" s="213"/>
      <c r="D81" s="35" t="s">
        <v>99</v>
      </c>
      <c r="E81" s="36">
        <f>IFERROR(aurora_data!D1501,0)</f>
        <v>0</v>
      </c>
      <c r="F81" s="62">
        <f>IFERROR(aurora_data!E1501,0)</f>
        <v>0</v>
      </c>
      <c r="G81" s="62">
        <f>IFERROR(aurora_data!F1501,0)</f>
        <v>0</v>
      </c>
      <c r="H81" s="62">
        <f>IFERROR(aurora_data!G1501,0)</f>
        <v>0</v>
      </c>
      <c r="I81" s="63">
        <f>IFERROR(aurora_data!H1501,0)</f>
        <v>0</v>
      </c>
      <c r="J81" s="36">
        <f>IFERROR(aurora_data!I1501,0)</f>
        <v>0</v>
      </c>
      <c r="K81" s="62">
        <f>IFERROR(aurora_data!J1501,0)</f>
        <v>0</v>
      </c>
      <c r="L81" s="62">
        <f>IFERROR(aurora_data!K1501,0)</f>
        <v>0</v>
      </c>
      <c r="M81" s="62">
        <f>IFERROR(aurora_data!L1501,0)</f>
        <v>0</v>
      </c>
      <c r="N81" s="63">
        <f>IFERROR(aurora_data!M1501,0)</f>
        <v>0</v>
      </c>
      <c r="O81" s="36">
        <f>IFERROR(aurora_data!N1501,0)</f>
        <v>0</v>
      </c>
      <c r="P81" s="62">
        <f>IFERROR(aurora_data!O1501,0)</f>
        <v>0</v>
      </c>
      <c r="Q81" s="62">
        <f>IFERROR(aurora_data!P1501,0)</f>
        <v>0</v>
      </c>
      <c r="R81" s="63">
        <f>IFERROR(aurora_data!Q1501,0)</f>
        <v>0</v>
      </c>
      <c r="S81" s="62">
        <f>IFERROR(aurora_data!R1501,0)</f>
        <v>0</v>
      </c>
      <c r="T81" s="62">
        <f>IFERROR(aurora_data!S1501,0)</f>
        <v>0</v>
      </c>
      <c r="U81" s="63">
        <f>IFERROR(aurora_data!T1501,0)</f>
        <v>0</v>
      </c>
      <c r="V81" s="64" t="s">
        <v>95</v>
      </c>
      <c r="W81" s="36">
        <f>IFERROR(aurora_data!U1501,0)</f>
        <v>0</v>
      </c>
      <c r="X81" s="71">
        <f t="shared" si="8"/>
        <v>0</v>
      </c>
      <c r="Y81" s="2"/>
    </row>
    <row r="82" spans="1:25" customFormat="1" ht="16.5" thickBot="1">
      <c r="A82" s="2"/>
      <c r="B82" s="211"/>
      <c r="C82" s="213"/>
      <c r="D82" s="37" t="s">
        <v>64</v>
      </c>
      <c r="E82" s="59">
        <f>IFERROR(aurora_data!D1502,0)</f>
        <v>0</v>
      </c>
      <c r="F82" s="65">
        <f>IFERROR(aurora_data!E1502,0)</f>
        <v>0</v>
      </c>
      <c r="G82" s="65">
        <f>IFERROR(aurora_data!F1502,0)</f>
        <v>0</v>
      </c>
      <c r="H82" s="65">
        <f>IFERROR(aurora_data!G1502,0)</f>
        <v>0</v>
      </c>
      <c r="I82" s="66">
        <f>IFERROR(aurora_data!H1502,0)</f>
        <v>0</v>
      </c>
      <c r="J82" s="59">
        <f>IFERROR(aurora_data!I1502,0)</f>
        <v>0</v>
      </c>
      <c r="K82" s="65">
        <f>IFERROR(aurora_data!J1502,0)</f>
        <v>0</v>
      </c>
      <c r="L82" s="65">
        <f>IFERROR(aurora_data!K1502,0)</f>
        <v>0</v>
      </c>
      <c r="M82" s="65">
        <f>IFERROR(aurora_data!L1502,0)</f>
        <v>0</v>
      </c>
      <c r="N82" s="66">
        <f>IFERROR(aurora_data!M1502,0)</f>
        <v>0</v>
      </c>
      <c r="O82" s="59">
        <f>IFERROR(aurora_data!N1502,0)</f>
        <v>0</v>
      </c>
      <c r="P82" s="65">
        <f>IFERROR(aurora_data!O1502,0)</f>
        <v>0</v>
      </c>
      <c r="Q82" s="65">
        <f>IFERROR(aurora_data!P1502,0)</f>
        <v>0</v>
      </c>
      <c r="R82" s="66">
        <f>IFERROR(aurora_data!Q1502,0)</f>
        <v>0</v>
      </c>
      <c r="S82" s="65">
        <f>IFERROR(aurora_data!R1502,0)</f>
        <v>0</v>
      </c>
      <c r="T82" s="65">
        <f>IFERROR(aurora_data!S1502,0)</f>
        <v>0</v>
      </c>
      <c r="U82" s="66">
        <f>IFERROR(aurora_data!T1502,0)</f>
        <v>0</v>
      </c>
      <c r="V82" s="67" t="s">
        <v>95</v>
      </c>
      <c r="W82" s="59">
        <f>IFERROR(aurora_data!U1502,0)</f>
        <v>0</v>
      </c>
      <c r="X82" s="72">
        <f t="shared" si="8"/>
        <v>0</v>
      </c>
      <c r="Y82" s="2"/>
    </row>
    <row r="83" spans="1:25" customFormat="1" ht="16.5" thickBot="1">
      <c r="A83" s="2"/>
      <c r="B83" s="211"/>
      <c r="C83" s="213"/>
      <c r="D83" s="38" t="s">
        <v>100</v>
      </c>
      <c r="E83" s="60">
        <f>IFERROR(aurora_data!D1503,0)</f>
        <v>0</v>
      </c>
      <c r="F83" s="68">
        <f>IFERROR(aurora_data!E1503,0)</f>
        <v>0</v>
      </c>
      <c r="G83" s="68">
        <f>IFERROR(aurora_data!F1503,0)</f>
        <v>0</v>
      </c>
      <c r="H83" s="68">
        <f>IFERROR(aurora_data!G1503,0)</f>
        <v>0</v>
      </c>
      <c r="I83" s="69">
        <f>IFERROR(aurora_data!H1503,0)</f>
        <v>0</v>
      </c>
      <c r="J83" s="60">
        <f>IFERROR(aurora_data!I1503,0)</f>
        <v>0</v>
      </c>
      <c r="K83" s="68">
        <f>IFERROR(aurora_data!J1503,0)</f>
        <v>0</v>
      </c>
      <c r="L83" s="68">
        <f>IFERROR(aurora_data!K1503,0)</f>
        <v>0</v>
      </c>
      <c r="M83" s="68">
        <f>IFERROR(aurora_data!L1503,0)</f>
        <v>0</v>
      </c>
      <c r="N83" s="69">
        <f>IFERROR(aurora_data!M1503,0)</f>
        <v>0</v>
      </c>
      <c r="O83" s="60">
        <f>IFERROR(aurora_data!N1503,0)</f>
        <v>0</v>
      </c>
      <c r="P83" s="68">
        <f>IFERROR(aurora_data!O1503,0)</f>
        <v>0</v>
      </c>
      <c r="Q83" s="68">
        <f>IFERROR(aurora_data!P1503,0)</f>
        <v>0</v>
      </c>
      <c r="R83" s="69">
        <f>IFERROR(aurora_data!Q1503,0)</f>
        <v>0</v>
      </c>
      <c r="S83" s="68">
        <f>IFERROR(aurora_data!R1503,0)</f>
        <v>0</v>
      </c>
      <c r="T83" s="68">
        <f>IFERROR(aurora_data!S1503,0)</f>
        <v>0</v>
      </c>
      <c r="U83" s="74">
        <f>IFERROR(aurora_data!T1503,0)</f>
        <v>0</v>
      </c>
      <c r="V83" s="75" t="s">
        <v>95</v>
      </c>
      <c r="W83" s="60">
        <f>IFERROR(aurora_data!U1503,0)</f>
        <v>0</v>
      </c>
      <c r="X83" s="73">
        <f t="shared" si="8"/>
        <v>0</v>
      </c>
      <c r="Y83" s="2"/>
    </row>
    <row r="84" spans="1:25" customFormat="1">
      <c r="A84" s="2"/>
      <c r="B84" s="210" t="s">
        <v>94</v>
      </c>
      <c r="C84" s="212" t="str">
        <f>aurora_data!A1504</f>
        <v>15.00.00-15.11.30</v>
      </c>
      <c r="D84" s="34" t="s">
        <v>71</v>
      </c>
      <c r="E84" s="39">
        <f>IFERROR(aurora_data!D1504,0)</f>
        <v>0</v>
      </c>
      <c r="F84" s="40">
        <f>IFERROR(aurora_data!E1504,0)</f>
        <v>0</v>
      </c>
      <c r="G84" s="40">
        <f>IFERROR(aurora_data!F1504,0)</f>
        <v>0</v>
      </c>
      <c r="H84" s="40">
        <f>IFERROR(aurora_data!G1504,0)</f>
        <v>0</v>
      </c>
      <c r="I84" s="41">
        <f>IFERROR(aurora_data!H1504,0)</f>
        <v>0</v>
      </c>
      <c r="J84" s="39">
        <f>IFERROR(aurora_data!I1504,0)</f>
        <v>0</v>
      </c>
      <c r="K84" s="40">
        <f>IFERROR(aurora_data!J1504,0)</f>
        <v>0</v>
      </c>
      <c r="L84" s="40">
        <f>IFERROR(aurora_data!K1504,0)</f>
        <v>0</v>
      </c>
      <c r="M84" s="40">
        <f>IFERROR(aurora_data!L1504,0)</f>
        <v>0</v>
      </c>
      <c r="N84" s="41">
        <f>IFERROR(aurora_data!M1504,0)</f>
        <v>0</v>
      </c>
      <c r="O84" s="39">
        <f>IFERROR(aurora_data!N1504,0)</f>
        <v>0</v>
      </c>
      <c r="P84" s="40">
        <f>IFERROR(aurora_data!O1504,0)</f>
        <v>0</v>
      </c>
      <c r="Q84" s="40">
        <f>IFERROR(aurora_data!P1504,0)</f>
        <v>0</v>
      </c>
      <c r="R84" s="41">
        <f>IFERROR(aurora_data!Q1504,0)</f>
        <v>0</v>
      </c>
      <c r="S84" s="40">
        <f>IFERROR(aurora_data!R1504,0)</f>
        <v>0</v>
      </c>
      <c r="T84" s="40">
        <f>IFERROR(aurora_data!S1504,0)</f>
        <v>0</v>
      </c>
      <c r="U84" s="76">
        <f>IFERROR(aurora_data!T1504,0)</f>
        <v>0</v>
      </c>
      <c r="V84" s="61" t="s">
        <v>95</v>
      </c>
      <c r="W84" s="39">
        <f>IFERROR(aurora_data!U1504,0)</f>
        <v>2</v>
      </c>
      <c r="X84" s="70">
        <f>IFERROR(W84/$W$12,0)</f>
        <v>1</v>
      </c>
      <c r="Y84" s="2"/>
    </row>
    <row r="85" spans="1:25" customFormat="1">
      <c r="A85" s="2"/>
      <c r="B85" s="211"/>
      <c r="C85" s="213"/>
      <c r="D85" s="35" t="s">
        <v>96</v>
      </c>
      <c r="E85" s="110">
        <f>IFERROR(aurora_data!D1505,0)</f>
        <v>0</v>
      </c>
      <c r="F85" s="62">
        <f>IFERROR(aurora_data!E1505,0)</f>
        <v>0</v>
      </c>
      <c r="G85" s="62">
        <f>IFERROR(aurora_data!F1505,0)</f>
        <v>0</v>
      </c>
      <c r="H85" s="62">
        <f>IFERROR(aurora_data!G1505,0)</f>
        <v>0</v>
      </c>
      <c r="I85" s="63">
        <f>IFERROR(aurora_data!H1505,0)</f>
        <v>0</v>
      </c>
      <c r="J85" s="36">
        <f>IFERROR(aurora_data!I1505,0)</f>
        <v>0</v>
      </c>
      <c r="K85" s="62">
        <f>IFERROR(aurora_data!J1505,0)</f>
        <v>0</v>
      </c>
      <c r="L85" s="62">
        <f>IFERROR(aurora_data!K1505,0)</f>
        <v>0</v>
      </c>
      <c r="M85" s="62">
        <f>IFERROR(aurora_data!L1505,0)</f>
        <v>0</v>
      </c>
      <c r="N85" s="63">
        <f>IFERROR(aurora_data!M1505,0)</f>
        <v>0</v>
      </c>
      <c r="O85" s="36">
        <f>IFERROR(aurora_data!N1505,0)</f>
        <v>0</v>
      </c>
      <c r="P85" s="62">
        <f>IFERROR(aurora_data!O1505,0)</f>
        <v>0</v>
      </c>
      <c r="Q85" s="62">
        <f>IFERROR(aurora_data!P1505,0)</f>
        <v>0</v>
      </c>
      <c r="R85" s="63">
        <f>IFERROR(aurora_data!Q1505,0)</f>
        <v>0</v>
      </c>
      <c r="S85" s="62">
        <f>IFERROR(aurora_data!R1505,0)</f>
        <v>0</v>
      </c>
      <c r="T85" s="62">
        <f>IFERROR(aurora_data!S1505,0)</f>
        <v>0</v>
      </c>
      <c r="U85" s="63">
        <f>IFERROR(aurora_data!T1505,0)</f>
        <v>0</v>
      </c>
      <c r="V85" s="64" t="s">
        <v>95</v>
      </c>
      <c r="W85" s="36">
        <f>IFERROR(aurora_data!U1505,0)</f>
        <v>0</v>
      </c>
      <c r="X85" s="71">
        <f t="shared" ref="X85:X91" si="9">IFERROR(W85/$W$12,0)</f>
        <v>0</v>
      </c>
      <c r="Y85" s="2"/>
    </row>
    <row r="86" spans="1:25" customFormat="1">
      <c r="A86" s="2"/>
      <c r="B86" s="211"/>
      <c r="C86" s="213"/>
      <c r="D86" s="35" t="s">
        <v>60</v>
      </c>
      <c r="E86" s="110">
        <f>IFERROR(aurora_data!D1506,0)</f>
        <v>0</v>
      </c>
      <c r="F86" s="62">
        <f>IFERROR(aurora_data!E1506,0)</f>
        <v>0</v>
      </c>
      <c r="G86" s="62">
        <f>IFERROR(aurora_data!F1506,0)</f>
        <v>0</v>
      </c>
      <c r="H86" s="62">
        <f>IFERROR(aurora_data!G1506,0)</f>
        <v>0</v>
      </c>
      <c r="I86" s="63">
        <f>IFERROR(aurora_data!H1506,0)</f>
        <v>0</v>
      </c>
      <c r="J86" s="36">
        <f>IFERROR(aurora_data!I1506,0)</f>
        <v>0</v>
      </c>
      <c r="K86" s="62">
        <f>IFERROR(aurora_data!J1506,0)</f>
        <v>0</v>
      </c>
      <c r="L86" s="62">
        <f>IFERROR(aurora_data!K1506,0)</f>
        <v>0</v>
      </c>
      <c r="M86" s="62">
        <f>IFERROR(aurora_data!L1506,0)</f>
        <v>0</v>
      </c>
      <c r="N86" s="63">
        <f>IFERROR(aurora_data!M1506,0)</f>
        <v>0</v>
      </c>
      <c r="O86" s="36">
        <f>IFERROR(aurora_data!N1506,0)</f>
        <v>0</v>
      </c>
      <c r="P86" s="62">
        <f>IFERROR(aurora_data!O1506,0)</f>
        <v>0</v>
      </c>
      <c r="Q86" s="62">
        <f>IFERROR(aurora_data!P1506,0)</f>
        <v>0</v>
      </c>
      <c r="R86" s="63">
        <f>IFERROR(aurora_data!Q1506,0)</f>
        <v>0</v>
      </c>
      <c r="S86" s="62">
        <f>IFERROR(aurora_data!R1506,0)</f>
        <v>0</v>
      </c>
      <c r="T86" s="62">
        <f>IFERROR(aurora_data!S1506,0)</f>
        <v>0</v>
      </c>
      <c r="U86" s="63">
        <f>IFERROR(aurora_data!T1506,0)</f>
        <v>0</v>
      </c>
      <c r="V86" s="64" t="s">
        <v>95</v>
      </c>
      <c r="W86" s="36">
        <f>IFERROR(aurora_data!U1506,0)</f>
        <v>0</v>
      </c>
      <c r="X86" s="71">
        <f t="shared" si="9"/>
        <v>0</v>
      </c>
      <c r="Y86" s="2"/>
    </row>
    <row r="87" spans="1:25" customFormat="1">
      <c r="A87" s="2"/>
      <c r="B87" s="211"/>
      <c r="C87" s="213"/>
      <c r="D87" s="35" t="s">
        <v>97</v>
      </c>
      <c r="E87" s="36">
        <f>IFERROR(aurora_data!D1507,0)</f>
        <v>0</v>
      </c>
      <c r="F87" s="62">
        <f>IFERROR(aurora_data!E1507,0)</f>
        <v>0</v>
      </c>
      <c r="G87" s="62">
        <f>IFERROR(aurora_data!F1507,0)</f>
        <v>0</v>
      </c>
      <c r="H87" s="62">
        <f>IFERROR(aurora_data!G1507,0)</f>
        <v>0</v>
      </c>
      <c r="I87" s="63">
        <f>IFERROR(aurora_data!H1507,0)</f>
        <v>0</v>
      </c>
      <c r="J87" s="36">
        <f>IFERROR(aurora_data!I1507,0)</f>
        <v>0</v>
      </c>
      <c r="K87" s="62">
        <f>IFERROR(aurora_data!J1507,0)</f>
        <v>0</v>
      </c>
      <c r="L87" s="62">
        <f>IFERROR(aurora_data!K1507,0)</f>
        <v>0</v>
      </c>
      <c r="M87" s="62">
        <f>IFERROR(aurora_data!L1507,0)</f>
        <v>0</v>
      </c>
      <c r="N87" s="63">
        <f>IFERROR(aurora_data!M1507,0)</f>
        <v>0</v>
      </c>
      <c r="O87" s="36">
        <f>IFERROR(aurora_data!N1507,0)</f>
        <v>0</v>
      </c>
      <c r="P87" s="62">
        <f>IFERROR(aurora_data!O1507,0)</f>
        <v>0</v>
      </c>
      <c r="Q87" s="62">
        <f>IFERROR(aurora_data!P1507,0)</f>
        <v>0</v>
      </c>
      <c r="R87" s="63">
        <f>IFERROR(aurora_data!Q1507,0)</f>
        <v>0</v>
      </c>
      <c r="S87" s="62">
        <f>IFERROR(aurora_data!R1507,0)</f>
        <v>0</v>
      </c>
      <c r="T87" s="62">
        <f>IFERROR(aurora_data!S1507,0)</f>
        <v>0</v>
      </c>
      <c r="U87" s="63">
        <f>IFERROR(aurora_data!T1507,0)</f>
        <v>0</v>
      </c>
      <c r="V87" s="64" t="s">
        <v>95</v>
      </c>
      <c r="W87" s="36">
        <f>IFERROR(aurora_data!U1507,0)</f>
        <v>0</v>
      </c>
      <c r="X87" s="71">
        <f t="shared" si="9"/>
        <v>0</v>
      </c>
      <c r="Y87" s="2"/>
    </row>
    <row r="88" spans="1:25" customFormat="1">
      <c r="A88" s="2"/>
      <c r="B88" s="211"/>
      <c r="C88" s="213"/>
      <c r="D88" s="35" t="s">
        <v>98</v>
      </c>
      <c r="E88" s="36">
        <f>IFERROR(aurora_data!D1508,0)</f>
        <v>0</v>
      </c>
      <c r="F88" s="62">
        <f>IFERROR(aurora_data!E1508,0)</f>
        <v>0</v>
      </c>
      <c r="G88" s="62">
        <f>IFERROR(aurora_data!F1508,0)</f>
        <v>0</v>
      </c>
      <c r="H88" s="62">
        <f>IFERROR(aurora_data!G1508,0)</f>
        <v>0</v>
      </c>
      <c r="I88" s="63">
        <f>IFERROR(aurora_data!H1508,0)</f>
        <v>0</v>
      </c>
      <c r="J88" s="36">
        <f>IFERROR(aurora_data!I1508,0)</f>
        <v>0</v>
      </c>
      <c r="K88" s="62">
        <f>IFERROR(aurora_data!J1508,0)</f>
        <v>0</v>
      </c>
      <c r="L88" s="62">
        <f>IFERROR(aurora_data!K1508,0)</f>
        <v>0</v>
      </c>
      <c r="M88" s="62">
        <f>IFERROR(aurora_data!L1508,0)</f>
        <v>0</v>
      </c>
      <c r="N88" s="63">
        <f>IFERROR(aurora_data!M1508,0)</f>
        <v>0</v>
      </c>
      <c r="O88" s="36">
        <f>IFERROR(aurora_data!N1508,0)</f>
        <v>0</v>
      </c>
      <c r="P88" s="62">
        <f>IFERROR(aurora_data!O1508,0)</f>
        <v>0</v>
      </c>
      <c r="Q88" s="62">
        <f>IFERROR(aurora_data!P1508,0)</f>
        <v>0</v>
      </c>
      <c r="R88" s="63">
        <f>IFERROR(aurora_data!Q1508,0)</f>
        <v>0</v>
      </c>
      <c r="S88" s="62">
        <f>IFERROR(aurora_data!R1508,0)</f>
        <v>0</v>
      </c>
      <c r="T88" s="62">
        <f>IFERROR(aurora_data!S1508,0)</f>
        <v>0</v>
      </c>
      <c r="U88" s="63">
        <f>IFERROR(aurora_data!T1508,0)</f>
        <v>0</v>
      </c>
      <c r="V88" s="64" t="s">
        <v>95</v>
      </c>
      <c r="W88" s="36">
        <f>IFERROR(aurora_data!U1508,0)</f>
        <v>0</v>
      </c>
      <c r="X88" s="71">
        <f t="shared" si="9"/>
        <v>0</v>
      </c>
      <c r="Y88" s="2"/>
    </row>
    <row r="89" spans="1:25" customFormat="1" ht="16.5" thickBot="1">
      <c r="A89" s="2"/>
      <c r="B89" s="211"/>
      <c r="C89" s="213"/>
      <c r="D89" s="35" t="s">
        <v>99</v>
      </c>
      <c r="E89" s="36">
        <f>IFERROR(aurora_data!D1509,0)</f>
        <v>0</v>
      </c>
      <c r="F89" s="62">
        <f>IFERROR(aurora_data!E1509,0)</f>
        <v>0</v>
      </c>
      <c r="G89" s="62">
        <f>IFERROR(aurora_data!F1509,0)</f>
        <v>0</v>
      </c>
      <c r="H89" s="62">
        <f>IFERROR(aurora_data!G1509,0)</f>
        <v>0</v>
      </c>
      <c r="I89" s="63">
        <f>IFERROR(aurora_data!H1509,0)</f>
        <v>0</v>
      </c>
      <c r="J89" s="36">
        <f>IFERROR(aurora_data!I1509,0)</f>
        <v>0</v>
      </c>
      <c r="K89" s="62">
        <f>IFERROR(aurora_data!J1509,0)</f>
        <v>0</v>
      </c>
      <c r="L89" s="62">
        <f>IFERROR(aurora_data!K1509,0)</f>
        <v>0</v>
      </c>
      <c r="M89" s="62">
        <f>IFERROR(aurora_data!L1509,0)</f>
        <v>0</v>
      </c>
      <c r="N89" s="63">
        <f>IFERROR(aurora_data!M1509,0)</f>
        <v>0</v>
      </c>
      <c r="O89" s="36">
        <f>IFERROR(aurora_data!N1509,0)</f>
        <v>0</v>
      </c>
      <c r="P89" s="62">
        <f>IFERROR(aurora_data!O1509,0)</f>
        <v>0</v>
      </c>
      <c r="Q89" s="62">
        <f>IFERROR(aurora_data!P1509,0)</f>
        <v>0</v>
      </c>
      <c r="R89" s="63">
        <f>IFERROR(aurora_data!Q1509,0)</f>
        <v>0</v>
      </c>
      <c r="S89" s="62">
        <f>IFERROR(aurora_data!R1509,0)</f>
        <v>0</v>
      </c>
      <c r="T89" s="62">
        <f>IFERROR(aurora_data!S1509,0)</f>
        <v>0</v>
      </c>
      <c r="U89" s="63">
        <f>IFERROR(aurora_data!T1509,0)</f>
        <v>0</v>
      </c>
      <c r="V89" s="64" t="s">
        <v>95</v>
      </c>
      <c r="W89" s="36">
        <f>IFERROR(aurora_data!U1509,0)</f>
        <v>0</v>
      </c>
      <c r="X89" s="71">
        <f t="shared" si="9"/>
        <v>0</v>
      </c>
      <c r="Y89" s="2"/>
    </row>
    <row r="90" spans="1:25" customFormat="1" ht="16.5" thickBot="1">
      <c r="A90" s="2"/>
      <c r="B90" s="211"/>
      <c r="C90" s="213"/>
      <c r="D90" s="37" t="s">
        <v>64</v>
      </c>
      <c r="E90" s="59">
        <f>IFERROR(aurora_data!D1510,0)</f>
        <v>0</v>
      </c>
      <c r="F90" s="65">
        <f>IFERROR(aurora_data!E1510,0)</f>
        <v>0</v>
      </c>
      <c r="G90" s="65">
        <f>IFERROR(aurora_data!F1510,0)</f>
        <v>0</v>
      </c>
      <c r="H90" s="65">
        <f>IFERROR(aurora_data!G1510,0)</f>
        <v>0</v>
      </c>
      <c r="I90" s="66">
        <f>IFERROR(aurora_data!H1510,0)</f>
        <v>0</v>
      </c>
      <c r="J90" s="59">
        <f>IFERROR(aurora_data!I1510,0)</f>
        <v>0</v>
      </c>
      <c r="K90" s="65">
        <f>IFERROR(aurora_data!J1510,0)</f>
        <v>0</v>
      </c>
      <c r="L90" s="65">
        <f>IFERROR(aurora_data!K1510,0)</f>
        <v>0</v>
      </c>
      <c r="M90" s="65">
        <f>IFERROR(aurora_data!L1510,0)</f>
        <v>0</v>
      </c>
      <c r="N90" s="66">
        <f>IFERROR(aurora_data!M1510,0)</f>
        <v>0</v>
      </c>
      <c r="O90" s="59">
        <f>IFERROR(aurora_data!N1510,0)</f>
        <v>0</v>
      </c>
      <c r="P90" s="65">
        <f>IFERROR(aurora_data!O1510,0)</f>
        <v>0</v>
      </c>
      <c r="Q90" s="65">
        <f>IFERROR(aurora_data!P1510,0)</f>
        <v>0</v>
      </c>
      <c r="R90" s="66">
        <f>IFERROR(aurora_data!Q1510,0)</f>
        <v>0</v>
      </c>
      <c r="S90" s="65">
        <f>IFERROR(aurora_data!R1510,0)</f>
        <v>0</v>
      </c>
      <c r="T90" s="65">
        <f>IFERROR(aurora_data!S1510,0)</f>
        <v>0</v>
      </c>
      <c r="U90" s="66">
        <f>IFERROR(aurora_data!T1510,0)</f>
        <v>0</v>
      </c>
      <c r="V90" s="67" t="s">
        <v>95</v>
      </c>
      <c r="W90" s="59">
        <f>IFERROR(aurora_data!U1510,0)</f>
        <v>0</v>
      </c>
      <c r="X90" s="72">
        <f t="shared" si="9"/>
        <v>0</v>
      </c>
      <c r="Y90" s="2"/>
    </row>
    <row r="91" spans="1:25" customFormat="1" ht="16.5" thickBot="1">
      <c r="A91" s="2"/>
      <c r="B91" s="211"/>
      <c r="C91" s="213"/>
      <c r="D91" s="38" t="s">
        <v>100</v>
      </c>
      <c r="E91" s="60">
        <f>IFERROR(aurora_data!D1511,0)</f>
        <v>0</v>
      </c>
      <c r="F91" s="68">
        <f>IFERROR(aurora_data!E1511,0)</f>
        <v>0</v>
      </c>
      <c r="G91" s="68">
        <f>IFERROR(aurora_data!F1511,0)</f>
        <v>0</v>
      </c>
      <c r="H91" s="68">
        <f>IFERROR(aurora_data!G1511,0)</f>
        <v>0</v>
      </c>
      <c r="I91" s="69">
        <f>IFERROR(aurora_data!H1511,0)</f>
        <v>0</v>
      </c>
      <c r="J91" s="60">
        <f>IFERROR(aurora_data!I1511,0)</f>
        <v>0</v>
      </c>
      <c r="K91" s="68">
        <f>IFERROR(aurora_data!J1511,0)</f>
        <v>0</v>
      </c>
      <c r="L91" s="68">
        <f>IFERROR(aurora_data!K1511,0)</f>
        <v>0</v>
      </c>
      <c r="M91" s="68">
        <f>IFERROR(aurora_data!L1511,0)</f>
        <v>0</v>
      </c>
      <c r="N91" s="69">
        <f>IFERROR(aurora_data!M1511,0)</f>
        <v>0</v>
      </c>
      <c r="O91" s="60">
        <f>IFERROR(aurora_data!N1511,0)</f>
        <v>0</v>
      </c>
      <c r="P91" s="68">
        <f>IFERROR(aurora_data!O1511,0)</f>
        <v>0</v>
      </c>
      <c r="Q91" s="68">
        <f>IFERROR(aurora_data!P1511,0)</f>
        <v>0</v>
      </c>
      <c r="R91" s="69">
        <f>IFERROR(aurora_data!Q1511,0)</f>
        <v>0</v>
      </c>
      <c r="S91" s="68">
        <f>IFERROR(aurora_data!R1511,0)</f>
        <v>0</v>
      </c>
      <c r="T91" s="68">
        <f>IFERROR(aurora_data!S1511,0)</f>
        <v>0</v>
      </c>
      <c r="U91" s="74">
        <f>IFERROR(aurora_data!T1511,0)</f>
        <v>0</v>
      </c>
      <c r="V91" s="75" t="s">
        <v>95</v>
      </c>
      <c r="W91" s="60">
        <f>IFERROR(aurora_data!U1511,0)</f>
        <v>0</v>
      </c>
      <c r="X91" s="73">
        <f t="shared" si="9"/>
        <v>0</v>
      </c>
      <c r="Y91" s="2"/>
    </row>
    <row r="92" spans="1:25" customFormat="1">
      <c r="A92" s="2"/>
      <c r="B92" s="210" t="s">
        <v>94</v>
      </c>
      <c r="C92" s="212" t="str">
        <f>aurora_data!A1512</f>
        <v>16.00.00-16.11.30</v>
      </c>
      <c r="D92" s="34" t="s">
        <v>71</v>
      </c>
      <c r="E92" s="39">
        <f>IFERROR(aurora_data!D1512,0)</f>
        <v>0</v>
      </c>
      <c r="F92" s="40">
        <f>IFERROR(aurora_data!E1512,0)</f>
        <v>0</v>
      </c>
      <c r="G92" s="40">
        <f>IFERROR(aurora_data!F1512,0)</f>
        <v>0</v>
      </c>
      <c r="H92" s="40">
        <f>IFERROR(aurora_data!G1512,0)</f>
        <v>0</v>
      </c>
      <c r="I92" s="41">
        <f>IFERROR(aurora_data!H1512,0)</f>
        <v>0</v>
      </c>
      <c r="J92" s="39">
        <f>IFERROR(aurora_data!I1512,0)</f>
        <v>0</v>
      </c>
      <c r="K92" s="40">
        <f>IFERROR(aurora_data!J1512,0)</f>
        <v>0</v>
      </c>
      <c r="L92" s="40">
        <f>IFERROR(aurora_data!K1512,0)</f>
        <v>0</v>
      </c>
      <c r="M92" s="40">
        <f>IFERROR(aurora_data!L1512,0)</f>
        <v>0</v>
      </c>
      <c r="N92" s="41">
        <f>IFERROR(aurora_data!M1512,0)</f>
        <v>0</v>
      </c>
      <c r="O92" s="39">
        <f>IFERROR(aurora_data!N1512,0)</f>
        <v>0</v>
      </c>
      <c r="P92" s="40">
        <f>IFERROR(aurora_data!O1512,0)</f>
        <v>0</v>
      </c>
      <c r="Q92" s="40">
        <f>IFERROR(aurora_data!P1512,0)</f>
        <v>0</v>
      </c>
      <c r="R92" s="41">
        <f>IFERROR(aurora_data!Q1512,0)</f>
        <v>0</v>
      </c>
      <c r="S92" s="40">
        <f>IFERROR(aurora_data!R1512,0)</f>
        <v>0</v>
      </c>
      <c r="T92" s="40">
        <f>IFERROR(aurora_data!S1512,0)</f>
        <v>0</v>
      </c>
      <c r="U92" s="76">
        <f>IFERROR(aurora_data!T1512,0)</f>
        <v>0</v>
      </c>
      <c r="V92" s="61" t="s">
        <v>95</v>
      </c>
      <c r="W92" s="39">
        <f>IFERROR(aurora_data!U1512,0)</f>
        <v>3</v>
      </c>
      <c r="X92" s="70">
        <f>IFERROR(W92/$W$12,0)</f>
        <v>1.5</v>
      </c>
      <c r="Y92" s="2"/>
    </row>
    <row r="93" spans="1:25" customFormat="1">
      <c r="A93" s="2"/>
      <c r="B93" s="211"/>
      <c r="C93" s="213"/>
      <c r="D93" s="35" t="s">
        <v>96</v>
      </c>
      <c r="E93" s="110">
        <f>IFERROR(aurora_data!D1513,0)</f>
        <v>0</v>
      </c>
      <c r="F93" s="62">
        <f>IFERROR(aurora_data!E1513,0)</f>
        <v>0</v>
      </c>
      <c r="G93" s="62">
        <f>IFERROR(aurora_data!F1513,0)</f>
        <v>0</v>
      </c>
      <c r="H93" s="62">
        <f>IFERROR(aurora_data!G1513,0)</f>
        <v>0</v>
      </c>
      <c r="I93" s="63">
        <f>IFERROR(aurora_data!H1513,0)</f>
        <v>1</v>
      </c>
      <c r="J93" s="36">
        <f>IFERROR(aurora_data!I1513,0)</f>
        <v>0</v>
      </c>
      <c r="K93" s="62">
        <f>IFERROR(aurora_data!J1513,0)</f>
        <v>0</v>
      </c>
      <c r="L93" s="62">
        <f>IFERROR(aurora_data!K1513,0)</f>
        <v>0</v>
      </c>
      <c r="M93" s="62">
        <f>IFERROR(aurora_data!L1513,0)</f>
        <v>0</v>
      </c>
      <c r="N93" s="63">
        <f>IFERROR(aurora_data!M1513,0)</f>
        <v>1</v>
      </c>
      <c r="O93" s="36">
        <f>IFERROR(aurora_data!N1513,0)</f>
        <v>0</v>
      </c>
      <c r="P93" s="62">
        <f>IFERROR(aurora_data!O1513,0)</f>
        <v>0</v>
      </c>
      <c r="Q93" s="62">
        <f>IFERROR(aurora_data!P1513,0)</f>
        <v>1</v>
      </c>
      <c r="R93" s="63">
        <f>IFERROR(aurora_data!Q1513,0)</f>
        <v>0</v>
      </c>
      <c r="S93" s="62">
        <f>IFERROR(aurora_data!R1513,0)</f>
        <v>0</v>
      </c>
      <c r="T93" s="62">
        <f>IFERROR(aurora_data!S1513,0)</f>
        <v>1</v>
      </c>
      <c r="U93" s="63">
        <f>IFERROR(aurora_data!T1513,0)</f>
        <v>0</v>
      </c>
      <c r="V93" s="64" t="s">
        <v>95</v>
      </c>
      <c r="W93" s="36">
        <f>IFERROR(aurora_data!U1513,0)</f>
        <v>1</v>
      </c>
      <c r="X93" s="71">
        <f t="shared" ref="X93:X99" si="10">IFERROR(W93/$W$12,0)</f>
        <v>0.5</v>
      </c>
      <c r="Y93" s="2"/>
    </row>
    <row r="94" spans="1:25" customFormat="1">
      <c r="A94" s="2"/>
      <c r="B94" s="211"/>
      <c r="C94" s="213"/>
      <c r="D94" s="35" t="s">
        <v>60</v>
      </c>
      <c r="E94" s="110">
        <f>IFERROR(aurora_data!D1514,0)</f>
        <v>0</v>
      </c>
      <c r="F94" s="62">
        <f>IFERROR(aurora_data!E1514,0)</f>
        <v>0</v>
      </c>
      <c r="G94" s="62">
        <f>IFERROR(aurora_data!F1514,0)</f>
        <v>0</v>
      </c>
      <c r="H94" s="62">
        <f>IFERROR(aurora_data!G1514,0)</f>
        <v>0</v>
      </c>
      <c r="I94" s="63">
        <f>IFERROR(aurora_data!H1514,0)</f>
        <v>0</v>
      </c>
      <c r="J94" s="36">
        <f>IFERROR(aurora_data!I1514,0)</f>
        <v>0</v>
      </c>
      <c r="K94" s="62">
        <f>IFERROR(aurora_data!J1514,0)</f>
        <v>0</v>
      </c>
      <c r="L94" s="62">
        <f>IFERROR(aurora_data!K1514,0)</f>
        <v>0</v>
      </c>
      <c r="M94" s="62">
        <f>IFERROR(aurora_data!L1514,0)</f>
        <v>0</v>
      </c>
      <c r="N94" s="63">
        <f>IFERROR(aurora_data!M1514,0)</f>
        <v>0</v>
      </c>
      <c r="O94" s="36">
        <f>IFERROR(aurora_data!N1514,0)</f>
        <v>0</v>
      </c>
      <c r="P94" s="62">
        <f>IFERROR(aurora_data!O1514,0)</f>
        <v>0</v>
      </c>
      <c r="Q94" s="62">
        <f>IFERROR(aurora_data!P1514,0)</f>
        <v>0</v>
      </c>
      <c r="R94" s="63">
        <f>IFERROR(aurora_data!Q1514,0)</f>
        <v>0</v>
      </c>
      <c r="S94" s="62">
        <f>IFERROR(aurora_data!R1514,0)</f>
        <v>0</v>
      </c>
      <c r="T94" s="62">
        <f>IFERROR(aurora_data!S1514,0)</f>
        <v>0</v>
      </c>
      <c r="U94" s="63">
        <f>IFERROR(aurora_data!T1514,0)</f>
        <v>0</v>
      </c>
      <c r="V94" s="64" t="s">
        <v>95</v>
      </c>
      <c r="W94" s="36">
        <f>IFERROR(aurora_data!U1514,0)</f>
        <v>0</v>
      </c>
      <c r="X94" s="71">
        <f t="shared" si="10"/>
        <v>0</v>
      </c>
      <c r="Y94" s="2"/>
    </row>
    <row r="95" spans="1:25" customFormat="1">
      <c r="A95" s="2"/>
      <c r="B95" s="211"/>
      <c r="C95" s="213"/>
      <c r="D95" s="35" t="s">
        <v>97</v>
      </c>
      <c r="E95" s="36">
        <f>IFERROR(aurora_data!D1515,0)</f>
        <v>0</v>
      </c>
      <c r="F95" s="62">
        <f>IFERROR(aurora_data!E1515,0)</f>
        <v>0</v>
      </c>
      <c r="G95" s="62">
        <f>IFERROR(aurora_data!F1515,0)</f>
        <v>0</v>
      </c>
      <c r="H95" s="62">
        <f>IFERROR(aurora_data!G1515,0)</f>
        <v>0</v>
      </c>
      <c r="I95" s="63">
        <f>IFERROR(aurora_data!H1515,0)</f>
        <v>0</v>
      </c>
      <c r="J95" s="36">
        <f>IFERROR(aurora_data!I1515,0)</f>
        <v>0</v>
      </c>
      <c r="K95" s="62">
        <f>IFERROR(aurora_data!J1515,0)</f>
        <v>0</v>
      </c>
      <c r="L95" s="62">
        <f>IFERROR(aurora_data!K1515,0)</f>
        <v>0</v>
      </c>
      <c r="M95" s="62">
        <f>IFERROR(aurora_data!L1515,0)</f>
        <v>0</v>
      </c>
      <c r="N95" s="63">
        <f>IFERROR(aurora_data!M1515,0)</f>
        <v>0</v>
      </c>
      <c r="O95" s="36">
        <f>IFERROR(aurora_data!N1515,0)</f>
        <v>0</v>
      </c>
      <c r="P95" s="62">
        <f>IFERROR(aurora_data!O1515,0)</f>
        <v>0</v>
      </c>
      <c r="Q95" s="62">
        <f>IFERROR(aurora_data!P1515,0)</f>
        <v>0</v>
      </c>
      <c r="R95" s="63">
        <f>IFERROR(aurora_data!Q1515,0)</f>
        <v>0</v>
      </c>
      <c r="S95" s="62">
        <f>IFERROR(aurora_data!R1515,0)</f>
        <v>0</v>
      </c>
      <c r="T95" s="62">
        <f>IFERROR(aurora_data!S1515,0)</f>
        <v>0</v>
      </c>
      <c r="U95" s="63">
        <f>IFERROR(aurora_data!T1515,0)</f>
        <v>0</v>
      </c>
      <c r="V95" s="64" t="s">
        <v>95</v>
      </c>
      <c r="W95" s="36">
        <f>IFERROR(aurora_data!U1515,0)</f>
        <v>0</v>
      </c>
      <c r="X95" s="71">
        <f t="shared" si="10"/>
        <v>0</v>
      </c>
      <c r="Y95" s="2"/>
    </row>
    <row r="96" spans="1:25" customFormat="1">
      <c r="A96" s="2"/>
      <c r="B96" s="211"/>
      <c r="C96" s="213"/>
      <c r="D96" s="35" t="s">
        <v>98</v>
      </c>
      <c r="E96" s="36">
        <f>IFERROR(aurora_data!D1516,0)</f>
        <v>0</v>
      </c>
      <c r="F96" s="62">
        <f>IFERROR(aurora_data!E1516,0)</f>
        <v>0</v>
      </c>
      <c r="G96" s="62">
        <f>IFERROR(aurora_data!F1516,0)</f>
        <v>0</v>
      </c>
      <c r="H96" s="62">
        <f>IFERROR(aurora_data!G1516,0)</f>
        <v>0</v>
      </c>
      <c r="I96" s="63">
        <f>IFERROR(aurora_data!H1516,0)</f>
        <v>0</v>
      </c>
      <c r="J96" s="36">
        <f>IFERROR(aurora_data!I1516,0)</f>
        <v>0</v>
      </c>
      <c r="K96" s="62">
        <f>IFERROR(aurora_data!J1516,0)</f>
        <v>0</v>
      </c>
      <c r="L96" s="62">
        <f>IFERROR(aurora_data!K1516,0)</f>
        <v>0</v>
      </c>
      <c r="M96" s="62">
        <f>IFERROR(aurora_data!L1516,0)</f>
        <v>0</v>
      </c>
      <c r="N96" s="63">
        <f>IFERROR(aurora_data!M1516,0)</f>
        <v>0</v>
      </c>
      <c r="O96" s="36">
        <f>IFERROR(aurora_data!N1516,0)</f>
        <v>0</v>
      </c>
      <c r="P96" s="62">
        <f>IFERROR(aurora_data!O1516,0)</f>
        <v>0</v>
      </c>
      <c r="Q96" s="62">
        <f>IFERROR(aurora_data!P1516,0)</f>
        <v>0</v>
      </c>
      <c r="R96" s="63">
        <f>IFERROR(aurora_data!Q1516,0)</f>
        <v>0</v>
      </c>
      <c r="S96" s="62">
        <f>IFERROR(aurora_data!R1516,0)</f>
        <v>0</v>
      </c>
      <c r="T96" s="62">
        <f>IFERROR(aurora_data!S1516,0)</f>
        <v>0</v>
      </c>
      <c r="U96" s="63">
        <f>IFERROR(aurora_data!T1516,0)</f>
        <v>0</v>
      </c>
      <c r="V96" s="64" t="s">
        <v>95</v>
      </c>
      <c r="W96" s="36">
        <f>IFERROR(aurora_data!U1516,0)</f>
        <v>0</v>
      </c>
      <c r="X96" s="71">
        <f t="shared" si="10"/>
        <v>0</v>
      </c>
      <c r="Y96" s="2"/>
    </row>
    <row r="97" spans="1:25" customFormat="1" ht="16.5" thickBot="1">
      <c r="A97" s="2"/>
      <c r="B97" s="211"/>
      <c r="C97" s="213"/>
      <c r="D97" s="35" t="s">
        <v>99</v>
      </c>
      <c r="E97" s="36">
        <f>IFERROR(aurora_data!D1517,0)</f>
        <v>0</v>
      </c>
      <c r="F97" s="62">
        <f>IFERROR(aurora_data!E1517,0)</f>
        <v>0</v>
      </c>
      <c r="G97" s="62">
        <f>IFERROR(aurora_data!F1517,0)</f>
        <v>0</v>
      </c>
      <c r="H97" s="62">
        <f>IFERROR(aurora_data!G1517,0)</f>
        <v>0</v>
      </c>
      <c r="I97" s="63">
        <f>IFERROR(aurora_data!H1517,0)</f>
        <v>0</v>
      </c>
      <c r="J97" s="36">
        <f>IFERROR(aurora_data!I1517,0)</f>
        <v>0</v>
      </c>
      <c r="K97" s="62">
        <f>IFERROR(aurora_data!J1517,0)</f>
        <v>0</v>
      </c>
      <c r="L97" s="62">
        <f>IFERROR(aurora_data!K1517,0)</f>
        <v>0</v>
      </c>
      <c r="M97" s="62">
        <f>IFERROR(aurora_data!L1517,0)</f>
        <v>0</v>
      </c>
      <c r="N97" s="63">
        <f>IFERROR(aurora_data!M1517,0)</f>
        <v>0</v>
      </c>
      <c r="O97" s="36">
        <f>IFERROR(aurora_data!N1517,0)</f>
        <v>0</v>
      </c>
      <c r="P97" s="62">
        <f>IFERROR(aurora_data!O1517,0)</f>
        <v>0</v>
      </c>
      <c r="Q97" s="62">
        <f>IFERROR(aurora_data!P1517,0)</f>
        <v>0</v>
      </c>
      <c r="R97" s="63">
        <f>IFERROR(aurora_data!Q1517,0)</f>
        <v>0</v>
      </c>
      <c r="S97" s="62">
        <f>IFERROR(aurora_data!R1517,0)</f>
        <v>0</v>
      </c>
      <c r="T97" s="62">
        <f>IFERROR(aurora_data!S1517,0)</f>
        <v>0</v>
      </c>
      <c r="U97" s="63">
        <f>IFERROR(aurora_data!T1517,0)</f>
        <v>0</v>
      </c>
      <c r="V97" s="64" t="s">
        <v>95</v>
      </c>
      <c r="W97" s="36">
        <f>IFERROR(aurora_data!U1517,0)</f>
        <v>0</v>
      </c>
      <c r="X97" s="71">
        <f t="shared" si="10"/>
        <v>0</v>
      </c>
      <c r="Y97" s="2"/>
    </row>
    <row r="98" spans="1:25" customFormat="1" ht="16.5" thickBot="1">
      <c r="A98" s="2"/>
      <c r="B98" s="211"/>
      <c r="C98" s="213"/>
      <c r="D98" s="37" t="s">
        <v>64</v>
      </c>
      <c r="E98" s="59">
        <f>IFERROR(aurora_data!D1518,0)</f>
        <v>0</v>
      </c>
      <c r="F98" s="65">
        <f>IFERROR(aurora_data!E1518,0)</f>
        <v>0</v>
      </c>
      <c r="G98" s="65">
        <f>IFERROR(aurora_data!F1518,0)</f>
        <v>0</v>
      </c>
      <c r="H98" s="65">
        <f>IFERROR(aurora_data!G1518,0)</f>
        <v>0</v>
      </c>
      <c r="I98" s="66">
        <f>IFERROR(aurora_data!H1518,0)</f>
        <v>1</v>
      </c>
      <c r="J98" s="59">
        <f>IFERROR(aurora_data!I1518,0)</f>
        <v>0</v>
      </c>
      <c r="K98" s="65">
        <f>IFERROR(aurora_data!J1518,0)</f>
        <v>0</v>
      </c>
      <c r="L98" s="65">
        <f>IFERROR(aurora_data!K1518,0)</f>
        <v>0</v>
      </c>
      <c r="M98" s="65">
        <f>IFERROR(aurora_data!L1518,0)</f>
        <v>0</v>
      </c>
      <c r="N98" s="66">
        <f>IFERROR(aurora_data!M1518,0)</f>
        <v>1</v>
      </c>
      <c r="O98" s="59">
        <f>IFERROR(aurora_data!N1518,0)</f>
        <v>0</v>
      </c>
      <c r="P98" s="65">
        <f>IFERROR(aurora_data!O1518,0)</f>
        <v>0</v>
      </c>
      <c r="Q98" s="65">
        <f>IFERROR(aurora_data!P1518,0)</f>
        <v>1</v>
      </c>
      <c r="R98" s="66">
        <f>IFERROR(aurora_data!Q1518,0)</f>
        <v>0</v>
      </c>
      <c r="S98" s="65">
        <f>IFERROR(aurora_data!R1518,0)</f>
        <v>0</v>
      </c>
      <c r="T98" s="65">
        <f>IFERROR(aurora_data!S1518,0)</f>
        <v>1</v>
      </c>
      <c r="U98" s="66">
        <f>IFERROR(aurora_data!T1518,0)</f>
        <v>0</v>
      </c>
      <c r="V98" s="67" t="s">
        <v>95</v>
      </c>
      <c r="W98" s="59">
        <f>IFERROR(aurora_data!U1518,0)</f>
        <v>1</v>
      </c>
      <c r="X98" s="72">
        <f t="shared" si="10"/>
        <v>0.5</v>
      </c>
      <c r="Y98" s="2"/>
    </row>
    <row r="99" spans="1:25" customFormat="1" ht="16.5" thickBot="1">
      <c r="A99" s="2"/>
      <c r="B99" s="211"/>
      <c r="C99" s="213"/>
      <c r="D99" s="38" t="s">
        <v>100</v>
      </c>
      <c r="E99" s="60">
        <f>IFERROR(aurora_data!D1519,0)</f>
        <v>0</v>
      </c>
      <c r="F99" s="68">
        <f>IFERROR(aurora_data!E1519,0)</f>
        <v>0</v>
      </c>
      <c r="G99" s="68">
        <f>IFERROR(aurora_data!F1519,0)</f>
        <v>0</v>
      </c>
      <c r="H99" s="68">
        <f>IFERROR(aurora_data!G1519,0)</f>
        <v>0</v>
      </c>
      <c r="I99" s="69">
        <f>IFERROR(aurora_data!H1519,0)</f>
        <v>0</v>
      </c>
      <c r="J99" s="60">
        <f>IFERROR(aurora_data!I1519,0)</f>
        <v>0</v>
      </c>
      <c r="K99" s="68">
        <f>IFERROR(aurora_data!J1519,0)</f>
        <v>0</v>
      </c>
      <c r="L99" s="68">
        <f>IFERROR(aurora_data!K1519,0)</f>
        <v>0</v>
      </c>
      <c r="M99" s="68">
        <f>IFERROR(aurora_data!L1519,0)</f>
        <v>0</v>
      </c>
      <c r="N99" s="69">
        <f>IFERROR(aurora_data!M1519,0)</f>
        <v>0</v>
      </c>
      <c r="O99" s="60">
        <f>IFERROR(aurora_data!N1519,0)</f>
        <v>0</v>
      </c>
      <c r="P99" s="68">
        <f>IFERROR(aurora_data!O1519,0)</f>
        <v>0</v>
      </c>
      <c r="Q99" s="68">
        <f>IFERROR(aurora_data!P1519,0)</f>
        <v>0</v>
      </c>
      <c r="R99" s="69">
        <f>IFERROR(aurora_data!Q1519,0)</f>
        <v>0</v>
      </c>
      <c r="S99" s="68">
        <f>IFERROR(aurora_data!R1519,0)</f>
        <v>0</v>
      </c>
      <c r="T99" s="68">
        <f>IFERROR(aurora_data!S1519,0)</f>
        <v>0</v>
      </c>
      <c r="U99" s="74">
        <f>IFERROR(aurora_data!T1519,0)</f>
        <v>0</v>
      </c>
      <c r="V99" s="75" t="s">
        <v>95</v>
      </c>
      <c r="W99" s="60">
        <f>IFERROR(aurora_data!U1519,0)</f>
        <v>0</v>
      </c>
      <c r="X99" s="73">
        <f t="shared" si="10"/>
        <v>0</v>
      </c>
      <c r="Y99" s="2"/>
    </row>
    <row r="100" spans="1:25" customFormat="1" ht="15.75" customHeight="1">
      <c r="A100" s="2"/>
      <c r="B100" s="206" t="s">
        <v>94</v>
      </c>
      <c r="C100" s="208" t="s">
        <v>55</v>
      </c>
      <c r="D100" s="34" t="s">
        <v>71</v>
      </c>
      <c r="E100" s="39">
        <f>IFERROR(aurora_data!D1520,0)</f>
        <v>0</v>
      </c>
      <c r="F100" s="40">
        <f>IFERROR(aurora_data!E1520,0)</f>
        <v>0</v>
      </c>
      <c r="G100" s="40">
        <f>IFERROR(aurora_data!F1520,0)</f>
        <v>0</v>
      </c>
      <c r="H100" s="40">
        <f>IFERROR(aurora_data!G1520,0)</f>
        <v>0</v>
      </c>
      <c r="I100" s="41">
        <f>IFERROR(aurora_data!H1520,0)</f>
        <v>0</v>
      </c>
      <c r="J100" s="39">
        <f>IFERROR(aurora_data!I1520,0)</f>
        <v>0</v>
      </c>
      <c r="K100" s="40">
        <f>IFERROR(aurora_data!J1520,0)</f>
        <v>0</v>
      </c>
      <c r="L100" s="40">
        <f>IFERROR(aurora_data!K1520,0)</f>
        <v>0</v>
      </c>
      <c r="M100" s="40">
        <f>IFERROR(aurora_data!L1520,0)</f>
        <v>0</v>
      </c>
      <c r="N100" s="41">
        <f>IFERROR(aurora_data!M1520,0)</f>
        <v>0</v>
      </c>
      <c r="O100" s="39">
        <f>IFERROR(aurora_data!N1520,0)</f>
        <v>0</v>
      </c>
      <c r="P100" s="40">
        <f>IFERROR(aurora_data!O1520,0)</f>
        <v>0</v>
      </c>
      <c r="Q100" s="40">
        <f>IFERROR(aurora_data!P1520,0)</f>
        <v>0</v>
      </c>
      <c r="R100" s="41">
        <f>IFERROR(aurora_data!Q1520,0)</f>
        <v>0</v>
      </c>
      <c r="S100" s="40">
        <f>IFERROR(aurora_data!R1520,0)</f>
        <v>0</v>
      </c>
      <c r="T100" s="40">
        <f>IFERROR(aurora_data!S1520,0)</f>
        <v>0</v>
      </c>
      <c r="U100" s="41">
        <f>IFERROR(aurora_data!T1520,0)</f>
        <v>0</v>
      </c>
      <c r="V100" s="61" t="s">
        <v>95</v>
      </c>
      <c r="W100" s="39">
        <f>IFERROR(aurora_data!U1520,0)</f>
        <v>27</v>
      </c>
      <c r="X100" s="70">
        <f>IFERROR(W100/$W$100,0)</f>
        <v>1</v>
      </c>
      <c r="Y100" s="2"/>
    </row>
    <row r="101" spans="1:25" customFormat="1" ht="15.75" customHeight="1">
      <c r="A101" s="2"/>
      <c r="B101" s="207"/>
      <c r="C101" s="209"/>
      <c r="D101" s="35" t="s">
        <v>96</v>
      </c>
      <c r="E101" s="36">
        <f>IFERROR(aurora_data!D1521,0)</f>
        <v>0</v>
      </c>
      <c r="F101" s="62">
        <f>IFERROR(aurora_data!E1521,0)</f>
        <v>0</v>
      </c>
      <c r="G101" s="62">
        <f>IFERROR(aurora_data!F1521,0)</f>
        <v>0</v>
      </c>
      <c r="H101" s="62">
        <f>IFERROR(aurora_data!G1521,0)</f>
        <v>0</v>
      </c>
      <c r="I101" s="63">
        <f>IFERROR(aurora_data!H1521,0)</f>
        <v>1</v>
      </c>
      <c r="J101" s="36">
        <f>IFERROR(aurora_data!I1521,0)</f>
        <v>0</v>
      </c>
      <c r="K101" s="62">
        <f>IFERROR(aurora_data!J1521,0)</f>
        <v>0</v>
      </c>
      <c r="L101" s="62">
        <f>IFERROR(aurora_data!K1521,0)</f>
        <v>0</v>
      </c>
      <c r="M101" s="62">
        <f>IFERROR(aurora_data!L1521,0)</f>
        <v>0</v>
      </c>
      <c r="N101" s="63">
        <f>IFERROR(aurora_data!M1521,0)</f>
        <v>1</v>
      </c>
      <c r="O101" s="36">
        <f>IFERROR(aurora_data!N1521,0)</f>
        <v>0</v>
      </c>
      <c r="P101" s="62">
        <f>IFERROR(aurora_data!O1521,0)</f>
        <v>0</v>
      </c>
      <c r="Q101" s="62">
        <f>IFERROR(aurora_data!P1521,0)</f>
        <v>1</v>
      </c>
      <c r="R101" s="63">
        <f>IFERROR(aurora_data!Q1521,0)</f>
        <v>0</v>
      </c>
      <c r="S101" s="62">
        <f>IFERROR(aurora_data!R1521,0)</f>
        <v>0</v>
      </c>
      <c r="T101" s="62">
        <f>IFERROR(aurora_data!S1521,0)</f>
        <v>1</v>
      </c>
      <c r="U101" s="63">
        <f>IFERROR(aurora_data!T1521,0)</f>
        <v>0</v>
      </c>
      <c r="V101" s="64" t="s">
        <v>95</v>
      </c>
      <c r="W101" s="36">
        <f>IFERROR(aurora_data!U1521,0)</f>
        <v>1</v>
      </c>
      <c r="X101" s="71">
        <f t="shared" ref="X101:X107" si="11">IFERROR(W101/$W$100,0)</f>
        <v>3.7037037037037035E-2</v>
      </c>
      <c r="Y101" s="2"/>
    </row>
    <row r="102" spans="1:25" customFormat="1" ht="15.75" customHeight="1">
      <c r="A102" s="2"/>
      <c r="B102" s="207"/>
      <c r="C102" s="209"/>
      <c r="D102" s="35" t="s">
        <v>60</v>
      </c>
      <c r="E102" s="36">
        <f>IFERROR(aurora_data!D1522,0)</f>
        <v>0</v>
      </c>
      <c r="F102" s="62">
        <f>IFERROR(aurora_data!E1522,0)</f>
        <v>0</v>
      </c>
      <c r="G102" s="62">
        <f>IFERROR(aurora_data!F1522,0)</f>
        <v>0</v>
      </c>
      <c r="H102" s="62">
        <f>IFERROR(aurora_data!G1522,0)</f>
        <v>0</v>
      </c>
      <c r="I102" s="63">
        <f>IFERROR(aurora_data!H1522,0)</f>
        <v>0</v>
      </c>
      <c r="J102" s="36">
        <f>IFERROR(aurora_data!I1522,0)</f>
        <v>0</v>
      </c>
      <c r="K102" s="62">
        <f>IFERROR(aurora_data!J1522,0)</f>
        <v>0</v>
      </c>
      <c r="L102" s="62">
        <f>IFERROR(aurora_data!K1522,0)</f>
        <v>0</v>
      </c>
      <c r="M102" s="62">
        <f>IFERROR(aurora_data!L1522,0)</f>
        <v>0</v>
      </c>
      <c r="N102" s="63">
        <f>IFERROR(aurora_data!M1522,0)</f>
        <v>0</v>
      </c>
      <c r="O102" s="36">
        <f>IFERROR(aurora_data!N1522,0)</f>
        <v>0</v>
      </c>
      <c r="P102" s="62">
        <f>IFERROR(aurora_data!O1522,0)</f>
        <v>0</v>
      </c>
      <c r="Q102" s="62">
        <f>IFERROR(aurora_data!P1522,0)</f>
        <v>0</v>
      </c>
      <c r="R102" s="63">
        <f>IFERROR(aurora_data!Q1522,0)</f>
        <v>0</v>
      </c>
      <c r="S102" s="62">
        <f>IFERROR(aurora_data!R1522,0)</f>
        <v>0</v>
      </c>
      <c r="T102" s="62">
        <f>IFERROR(aurora_data!S1522,0)</f>
        <v>0</v>
      </c>
      <c r="U102" s="63">
        <f>IFERROR(aurora_data!T1522,0)</f>
        <v>0</v>
      </c>
      <c r="V102" s="64" t="s">
        <v>95</v>
      </c>
      <c r="W102" s="36">
        <f>IFERROR(aurora_data!U1522,0)</f>
        <v>0</v>
      </c>
      <c r="X102" s="71">
        <f t="shared" si="11"/>
        <v>0</v>
      </c>
      <c r="Y102" s="2"/>
    </row>
    <row r="103" spans="1:25" customFormat="1" ht="15.75" customHeight="1">
      <c r="A103" s="2"/>
      <c r="B103" s="207"/>
      <c r="C103" s="209"/>
      <c r="D103" s="35" t="s">
        <v>97</v>
      </c>
      <c r="E103" s="36">
        <f>IFERROR(aurora_data!D1523,0)</f>
        <v>0</v>
      </c>
      <c r="F103" s="62">
        <f>IFERROR(aurora_data!E1523,0)</f>
        <v>0</v>
      </c>
      <c r="G103" s="62">
        <f>IFERROR(aurora_data!F1523,0)</f>
        <v>0</v>
      </c>
      <c r="H103" s="62">
        <f>IFERROR(aurora_data!G1523,0)</f>
        <v>0</v>
      </c>
      <c r="I103" s="63">
        <f>IFERROR(aurora_data!H1523,0)</f>
        <v>0</v>
      </c>
      <c r="J103" s="36">
        <f>IFERROR(aurora_data!I1523,0)</f>
        <v>0</v>
      </c>
      <c r="K103" s="62">
        <f>IFERROR(aurora_data!J1523,0)</f>
        <v>0</v>
      </c>
      <c r="L103" s="62">
        <f>IFERROR(aurora_data!K1523,0)</f>
        <v>0</v>
      </c>
      <c r="M103" s="62">
        <f>IFERROR(aurora_data!L1523,0)</f>
        <v>0</v>
      </c>
      <c r="N103" s="63">
        <f>IFERROR(aurora_data!M1523,0)</f>
        <v>0</v>
      </c>
      <c r="O103" s="36">
        <f>IFERROR(aurora_data!N1523,0)</f>
        <v>0</v>
      </c>
      <c r="P103" s="62">
        <f>IFERROR(aurora_data!O1523,0)</f>
        <v>0</v>
      </c>
      <c r="Q103" s="62">
        <f>IFERROR(aurora_data!P1523,0)</f>
        <v>0</v>
      </c>
      <c r="R103" s="63">
        <f>IFERROR(aurora_data!Q1523,0)</f>
        <v>0</v>
      </c>
      <c r="S103" s="62">
        <f>IFERROR(aurora_data!R1523,0)</f>
        <v>0</v>
      </c>
      <c r="T103" s="62">
        <f>IFERROR(aurora_data!S1523,0)</f>
        <v>0</v>
      </c>
      <c r="U103" s="63">
        <f>IFERROR(aurora_data!T1523,0)</f>
        <v>0</v>
      </c>
      <c r="V103" s="64" t="s">
        <v>95</v>
      </c>
      <c r="W103" s="36">
        <f>IFERROR(aurora_data!U1523,0)</f>
        <v>0</v>
      </c>
      <c r="X103" s="71">
        <f t="shared" si="11"/>
        <v>0</v>
      </c>
      <c r="Y103" s="2"/>
    </row>
    <row r="104" spans="1:25" customFormat="1" ht="16.5" customHeight="1">
      <c r="A104" s="2"/>
      <c r="B104" s="207"/>
      <c r="C104" s="209"/>
      <c r="D104" s="35" t="s">
        <v>98</v>
      </c>
      <c r="E104" s="36">
        <f>IFERROR(aurora_data!D1524,0)</f>
        <v>0</v>
      </c>
      <c r="F104" s="62">
        <f>IFERROR(aurora_data!E1524,0)</f>
        <v>0</v>
      </c>
      <c r="G104" s="62">
        <f>IFERROR(aurora_data!F1524,0)</f>
        <v>0</v>
      </c>
      <c r="H104" s="62">
        <f>IFERROR(aurora_data!G1524,0)</f>
        <v>0</v>
      </c>
      <c r="I104" s="63">
        <f>IFERROR(aurora_data!H1524,0)</f>
        <v>0</v>
      </c>
      <c r="J104" s="36">
        <f>IFERROR(aurora_data!I1524,0)</f>
        <v>0</v>
      </c>
      <c r="K104" s="62">
        <f>IFERROR(aurora_data!J1524,0)</f>
        <v>0</v>
      </c>
      <c r="L104" s="62">
        <f>IFERROR(aurora_data!K1524,0)</f>
        <v>0</v>
      </c>
      <c r="M104" s="62">
        <f>IFERROR(aurora_data!L1524,0)</f>
        <v>0</v>
      </c>
      <c r="N104" s="63">
        <f>IFERROR(aurora_data!M1524,0)</f>
        <v>0</v>
      </c>
      <c r="O104" s="36">
        <f>IFERROR(aurora_data!N1524,0)</f>
        <v>0</v>
      </c>
      <c r="P104" s="62">
        <f>IFERROR(aurora_data!O1524,0)</f>
        <v>0</v>
      </c>
      <c r="Q104" s="62">
        <f>IFERROR(aurora_data!P1524,0)</f>
        <v>0</v>
      </c>
      <c r="R104" s="63">
        <f>IFERROR(aurora_data!Q1524,0)</f>
        <v>0</v>
      </c>
      <c r="S104" s="62">
        <f>IFERROR(aurora_data!R1524,0)</f>
        <v>0</v>
      </c>
      <c r="T104" s="62">
        <f>IFERROR(aurora_data!S1524,0)</f>
        <v>0</v>
      </c>
      <c r="U104" s="63">
        <f>IFERROR(aurora_data!T1524,0)</f>
        <v>0</v>
      </c>
      <c r="V104" s="64" t="s">
        <v>95</v>
      </c>
      <c r="W104" s="36">
        <f>IFERROR(aurora_data!U1524,0)</f>
        <v>0</v>
      </c>
      <c r="X104" s="71">
        <f t="shared" si="11"/>
        <v>0</v>
      </c>
      <c r="Y104" s="2"/>
    </row>
    <row r="105" spans="1:25" customFormat="1" ht="16.5" customHeight="1" thickBot="1">
      <c r="A105" s="2"/>
      <c r="B105" s="207"/>
      <c r="C105" s="209"/>
      <c r="D105" s="35" t="s">
        <v>99</v>
      </c>
      <c r="E105" s="36">
        <f>IFERROR(aurora_data!D1525,0)</f>
        <v>0</v>
      </c>
      <c r="F105" s="62">
        <f>IFERROR(aurora_data!E1525,0)</f>
        <v>0</v>
      </c>
      <c r="G105" s="62">
        <f>IFERROR(aurora_data!F1525,0)</f>
        <v>0</v>
      </c>
      <c r="H105" s="62">
        <f>IFERROR(aurora_data!G1525,0)</f>
        <v>0</v>
      </c>
      <c r="I105" s="63">
        <f>IFERROR(aurora_data!H1525,0)</f>
        <v>0</v>
      </c>
      <c r="J105" s="36">
        <f>IFERROR(aurora_data!I1525,0)</f>
        <v>0</v>
      </c>
      <c r="K105" s="62">
        <f>IFERROR(aurora_data!J1525,0)</f>
        <v>0</v>
      </c>
      <c r="L105" s="62">
        <f>IFERROR(aurora_data!K1525,0)</f>
        <v>0</v>
      </c>
      <c r="M105" s="62">
        <f>IFERROR(aurora_data!L1525,0)</f>
        <v>0</v>
      </c>
      <c r="N105" s="63">
        <f>IFERROR(aurora_data!M1525,0)</f>
        <v>0</v>
      </c>
      <c r="O105" s="36">
        <f>IFERROR(aurora_data!N1525,0)</f>
        <v>0</v>
      </c>
      <c r="P105" s="62">
        <f>IFERROR(aurora_data!O1525,0)</f>
        <v>0</v>
      </c>
      <c r="Q105" s="62">
        <f>IFERROR(aurora_data!P1525,0)</f>
        <v>0</v>
      </c>
      <c r="R105" s="63">
        <f>IFERROR(aurora_data!Q1525,0)</f>
        <v>0</v>
      </c>
      <c r="S105" s="62">
        <f>IFERROR(aurora_data!R1525,0)</f>
        <v>0</v>
      </c>
      <c r="T105" s="62">
        <f>IFERROR(aurora_data!S1525,0)</f>
        <v>0</v>
      </c>
      <c r="U105" s="63">
        <f>IFERROR(aurora_data!T1525,0)</f>
        <v>0</v>
      </c>
      <c r="V105" s="64" t="s">
        <v>95</v>
      </c>
      <c r="W105" s="36">
        <f>IFERROR(aurora_data!U1525,0)</f>
        <v>0</v>
      </c>
      <c r="X105" s="71">
        <f t="shared" si="11"/>
        <v>0</v>
      </c>
      <c r="Y105" s="2"/>
    </row>
    <row r="106" spans="1:25" customFormat="1" ht="16.5" customHeight="1" thickBot="1">
      <c r="A106" s="2"/>
      <c r="B106" s="207"/>
      <c r="C106" s="209"/>
      <c r="D106" s="37" t="s">
        <v>64</v>
      </c>
      <c r="E106" s="59">
        <f>IFERROR(aurora_data!D1526,0)</f>
        <v>0</v>
      </c>
      <c r="F106" s="65">
        <f>IFERROR(aurora_data!E1526,0)</f>
        <v>0</v>
      </c>
      <c r="G106" s="65">
        <f>IFERROR(aurora_data!F1526,0)</f>
        <v>0</v>
      </c>
      <c r="H106" s="65">
        <f>IFERROR(aurora_data!G1526,0)</f>
        <v>0</v>
      </c>
      <c r="I106" s="66">
        <f>IFERROR(aurora_data!H1526,0)</f>
        <v>1</v>
      </c>
      <c r="J106" s="59">
        <f>IFERROR(aurora_data!I1526,0)</f>
        <v>0</v>
      </c>
      <c r="K106" s="65">
        <f>IFERROR(aurora_data!J1526,0)</f>
        <v>0</v>
      </c>
      <c r="L106" s="65">
        <f>IFERROR(aurora_data!K1526,0)</f>
        <v>0</v>
      </c>
      <c r="M106" s="65">
        <f>IFERROR(aurora_data!L1526,0)</f>
        <v>0</v>
      </c>
      <c r="N106" s="66">
        <f>IFERROR(aurora_data!M1526,0)</f>
        <v>1</v>
      </c>
      <c r="O106" s="59">
        <f>IFERROR(aurora_data!N1526,0)</f>
        <v>0</v>
      </c>
      <c r="P106" s="65">
        <f>IFERROR(aurora_data!O1526,0)</f>
        <v>0</v>
      </c>
      <c r="Q106" s="65">
        <f>IFERROR(aurora_data!P1526,0)</f>
        <v>1</v>
      </c>
      <c r="R106" s="66">
        <f>IFERROR(aurora_data!Q1526,0)</f>
        <v>0</v>
      </c>
      <c r="S106" s="65">
        <f>IFERROR(aurora_data!R1526,0)</f>
        <v>0</v>
      </c>
      <c r="T106" s="65">
        <f>IFERROR(aurora_data!S1526,0)</f>
        <v>1</v>
      </c>
      <c r="U106" s="66">
        <f>IFERROR(aurora_data!T1526,0)</f>
        <v>0</v>
      </c>
      <c r="V106" s="67" t="s">
        <v>95</v>
      </c>
      <c r="W106" s="59">
        <f>IFERROR(aurora_data!U1526,0)</f>
        <v>1</v>
      </c>
      <c r="X106" s="72">
        <f t="shared" si="11"/>
        <v>3.7037037037037035E-2</v>
      </c>
      <c r="Y106" s="2"/>
    </row>
    <row r="107" spans="1:25" customFormat="1" ht="16.5" customHeight="1" thickBot="1">
      <c r="A107" s="2"/>
      <c r="B107" s="207"/>
      <c r="C107" s="209"/>
      <c r="D107" s="38" t="s">
        <v>100</v>
      </c>
      <c r="E107" s="60">
        <f>IFERROR(aurora_data!D1527,0)</f>
        <v>0</v>
      </c>
      <c r="F107" s="68">
        <f>IFERROR(aurora_data!E1527,0)</f>
        <v>0</v>
      </c>
      <c r="G107" s="68">
        <f>IFERROR(aurora_data!F1527,0)</f>
        <v>0</v>
      </c>
      <c r="H107" s="68">
        <f>IFERROR(aurora_data!G1527,0)</f>
        <v>0</v>
      </c>
      <c r="I107" s="69">
        <f>IFERROR(aurora_data!H1527,0)</f>
        <v>0</v>
      </c>
      <c r="J107" s="60">
        <f>IFERROR(aurora_data!I1527,0)</f>
        <v>0</v>
      </c>
      <c r="K107" s="68">
        <f>IFERROR(aurora_data!J1527,0)</f>
        <v>0</v>
      </c>
      <c r="L107" s="68">
        <f>IFERROR(aurora_data!K1527,0)</f>
        <v>0</v>
      </c>
      <c r="M107" s="68">
        <f>IFERROR(aurora_data!L1527,0)</f>
        <v>0</v>
      </c>
      <c r="N107" s="69">
        <f>IFERROR(aurora_data!M1527,0)</f>
        <v>0</v>
      </c>
      <c r="O107" s="60">
        <f>IFERROR(aurora_data!N1527,0)</f>
        <v>0</v>
      </c>
      <c r="P107" s="68">
        <f>IFERROR(aurora_data!O1527,0)</f>
        <v>0</v>
      </c>
      <c r="Q107" s="68">
        <f>IFERROR(aurora_data!P1527,0)</f>
        <v>0</v>
      </c>
      <c r="R107" s="69">
        <f>IFERROR(aurora_data!Q1527,0)</f>
        <v>0</v>
      </c>
      <c r="S107" s="68">
        <f>IFERROR(aurora_data!R1527,0)</f>
        <v>0</v>
      </c>
      <c r="T107" s="68">
        <f>IFERROR(aurora_data!S1527,0)</f>
        <v>0</v>
      </c>
      <c r="U107" s="74">
        <f>IFERROR(aurora_data!T1527,0)</f>
        <v>0</v>
      </c>
      <c r="V107" s="75" t="s">
        <v>95</v>
      </c>
      <c r="W107" s="60">
        <f>IFERROR(aurora_data!U1527,0)</f>
        <v>0</v>
      </c>
      <c r="X107" s="73">
        <f t="shared" si="11"/>
        <v>0</v>
      </c>
      <c r="Y107" s="2"/>
    </row>
    <row r="108" spans="1:25" ht="16.5" customHeight="1">
      <c r="B108" s="97"/>
      <c r="C108" s="97"/>
    </row>
  </sheetData>
  <mergeCells count="46">
    <mergeCell ref="B68:B75"/>
    <mergeCell ref="C68:C75"/>
    <mergeCell ref="B100:B107"/>
    <mergeCell ref="C100:C107"/>
    <mergeCell ref="B76:B83"/>
    <mergeCell ref="C76:C83"/>
    <mergeCell ref="B84:B91"/>
    <mergeCell ref="C84:C91"/>
    <mergeCell ref="B92:B99"/>
    <mergeCell ref="C92:C99"/>
    <mergeCell ref="B44:B51"/>
    <mergeCell ref="C44:C51"/>
    <mergeCell ref="B52:B59"/>
    <mergeCell ref="C52:C59"/>
    <mergeCell ref="B60:B67"/>
    <mergeCell ref="C60:C67"/>
    <mergeCell ref="C12:C19"/>
    <mergeCell ref="B28:B35"/>
    <mergeCell ref="C28:C35"/>
    <mergeCell ref="B36:B43"/>
    <mergeCell ref="C36:C43"/>
    <mergeCell ref="B20:B27"/>
    <mergeCell ref="C20:C27"/>
    <mergeCell ref="B12:B19"/>
    <mergeCell ref="B8:D8"/>
    <mergeCell ref="E8:U8"/>
    <mergeCell ref="W8:X11"/>
    <mergeCell ref="B9:C9"/>
    <mergeCell ref="E9:I9"/>
    <mergeCell ref="J9:N9"/>
    <mergeCell ref="O9:R9"/>
    <mergeCell ref="S9:U9"/>
    <mergeCell ref="B10:B11"/>
    <mergeCell ref="E10:I10"/>
    <mergeCell ref="J10:N10"/>
    <mergeCell ref="O10:R10"/>
    <mergeCell ref="S10:U10"/>
    <mergeCell ref="A1:C1"/>
    <mergeCell ref="D1:H1"/>
    <mergeCell ref="A2:C2"/>
    <mergeCell ref="D2:H2"/>
    <mergeCell ref="K2:X6"/>
    <mergeCell ref="D3:E3"/>
    <mergeCell ref="F3:H3"/>
    <mergeCell ref="D5:G5"/>
    <mergeCell ref="D6:H6"/>
  </mergeCells>
  <conditionalFormatting sqref="E13:W13">
    <cfRule type="expression" dxfId="127" priority="22">
      <formula>ROUND(E$13,0) &gt;= ROUND(E$12,0)</formula>
    </cfRule>
  </conditionalFormatting>
  <conditionalFormatting sqref="E18:W18">
    <cfRule type="expression" dxfId="126" priority="23">
      <formula>ROUND(E$18,0) &lt; ROUND(E$12,0)</formula>
    </cfRule>
  </conditionalFormatting>
  <conditionalFormatting sqref="E21:W21">
    <cfRule type="expression" dxfId="125" priority="19">
      <formula>ROUND(E$13,0) &gt;= ROUND(E$12,0)</formula>
    </cfRule>
  </conditionalFormatting>
  <conditionalFormatting sqref="E26:W26">
    <cfRule type="expression" dxfId="124" priority="20">
      <formula>ROUND(E$18,0) &lt; ROUND(E$12,0)</formula>
    </cfRule>
  </conditionalFormatting>
  <conditionalFormatting sqref="E29:W29">
    <cfRule type="expression" dxfId="123" priority="17">
      <formula>ROUND(E$13,0) &gt;= ROUND(E$12,0)</formula>
    </cfRule>
  </conditionalFormatting>
  <conditionalFormatting sqref="E34:W34">
    <cfRule type="expression" dxfId="122" priority="18">
      <formula>ROUND(E$18,0) &lt; ROUND(E$12,0)</formula>
    </cfRule>
  </conditionalFormatting>
  <conditionalFormatting sqref="E37:W37">
    <cfRule type="expression" dxfId="121" priority="15">
      <formula>ROUND(E$13,0) &gt;= ROUND(E$12,0)</formula>
    </cfRule>
  </conditionalFormatting>
  <conditionalFormatting sqref="E42:W42">
    <cfRule type="expression" dxfId="120" priority="16">
      <formula>ROUND(E$18,0) &lt; ROUND(E$12,0)</formula>
    </cfRule>
  </conditionalFormatting>
  <conditionalFormatting sqref="E45:W45">
    <cfRule type="expression" dxfId="119" priority="13">
      <formula>ROUND(E$13,0) &gt;= ROUND(E$12,0)</formula>
    </cfRule>
  </conditionalFormatting>
  <conditionalFormatting sqref="E50:W50">
    <cfRule type="expression" dxfId="118" priority="14">
      <formula>ROUND(E$18,0) &lt; ROUND(E$12,0)</formula>
    </cfRule>
  </conditionalFormatting>
  <conditionalFormatting sqref="E53:W53">
    <cfRule type="expression" dxfId="117" priority="11">
      <formula>ROUND(E$13,0) &gt;= ROUND(E$12,0)</formula>
    </cfRule>
  </conditionalFormatting>
  <conditionalFormatting sqref="E58:W58">
    <cfRule type="expression" dxfId="116" priority="12">
      <formula>ROUND(E$18,0) &lt; ROUND(E$12,0)</formula>
    </cfRule>
  </conditionalFormatting>
  <conditionalFormatting sqref="E61:W61">
    <cfRule type="expression" dxfId="115" priority="9">
      <formula>ROUND(E$13,0) &gt;= ROUND(E$12,0)</formula>
    </cfRule>
  </conditionalFormatting>
  <conditionalFormatting sqref="E66:W66">
    <cfRule type="expression" dxfId="114" priority="10">
      <formula>ROUND(E$18,0) &lt; ROUND(E$12,0)</formula>
    </cfRule>
  </conditionalFormatting>
  <conditionalFormatting sqref="E69:W69">
    <cfRule type="expression" dxfId="113" priority="7">
      <formula>ROUND(E$13,0) &gt;= ROUND(E$12,0)</formula>
    </cfRule>
  </conditionalFormatting>
  <conditionalFormatting sqref="E74:W74">
    <cfRule type="expression" dxfId="112" priority="8">
      <formula>ROUND(E$18,0) &lt; ROUND(E$12,0)</formula>
    </cfRule>
  </conditionalFormatting>
  <conditionalFormatting sqref="E77:W77">
    <cfRule type="expression" dxfId="111" priority="5">
      <formula>ROUND(E$13,0) &gt;= ROUND(E$12,0)</formula>
    </cfRule>
  </conditionalFormatting>
  <conditionalFormatting sqref="E82:W82">
    <cfRule type="expression" dxfId="110" priority="6">
      <formula>ROUND(E$18,0) &lt; ROUND(E$12,0)</formula>
    </cfRule>
  </conditionalFormatting>
  <conditionalFormatting sqref="E85:W85">
    <cfRule type="expression" dxfId="109" priority="3">
      <formula>ROUND(E$13,0) &gt;= ROUND(E$12,0)</formula>
    </cfRule>
  </conditionalFormatting>
  <conditionalFormatting sqref="E90:W90">
    <cfRule type="expression" dxfId="108" priority="4">
      <formula>ROUND(E$18,0) &lt; ROUND(E$12,0)</formula>
    </cfRule>
  </conditionalFormatting>
  <conditionalFormatting sqref="E93:W93">
    <cfRule type="expression" dxfId="107" priority="1">
      <formula>ROUND(E$13,0) &gt;= ROUND(E$12,0)</formula>
    </cfRule>
  </conditionalFormatting>
  <conditionalFormatting sqref="E98:W98">
    <cfRule type="expression" dxfId="106" priority="2">
      <formula>ROUND(E$18,0) &lt; ROUND(E$12,0)</formula>
    </cfRule>
  </conditionalFormatting>
  <conditionalFormatting sqref="E101:W101">
    <cfRule type="expression" dxfId="105" priority="21">
      <formula>ROUND(E$101,0) &gt;= ROUND(E$100,0)</formula>
    </cfRule>
  </conditionalFormatting>
  <conditionalFormatting sqref="E106:W106">
    <cfRule type="expression" dxfId="104" priority="24">
      <formula>ROUND(E$106,0) &lt; ROUND(E$100,0)</formula>
    </cfRule>
  </conditionalFormatting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30A5E-3307-451D-84D2-BB89141B1334}">
  <sheetPr>
    <tabColor rgb="FFFF40FF"/>
  </sheetPr>
  <dimension ref="A1:Y108"/>
  <sheetViews>
    <sheetView zoomScale="85" zoomScaleNormal="85" workbookViewId="0">
      <selection sqref="A1:C1"/>
    </sheetView>
  </sheetViews>
  <sheetFormatPr defaultColWidth="2.625" defaultRowHeight="15.75"/>
  <cols>
    <col min="1" max="1" width="1.375" style="2" customWidth="1"/>
    <col min="2" max="2" width="10.875" style="2" customWidth="1"/>
    <col min="3" max="3" width="15.625" style="2" customWidth="1"/>
    <col min="4" max="4" width="22.625" style="4" customWidth="1"/>
    <col min="5" max="8" width="7.625" style="4" customWidth="1"/>
    <col min="9" max="9" width="6.625" style="4" hidden="1" customWidth="1"/>
    <col min="10" max="21" width="7.625" style="4" customWidth="1"/>
    <col min="22" max="22" width="0.625" style="2" customWidth="1"/>
    <col min="23" max="24" width="5.875" style="2" customWidth="1"/>
    <col min="25" max="25" width="12.5" style="2" customWidth="1"/>
    <col min="26" max="26" width="2.625" style="2" customWidth="1"/>
    <col min="27" max="64" width="7.625" style="2" customWidth="1"/>
    <col min="65" max="16323" width="2.625" style="2"/>
    <col min="16324" max="16324" width="1.375" style="2" customWidth="1"/>
    <col min="16325" max="16325" width="2.625" style="2" customWidth="1"/>
    <col min="16326" max="16326" width="3.5" style="2" customWidth="1"/>
    <col min="16327" max="16327" width="1" style="2" customWidth="1"/>
    <col min="16328" max="16328" width="0.875" style="2" customWidth="1"/>
    <col min="16329" max="16329" width="2.375" style="2" customWidth="1"/>
    <col min="16330" max="16384" width="20.375" style="2" customWidth="1"/>
  </cols>
  <sheetData>
    <row r="1" spans="1:25" customFormat="1" ht="25.5" customHeight="1">
      <c r="A1" s="151" t="s">
        <v>77</v>
      </c>
      <c r="B1" s="152"/>
      <c r="C1" s="153"/>
      <c r="D1" s="154" t="s">
        <v>78</v>
      </c>
      <c r="E1" s="155"/>
      <c r="F1" s="155"/>
      <c r="G1" s="155"/>
      <c r="H1" s="156"/>
      <c r="I1" s="98"/>
      <c r="J1" s="88"/>
      <c r="K1" s="100"/>
      <c r="L1" s="100"/>
      <c r="M1" s="100"/>
      <c r="N1" s="100" t="s">
        <v>79</v>
      </c>
      <c r="O1" s="100"/>
      <c r="P1" s="100"/>
      <c r="Q1" s="100"/>
      <c r="R1" s="100"/>
      <c r="S1" s="100"/>
      <c r="T1" s="100"/>
      <c r="U1" s="100"/>
      <c r="V1" s="100"/>
      <c r="W1" s="100"/>
      <c r="X1" s="106"/>
      <c r="Y1" s="108"/>
    </row>
    <row r="2" spans="1:25" customFormat="1" ht="31.5" customHeight="1">
      <c r="A2" s="157" t="s">
        <v>80</v>
      </c>
      <c r="B2" s="157"/>
      <c r="C2" s="158"/>
      <c r="D2" s="217" t="str">
        <f>_xlfn.CONCAT("Study Name: ","
OSEP – Speech Impairment - Paper")</f>
        <v>Study Name: 
OSEP – Speech Impairment - Paper</v>
      </c>
      <c r="E2" s="218"/>
      <c r="F2" s="218"/>
      <c r="G2" s="218"/>
      <c r="H2" s="219"/>
      <c r="I2" s="4"/>
      <c r="J2" s="4"/>
      <c r="K2" s="162" t="s">
        <v>81</v>
      </c>
      <c r="L2" s="163"/>
      <c r="M2" s="163"/>
      <c r="N2" s="163"/>
      <c r="O2" s="163"/>
      <c r="P2" s="163"/>
      <c r="Q2" s="163"/>
      <c r="R2" s="163"/>
      <c r="S2" s="163"/>
      <c r="T2" s="163"/>
      <c r="U2" s="163"/>
      <c r="V2" s="163"/>
      <c r="W2" s="163"/>
      <c r="X2" s="164"/>
      <c r="Y2" s="103"/>
    </row>
    <row r="3" spans="1:25" customFormat="1" ht="30.75" customHeight="1" thickBot="1">
      <c r="A3" s="2"/>
      <c r="B3" s="2"/>
      <c r="C3" s="2"/>
      <c r="D3" s="169" t="str">
        <f>_xlfn.CONCAT("Study Acronym: ","
OSEP_SI_P")</f>
        <v>Study Acronym: 
OSEP_SI_P</v>
      </c>
      <c r="E3" s="170"/>
      <c r="F3" s="171" t="s">
        <v>275</v>
      </c>
      <c r="G3" s="172"/>
      <c r="H3" s="173"/>
      <c r="I3" s="4"/>
      <c r="J3" s="4"/>
      <c r="K3" s="165"/>
      <c r="L3" s="163"/>
      <c r="M3" s="163"/>
      <c r="N3" s="163"/>
      <c r="O3" s="163"/>
      <c r="P3" s="163"/>
      <c r="Q3" s="163"/>
      <c r="R3" s="163"/>
      <c r="S3" s="163"/>
      <c r="T3" s="163"/>
      <c r="U3" s="163"/>
      <c r="V3" s="163"/>
      <c r="W3" s="163"/>
      <c r="X3" s="164"/>
      <c r="Y3" s="103"/>
    </row>
    <row r="4" spans="1:25" customFormat="1" ht="16.5" customHeight="1">
      <c r="A4" s="2"/>
      <c r="B4" s="24"/>
      <c r="C4" s="2"/>
      <c r="D4" s="2"/>
      <c r="E4" s="25"/>
      <c r="F4" s="25"/>
      <c r="G4" s="25"/>
      <c r="H4" s="25"/>
      <c r="I4" s="25"/>
      <c r="J4" s="25"/>
      <c r="K4" s="165"/>
      <c r="L4" s="163"/>
      <c r="M4" s="163"/>
      <c r="N4" s="163"/>
      <c r="O4" s="163"/>
      <c r="P4" s="163"/>
      <c r="Q4" s="163"/>
      <c r="R4" s="163"/>
      <c r="S4" s="163"/>
      <c r="T4" s="163"/>
      <c r="U4" s="163"/>
      <c r="V4" s="163"/>
      <c r="W4" s="163"/>
      <c r="X4" s="164"/>
      <c r="Y4" s="104"/>
    </row>
    <row r="5" spans="1:25" customFormat="1" ht="21.95" customHeight="1" thickBot="1">
      <c r="A5" s="2"/>
      <c r="B5" s="2"/>
      <c r="C5" s="102"/>
      <c r="D5" s="154" t="s">
        <v>82</v>
      </c>
      <c r="E5" s="155"/>
      <c r="F5" s="155"/>
      <c r="G5" s="155"/>
      <c r="H5" s="101"/>
      <c r="I5" s="98"/>
      <c r="J5" s="98"/>
      <c r="K5" s="165"/>
      <c r="L5" s="163"/>
      <c r="M5" s="163"/>
      <c r="N5" s="163"/>
      <c r="O5" s="163"/>
      <c r="P5" s="163"/>
      <c r="Q5" s="163"/>
      <c r="R5" s="163"/>
      <c r="S5" s="163"/>
      <c r="T5" s="163"/>
      <c r="U5" s="163"/>
      <c r="V5" s="163"/>
      <c r="W5" s="163"/>
      <c r="X5" s="164"/>
      <c r="Y5" s="105"/>
    </row>
    <row r="6" spans="1:25" customFormat="1" ht="60.95" customHeight="1" thickBot="1">
      <c r="A6" s="2"/>
      <c r="B6" s="2"/>
      <c r="C6" s="99"/>
      <c r="D6" s="214" t="s">
        <v>101</v>
      </c>
      <c r="E6" s="215"/>
      <c r="F6" s="215"/>
      <c r="G6" s="215"/>
      <c r="H6" s="216"/>
      <c r="I6" s="124"/>
      <c r="J6" s="125"/>
      <c r="K6" s="166"/>
      <c r="L6" s="167"/>
      <c r="M6" s="167"/>
      <c r="N6" s="167"/>
      <c r="O6" s="167"/>
      <c r="P6" s="167"/>
      <c r="Q6" s="167"/>
      <c r="R6" s="167"/>
      <c r="S6" s="167"/>
      <c r="T6" s="167"/>
      <c r="U6" s="167"/>
      <c r="V6" s="167"/>
      <c r="W6" s="167"/>
      <c r="X6" s="168"/>
      <c r="Y6" s="107"/>
    </row>
    <row r="7" spans="1:25" customFormat="1" ht="16.5" customHeight="1" thickBot="1">
      <c r="A7" s="2"/>
      <c r="B7" s="3"/>
      <c r="C7" s="26"/>
      <c r="D7" s="27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8"/>
      <c r="W7" s="3"/>
      <c r="X7" s="3"/>
      <c r="Y7" s="2"/>
    </row>
    <row r="8" spans="1:25" customFormat="1">
      <c r="A8" s="2"/>
      <c r="B8" s="177" t="str">
        <f>_xlfn.CONCAT("Last Refreshed at: ",aurora_data!V1532)</f>
        <v>Last Refreshed at: 09/17/2026 @ 7:20 AM</v>
      </c>
      <c r="C8" s="178"/>
      <c r="D8" s="178"/>
      <c r="E8" s="179" t="s">
        <v>83</v>
      </c>
      <c r="F8" s="180"/>
      <c r="G8" s="180"/>
      <c r="H8" s="180"/>
      <c r="I8" s="180"/>
      <c r="J8" s="180"/>
      <c r="K8" s="180"/>
      <c r="L8" s="180"/>
      <c r="M8" s="180"/>
      <c r="N8" s="180"/>
      <c r="O8" s="180"/>
      <c r="P8" s="180"/>
      <c r="Q8" s="180"/>
      <c r="R8" s="180"/>
      <c r="S8" s="180"/>
      <c r="T8" s="180"/>
      <c r="U8" s="181"/>
      <c r="V8" s="44"/>
      <c r="W8" s="182" t="s">
        <v>84</v>
      </c>
      <c r="X8" s="183"/>
      <c r="Y8" s="2"/>
    </row>
    <row r="9" spans="1:25" customFormat="1" ht="16.5" customHeight="1" thickBot="1">
      <c r="A9" s="2"/>
      <c r="B9" s="188"/>
      <c r="C9" s="189"/>
      <c r="D9" s="29" t="s">
        <v>85</v>
      </c>
      <c r="E9" s="190" t="s">
        <v>86</v>
      </c>
      <c r="F9" s="191"/>
      <c r="G9" s="191"/>
      <c r="H9" s="191"/>
      <c r="I9" s="191"/>
      <c r="J9" s="192" t="s">
        <v>86</v>
      </c>
      <c r="K9" s="193"/>
      <c r="L9" s="193"/>
      <c r="M9" s="193"/>
      <c r="N9" s="193"/>
      <c r="O9" s="194" t="s">
        <v>86</v>
      </c>
      <c r="P9" s="195"/>
      <c r="Q9" s="195"/>
      <c r="R9" s="195"/>
      <c r="S9" s="196" t="s">
        <v>86</v>
      </c>
      <c r="T9" s="197"/>
      <c r="U9" s="197"/>
      <c r="V9" s="28"/>
      <c r="W9" s="184"/>
      <c r="X9" s="185"/>
      <c r="Y9" s="2"/>
    </row>
    <row r="10" spans="1:25" customFormat="1" ht="17.25" thickTop="1" thickBot="1">
      <c r="A10" s="2"/>
      <c r="B10" s="198" t="s">
        <v>87</v>
      </c>
      <c r="C10" s="30"/>
      <c r="D10" s="31"/>
      <c r="E10" s="199" t="s">
        <v>88</v>
      </c>
      <c r="F10" s="200"/>
      <c r="G10" s="200"/>
      <c r="H10" s="200"/>
      <c r="I10" s="201"/>
      <c r="J10" s="200" t="s">
        <v>89</v>
      </c>
      <c r="K10" s="200"/>
      <c r="L10" s="200"/>
      <c r="M10" s="200"/>
      <c r="N10" s="201"/>
      <c r="O10" s="202" t="s">
        <v>90</v>
      </c>
      <c r="P10" s="202"/>
      <c r="Q10" s="202"/>
      <c r="R10" s="202"/>
      <c r="S10" s="203" t="s">
        <v>91</v>
      </c>
      <c r="T10" s="204"/>
      <c r="U10" s="205"/>
      <c r="V10" s="32"/>
      <c r="W10" s="184"/>
      <c r="X10" s="185"/>
      <c r="Y10" s="2"/>
    </row>
    <row r="11" spans="1:25" customFormat="1" ht="17.25" thickTop="1" thickBot="1">
      <c r="A11" s="2"/>
      <c r="B11" s="198"/>
      <c r="C11" s="30" t="s">
        <v>35</v>
      </c>
      <c r="D11" s="33" t="s">
        <v>37</v>
      </c>
      <c r="E11" s="96">
        <v>1</v>
      </c>
      <c r="F11" s="94">
        <v>2</v>
      </c>
      <c r="G11" s="95" t="s">
        <v>40</v>
      </c>
      <c r="H11" s="95">
        <v>4</v>
      </c>
      <c r="I11" s="95">
        <v>5</v>
      </c>
      <c r="J11" s="89" t="s">
        <v>43</v>
      </c>
      <c r="K11" s="89" t="s">
        <v>44</v>
      </c>
      <c r="L11" s="89" t="s">
        <v>45</v>
      </c>
      <c r="M11" s="93" t="s">
        <v>92</v>
      </c>
      <c r="N11" s="93" t="s">
        <v>47</v>
      </c>
      <c r="O11" s="89" t="s">
        <v>48</v>
      </c>
      <c r="P11" s="89" t="s">
        <v>49</v>
      </c>
      <c r="Q11" s="89" t="s">
        <v>50</v>
      </c>
      <c r="R11" s="89" t="s">
        <v>51</v>
      </c>
      <c r="S11" s="90" t="s">
        <v>52</v>
      </c>
      <c r="T11" s="91" t="s">
        <v>53</v>
      </c>
      <c r="U11" s="92" t="s">
        <v>93</v>
      </c>
      <c r="V11" s="28"/>
      <c r="W11" s="186"/>
      <c r="X11" s="187"/>
      <c r="Y11" s="2"/>
    </row>
    <row r="12" spans="1:25" customFormat="1">
      <c r="A12" s="2"/>
      <c r="B12" s="210" t="s">
        <v>94</v>
      </c>
      <c r="C12" s="212" t="str">
        <f>aurora_data!A1532</f>
        <v>06.00.00-06.11.30</v>
      </c>
      <c r="D12" s="34" t="s">
        <v>71</v>
      </c>
      <c r="E12" s="39">
        <f>IFERROR(aurora_data!D1532,0)</f>
        <v>0</v>
      </c>
      <c r="F12" s="40">
        <f>IFERROR(aurora_data!E1532,0)</f>
        <v>0</v>
      </c>
      <c r="G12" s="40">
        <f>IFERROR(aurora_data!F1532,0)</f>
        <v>0</v>
      </c>
      <c r="H12" s="40">
        <f>IFERROR(aurora_data!G1532,0)</f>
        <v>0</v>
      </c>
      <c r="I12" s="41">
        <f>IFERROR(aurora_data!H1532,0)</f>
        <v>0</v>
      </c>
      <c r="J12" s="39">
        <f>IFERROR(aurora_data!I1532,0)</f>
        <v>0</v>
      </c>
      <c r="K12" s="40">
        <f>IFERROR(aurora_data!J1532,0)</f>
        <v>0</v>
      </c>
      <c r="L12" s="40">
        <f>IFERROR(aurora_data!K1532,0)</f>
        <v>0</v>
      </c>
      <c r="M12" s="40">
        <f>IFERROR(aurora_data!L1532,0)</f>
        <v>0</v>
      </c>
      <c r="N12" s="41">
        <f>IFERROR(aurora_data!M1532,0)</f>
        <v>0</v>
      </c>
      <c r="O12" s="39">
        <f>IFERROR(aurora_data!N1532,0)</f>
        <v>0</v>
      </c>
      <c r="P12" s="40">
        <f>IFERROR(aurora_data!O1532,0)</f>
        <v>0</v>
      </c>
      <c r="Q12" s="40">
        <f>IFERROR(aurora_data!P1532,0)</f>
        <v>0</v>
      </c>
      <c r="R12" s="41">
        <f>IFERROR(aurora_data!Q1532,0)</f>
        <v>0</v>
      </c>
      <c r="S12" s="40">
        <f>IFERROR(aurora_data!R1532,0)</f>
        <v>0</v>
      </c>
      <c r="T12" s="40">
        <f>IFERROR(aurora_data!S1532,0)</f>
        <v>0</v>
      </c>
      <c r="U12" s="76">
        <f>IFERROR(aurora_data!T1532,0)</f>
        <v>0</v>
      </c>
      <c r="V12" s="61" t="s">
        <v>95</v>
      </c>
      <c r="W12" s="39">
        <f>IFERROR(aurora_data!U1532,0)</f>
        <v>6</v>
      </c>
      <c r="X12" s="70">
        <f>IFERROR(W12/$W$12,0)</f>
        <v>1</v>
      </c>
      <c r="Y12" s="2"/>
    </row>
    <row r="13" spans="1:25" customFormat="1">
      <c r="A13" s="2"/>
      <c r="B13" s="211"/>
      <c r="C13" s="213"/>
      <c r="D13" s="35" t="s">
        <v>96</v>
      </c>
      <c r="E13" s="110">
        <f>IFERROR(aurora_data!D1533,0)</f>
        <v>1</v>
      </c>
      <c r="F13" s="62">
        <f>IFERROR(aurora_data!E1533,0)</f>
        <v>0</v>
      </c>
      <c r="G13" s="62">
        <f>IFERROR(aurora_data!F1533,0)</f>
        <v>0</v>
      </c>
      <c r="H13" s="62">
        <f>IFERROR(aurora_data!G1533,0)</f>
        <v>0</v>
      </c>
      <c r="I13" s="63">
        <f>IFERROR(aurora_data!H1533,0)</f>
        <v>0</v>
      </c>
      <c r="J13" s="36">
        <f>IFERROR(aurora_data!I1533,0)</f>
        <v>0</v>
      </c>
      <c r="K13" s="62">
        <f>IFERROR(aurora_data!J1533,0)</f>
        <v>0</v>
      </c>
      <c r="L13" s="62">
        <f>IFERROR(aurora_data!K1533,0)</f>
        <v>0</v>
      </c>
      <c r="M13" s="62">
        <f>IFERROR(aurora_data!L1533,0)</f>
        <v>1</v>
      </c>
      <c r="N13" s="63">
        <f>IFERROR(aurora_data!M1533,0)</f>
        <v>0</v>
      </c>
      <c r="O13" s="36">
        <f>IFERROR(aurora_data!N1533,0)</f>
        <v>0</v>
      </c>
      <c r="P13" s="62">
        <f>IFERROR(aurora_data!O1533,0)</f>
        <v>0</v>
      </c>
      <c r="Q13" s="62">
        <f>IFERROR(aurora_data!P1533,0)</f>
        <v>0</v>
      </c>
      <c r="R13" s="63">
        <f>IFERROR(aurora_data!Q1533,0)</f>
        <v>1</v>
      </c>
      <c r="S13" s="62">
        <f>IFERROR(aurora_data!R1533,0)</f>
        <v>1</v>
      </c>
      <c r="T13" s="62">
        <f>IFERROR(aurora_data!S1533,0)</f>
        <v>0</v>
      </c>
      <c r="U13" s="63">
        <f>IFERROR(aurora_data!T1533,0)</f>
        <v>0</v>
      </c>
      <c r="V13" s="64" t="s">
        <v>95</v>
      </c>
      <c r="W13" s="36">
        <f>IFERROR(aurora_data!U1533,0)</f>
        <v>1</v>
      </c>
      <c r="X13" s="71">
        <f t="shared" ref="X13:X19" si="0">IFERROR(W13/$W$12,0)</f>
        <v>0.16666666666666666</v>
      </c>
      <c r="Y13" s="2"/>
    </row>
    <row r="14" spans="1:25" customFormat="1">
      <c r="A14" s="2"/>
      <c r="B14" s="211"/>
      <c r="C14" s="213"/>
      <c r="D14" s="35" t="s">
        <v>60</v>
      </c>
      <c r="E14" s="110">
        <f>IFERROR(aurora_data!D1534,0)</f>
        <v>0</v>
      </c>
      <c r="F14" s="62">
        <f>IFERROR(aurora_data!E1534,0)</f>
        <v>0</v>
      </c>
      <c r="G14" s="62">
        <f>IFERROR(aurora_data!F1534,0)</f>
        <v>0</v>
      </c>
      <c r="H14" s="62">
        <f>IFERROR(aurora_data!G1534,0)</f>
        <v>0</v>
      </c>
      <c r="I14" s="63">
        <f>IFERROR(aurora_data!H1534,0)</f>
        <v>0</v>
      </c>
      <c r="J14" s="36">
        <f>IFERROR(aurora_data!I1534,0)</f>
        <v>0</v>
      </c>
      <c r="K14" s="62">
        <f>IFERROR(aurora_data!J1534,0)</f>
        <v>0</v>
      </c>
      <c r="L14" s="62">
        <f>IFERROR(aurora_data!K1534,0)</f>
        <v>0</v>
      </c>
      <c r="M14" s="62">
        <f>IFERROR(aurora_data!L1534,0)</f>
        <v>0</v>
      </c>
      <c r="N14" s="63">
        <f>IFERROR(aurora_data!M1534,0)</f>
        <v>0</v>
      </c>
      <c r="O14" s="36">
        <f>IFERROR(aurora_data!N1534,0)</f>
        <v>0</v>
      </c>
      <c r="P14" s="62">
        <f>IFERROR(aurora_data!O1534,0)</f>
        <v>0</v>
      </c>
      <c r="Q14" s="62">
        <f>IFERROR(aurora_data!P1534,0)</f>
        <v>0</v>
      </c>
      <c r="R14" s="63">
        <f>IFERROR(aurora_data!Q1534,0)</f>
        <v>0</v>
      </c>
      <c r="S14" s="62">
        <f>IFERROR(aurora_data!R1534,0)</f>
        <v>0</v>
      </c>
      <c r="T14" s="62">
        <f>IFERROR(aurora_data!S1534,0)</f>
        <v>0</v>
      </c>
      <c r="U14" s="63">
        <f>IFERROR(aurora_data!T1534,0)</f>
        <v>0</v>
      </c>
      <c r="V14" s="64" t="s">
        <v>95</v>
      </c>
      <c r="W14" s="36">
        <f>IFERROR(aurora_data!U1534,0)</f>
        <v>0</v>
      </c>
      <c r="X14" s="71">
        <f t="shared" si="0"/>
        <v>0</v>
      </c>
      <c r="Y14" s="2"/>
    </row>
    <row r="15" spans="1:25" customFormat="1">
      <c r="A15" s="2"/>
      <c r="B15" s="211"/>
      <c r="C15" s="213"/>
      <c r="D15" s="35" t="s">
        <v>97</v>
      </c>
      <c r="E15" s="36">
        <f>IFERROR(aurora_data!D1535,0)</f>
        <v>0</v>
      </c>
      <c r="F15" s="62">
        <f>IFERROR(aurora_data!E1535,0)</f>
        <v>0</v>
      </c>
      <c r="G15" s="62">
        <f>IFERROR(aurora_data!F1535,0)</f>
        <v>0</v>
      </c>
      <c r="H15" s="62">
        <f>IFERROR(aurora_data!G1535,0)</f>
        <v>0</v>
      </c>
      <c r="I15" s="63">
        <f>IFERROR(aurora_data!H1535,0)</f>
        <v>0</v>
      </c>
      <c r="J15" s="36">
        <f>IFERROR(aurora_data!I1535,0)</f>
        <v>0</v>
      </c>
      <c r="K15" s="62">
        <f>IFERROR(aurora_data!J1535,0)</f>
        <v>0</v>
      </c>
      <c r="L15" s="62">
        <f>IFERROR(aurora_data!K1535,0)</f>
        <v>0</v>
      </c>
      <c r="M15" s="62">
        <f>IFERROR(aurora_data!L1535,0)</f>
        <v>0</v>
      </c>
      <c r="N15" s="63">
        <f>IFERROR(aurora_data!M1535,0)</f>
        <v>0</v>
      </c>
      <c r="O15" s="36">
        <f>IFERROR(aurora_data!N1535,0)</f>
        <v>0</v>
      </c>
      <c r="P15" s="62">
        <f>IFERROR(aurora_data!O1535,0)</f>
        <v>0</v>
      </c>
      <c r="Q15" s="62">
        <f>IFERROR(aurora_data!P1535,0)</f>
        <v>0</v>
      </c>
      <c r="R15" s="63">
        <f>IFERROR(aurora_data!Q1535,0)</f>
        <v>0</v>
      </c>
      <c r="S15" s="62">
        <f>IFERROR(aurora_data!R1535,0)</f>
        <v>0</v>
      </c>
      <c r="T15" s="62">
        <f>IFERROR(aurora_data!S1535,0)</f>
        <v>0</v>
      </c>
      <c r="U15" s="63">
        <f>IFERROR(aurora_data!T1535,0)</f>
        <v>0</v>
      </c>
      <c r="V15" s="64" t="s">
        <v>95</v>
      </c>
      <c r="W15" s="36">
        <f>IFERROR(aurora_data!U1535,0)</f>
        <v>0</v>
      </c>
      <c r="X15" s="71">
        <f t="shared" si="0"/>
        <v>0</v>
      </c>
      <c r="Y15" s="2"/>
    </row>
    <row r="16" spans="1:25" customFormat="1">
      <c r="A16" s="2"/>
      <c r="B16" s="211"/>
      <c r="C16" s="213"/>
      <c r="D16" s="35" t="s">
        <v>98</v>
      </c>
      <c r="E16" s="36">
        <f>IFERROR(aurora_data!D1536,0)</f>
        <v>0</v>
      </c>
      <c r="F16" s="62">
        <f>IFERROR(aurora_data!E1536,0)</f>
        <v>0</v>
      </c>
      <c r="G16" s="62">
        <f>IFERROR(aurora_data!F1536,0)</f>
        <v>0</v>
      </c>
      <c r="H16" s="62">
        <f>IFERROR(aurora_data!G1536,0)</f>
        <v>0</v>
      </c>
      <c r="I16" s="63">
        <f>IFERROR(aurora_data!H1536,0)</f>
        <v>0</v>
      </c>
      <c r="J16" s="36">
        <f>IFERROR(aurora_data!I1536,0)</f>
        <v>0</v>
      </c>
      <c r="K16" s="62">
        <f>IFERROR(aurora_data!J1536,0)</f>
        <v>0</v>
      </c>
      <c r="L16" s="62">
        <f>IFERROR(aurora_data!K1536,0)</f>
        <v>0</v>
      </c>
      <c r="M16" s="62">
        <f>IFERROR(aurora_data!L1536,0)</f>
        <v>0</v>
      </c>
      <c r="N16" s="63">
        <f>IFERROR(aurora_data!M1536,0)</f>
        <v>0</v>
      </c>
      <c r="O16" s="36">
        <f>IFERROR(aurora_data!N1536,0)</f>
        <v>0</v>
      </c>
      <c r="P16" s="62">
        <f>IFERROR(aurora_data!O1536,0)</f>
        <v>0</v>
      </c>
      <c r="Q16" s="62">
        <f>IFERROR(aurora_data!P1536,0)</f>
        <v>0</v>
      </c>
      <c r="R16" s="63">
        <f>IFERROR(aurora_data!Q1536,0)</f>
        <v>0</v>
      </c>
      <c r="S16" s="62">
        <f>IFERROR(aurora_data!R1536,0)</f>
        <v>0</v>
      </c>
      <c r="T16" s="62">
        <f>IFERROR(aurora_data!S1536,0)</f>
        <v>0</v>
      </c>
      <c r="U16" s="63">
        <f>IFERROR(aurora_data!T1536,0)</f>
        <v>0</v>
      </c>
      <c r="V16" s="64" t="s">
        <v>95</v>
      </c>
      <c r="W16" s="36">
        <f>IFERROR(aurora_data!U1536,0)</f>
        <v>0</v>
      </c>
      <c r="X16" s="71">
        <f t="shared" si="0"/>
        <v>0</v>
      </c>
      <c r="Y16" s="2"/>
    </row>
    <row r="17" spans="1:25" customFormat="1" ht="16.5" thickBot="1">
      <c r="A17" s="2"/>
      <c r="B17" s="211"/>
      <c r="C17" s="213"/>
      <c r="D17" s="35" t="s">
        <v>99</v>
      </c>
      <c r="E17" s="36">
        <f>IFERROR(aurora_data!D1537,0)</f>
        <v>0</v>
      </c>
      <c r="F17" s="62">
        <f>IFERROR(aurora_data!E1537,0)</f>
        <v>0</v>
      </c>
      <c r="G17" s="62">
        <f>IFERROR(aurora_data!F1537,0)</f>
        <v>0</v>
      </c>
      <c r="H17" s="62">
        <f>IFERROR(aurora_data!G1537,0)</f>
        <v>0</v>
      </c>
      <c r="I17" s="63">
        <f>IFERROR(aurora_data!H1537,0)</f>
        <v>0</v>
      </c>
      <c r="J17" s="36">
        <f>IFERROR(aurora_data!I1537,0)</f>
        <v>0</v>
      </c>
      <c r="K17" s="62">
        <f>IFERROR(aurora_data!J1537,0)</f>
        <v>0</v>
      </c>
      <c r="L17" s="62">
        <f>IFERROR(aurora_data!K1537,0)</f>
        <v>0</v>
      </c>
      <c r="M17" s="62">
        <f>IFERROR(aurora_data!L1537,0)</f>
        <v>0</v>
      </c>
      <c r="N17" s="63">
        <f>IFERROR(aurora_data!M1537,0)</f>
        <v>0</v>
      </c>
      <c r="O17" s="36">
        <f>IFERROR(aurora_data!N1537,0)</f>
        <v>0</v>
      </c>
      <c r="P17" s="62">
        <f>IFERROR(aurora_data!O1537,0)</f>
        <v>0</v>
      </c>
      <c r="Q17" s="62">
        <f>IFERROR(aurora_data!P1537,0)</f>
        <v>0</v>
      </c>
      <c r="R17" s="63">
        <f>IFERROR(aurora_data!Q1537,0)</f>
        <v>0</v>
      </c>
      <c r="S17" s="62">
        <f>IFERROR(aurora_data!R1537,0)</f>
        <v>0</v>
      </c>
      <c r="T17" s="62">
        <f>IFERROR(aurora_data!S1537,0)</f>
        <v>0</v>
      </c>
      <c r="U17" s="63">
        <f>IFERROR(aurora_data!T1537,0)</f>
        <v>0</v>
      </c>
      <c r="V17" s="64" t="s">
        <v>95</v>
      </c>
      <c r="W17" s="36">
        <f>IFERROR(aurora_data!U1537,0)</f>
        <v>0</v>
      </c>
      <c r="X17" s="71">
        <f t="shared" si="0"/>
        <v>0</v>
      </c>
      <c r="Y17" s="2"/>
    </row>
    <row r="18" spans="1:25" customFormat="1" ht="16.5" thickBot="1">
      <c r="A18" s="2"/>
      <c r="B18" s="211"/>
      <c r="C18" s="213"/>
      <c r="D18" s="37" t="s">
        <v>64</v>
      </c>
      <c r="E18" s="59">
        <f>IFERROR(aurora_data!D1538,0)</f>
        <v>1</v>
      </c>
      <c r="F18" s="65">
        <f>IFERROR(aurora_data!E1538,0)</f>
        <v>0</v>
      </c>
      <c r="G18" s="65">
        <f>IFERROR(aurora_data!F1538,0)</f>
        <v>0</v>
      </c>
      <c r="H18" s="65">
        <f>IFERROR(aurora_data!G1538,0)</f>
        <v>0</v>
      </c>
      <c r="I18" s="66">
        <f>IFERROR(aurora_data!H1538,0)</f>
        <v>0</v>
      </c>
      <c r="J18" s="59">
        <f>IFERROR(aurora_data!I1538,0)</f>
        <v>0</v>
      </c>
      <c r="K18" s="65">
        <f>IFERROR(aurora_data!J1538,0)</f>
        <v>0</v>
      </c>
      <c r="L18" s="65">
        <f>IFERROR(aurora_data!K1538,0)</f>
        <v>0</v>
      </c>
      <c r="M18" s="65">
        <f>IFERROR(aurora_data!L1538,0)</f>
        <v>1</v>
      </c>
      <c r="N18" s="66">
        <f>IFERROR(aurora_data!M1538,0)</f>
        <v>0</v>
      </c>
      <c r="O18" s="59">
        <f>IFERROR(aurora_data!N1538,0)</f>
        <v>0</v>
      </c>
      <c r="P18" s="65">
        <f>IFERROR(aurora_data!O1538,0)</f>
        <v>0</v>
      </c>
      <c r="Q18" s="65">
        <f>IFERROR(aurora_data!P1538,0)</f>
        <v>0</v>
      </c>
      <c r="R18" s="66">
        <f>IFERROR(aurora_data!Q1538,0)</f>
        <v>1</v>
      </c>
      <c r="S18" s="65">
        <f>IFERROR(aurora_data!R1538,0)</f>
        <v>1</v>
      </c>
      <c r="T18" s="65">
        <f>IFERROR(aurora_data!S1538,0)</f>
        <v>0</v>
      </c>
      <c r="U18" s="66">
        <f>IFERROR(aurora_data!T1538,0)</f>
        <v>0</v>
      </c>
      <c r="V18" s="67" t="s">
        <v>95</v>
      </c>
      <c r="W18" s="59">
        <f>IFERROR(aurora_data!U1538,0)</f>
        <v>1</v>
      </c>
      <c r="X18" s="72">
        <f t="shared" si="0"/>
        <v>0.16666666666666666</v>
      </c>
      <c r="Y18" s="2"/>
    </row>
    <row r="19" spans="1:25" customFormat="1" ht="16.5" thickBot="1">
      <c r="A19" s="2"/>
      <c r="B19" s="211"/>
      <c r="C19" s="213"/>
      <c r="D19" s="38" t="s">
        <v>100</v>
      </c>
      <c r="E19" s="60">
        <f>IFERROR(aurora_data!D1539,0)</f>
        <v>0</v>
      </c>
      <c r="F19" s="68">
        <f>IFERROR(aurora_data!E1539,0)</f>
        <v>0</v>
      </c>
      <c r="G19" s="68">
        <f>IFERROR(aurora_data!F1539,0)</f>
        <v>0</v>
      </c>
      <c r="H19" s="68">
        <f>IFERROR(aurora_data!G1539,0)</f>
        <v>0</v>
      </c>
      <c r="I19" s="69">
        <f>IFERROR(aurora_data!H1539,0)</f>
        <v>0</v>
      </c>
      <c r="J19" s="60">
        <f>IFERROR(aurora_data!I1539,0)</f>
        <v>0</v>
      </c>
      <c r="K19" s="68">
        <f>IFERROR(aurora_data!J1539,0)</f>
        <v>0</v>
      </c>
      <c r="L19" s="68">
        <f>IFERROR(aurora_data!K1539,0)</f>
        <v>0</v>
      </c>
      <c r="M19" s="68">
        <f>IFERROR(aurora_data!L1539,0)</f>
        <v>0</v>
      </c>
      <c r="N19" s="69">
        <f>IFERROR(aurora_data!M1539,0)</f>
        <v>0</v>
      </c>
      <c r="O19" s="60">
        <f>IFERROR(aurora_data!N1539,0)</f>
        <v>0</v>
      </c>
      <c r="P19" s="68">
        <f>IFERROR(aurora_data!O1539,0)</f>
        <v>0</v>
      </c>
      <c r="Q19" s="68">
        <f>IFERROR(aurora_data!P1539,0)</f>
        <v>0</v>
      </c>
      <c r="R19" s="69">
        <f>IFERROR(aurora_data!Q1539,0)</f>
        <v>0</v>
      </c>
      <c r="S19" s="68">
        <f>IFERROR(aurora_data!R1539,0)</f>
        <v>0</v>
      </c>
      <c r="T19" s="68">
        <f>IFERROR(aurora_data!S1539,0)</f>
        <v>0</v>
      </c>
      <c r="U19" s="74">
        <f>IFERROR(aurora_data!T1539,0)</f>
        <v>0</v>
      </c>
      <c r="V19" s="75" t="s">
        <v>95</v>
      </c>
      <c r="W19" s="60">
        <f>IFERROR(aurora_data!U1539,0)</f>
        <v>0</v>
      </c>
      <c r="X19" s="73">
        <f t="shared" si="0"/>
        <v>0</v>
      </c>
      <c r="Y19" s="2"/>
    </row>
    <row r="20" spans="1:25" customFormat="1">
      <c r="A20" s="2"/>
      <c r="B20" s="210" t="s">
        <v>94</v>
      </c>
      <c r="C20" s="212" t="str">
        <f>aurora_data!A1540</f>
        <v>07.00.00-07.11.30</v>
      </c>
      <c r="D20" s="34" t="s">
        <v>71</v>
      </c>
      <c r="E20" s="39">
        <f>IFERROR(aurora_data!D1540,0)</f>
        <v>0</v>
      </c>
      <c r="F20" s="40">
        <f>IFERROR(aurora_data!E1540,0)</f>
        <v>0</v>
      </c>
      <c r="G20" s="40">
        <f>IFERROR(aurora_data!F1540,0)</f>
        <v>0</v>
      </c>
      <c r="H20" s="40">
        <f>IFERROR(aurora_data!G1540,0)</f>
        <v>0</v>
      </c>
      <c r="I20" s="41">
        <f>IFERROR(aurora_data!H1540,0)</f>
        <v>0</v>
      </c>
      <c r="J20" s="39">
        <f>IFERROR(aurora_data!I1540,0)</f>
        <v>0</v>
      </c>
      <c r="K20" s="40">
        <f>IFERROR(aurora_data!J1540,0)</f>
        <v>0</v>
      </c>
      <c r="L20" s="40">
        <f>IFERROR(aurora_data!K1540,0)</f>
        <v>0</v>
      </c>
      <c r="M20" s="40">
        <f>IFERROR(aurora_data!L1540,0)</f>
        <v>0</v>
      </c>
      <c r="N20" s="41">
        <f>IFERROR(aurora_data!M1540,0)</f>
        <v>0</v>
      </c>
      <c r="O20" s="39">
        <f>IFERROR(aurora_data!N1540,0)</f>
        <v>0</v>
      </c>
      <c r="P20" s="40">
        <f>IFERROR(aurora_data!O1540,0)</f>
        <v>0</v>
      </c>
      <c r="Q20" s="40">
        <f>IFERROR(aurora_data!P1540,0)</f>
        <v>0</v>
      </c>
      <c r="R20" s="41">
        <f>IFERROR(aurora_data!Q1540,0)</f>
        <v>0</v>
      </c>
      <c r="S20" s="40">
        <f>IFERROR(aurora_data!R1540,0)</f>
        <v>0</v>
      </c>
      <c r="T20" s="40">
        <f>IFERROR(aurora_data!S1540,0)</f>
        <v>0</v>
      </c>
      <c r="U20" s="76">
        <f>IFERROR(aurora_data!T1540,0)</f>
        <v>0</v>
      </c>
      <c r="V20" s="61" t="s">
        <v>95</v>
      </c>
      <c r="W20" s="39">
        <f>IFERROR(aurora_data!U1540,0)</f>
        <v>6</v>
      </c>
      <c r="X20" s="70">
        <f>IFERROR(W20/$W$12,0)</f>
        <v>1</v>
      </c>
      <c r="Y20" s="2"/>
    </row>
    <row r="21" spans="1:25" customFormat="1">
      <c r="A21" s="2"/>
      <c r="B21" s="211"/>
      <c r="C21" s="213"/>
      <c r="D21" s="35" t="s">
        <v>96</v>
      </c>
      <c r="E21" s="110">
        <f>IFERROR(aurora_data!D1541,0)</f>
        <v>0</v>
      </c>
      <c r="F21" s="62">
        <f>IFERROR(aurora_data!E1541,0)</f>
        <v>0</v>
      </c>
      <c r="G21" s="62">
        <f>IFERROR(aurora_data!F1541,0)</f>
        <v>0</v>
      </c>
      <c r="H21" s="62">
        <f>IFERROR(aurora_data!G1541,0)</f>
        <v>0</v>
      </c>
      <c r="I21" s="63">
        <f>IFERROR(aurora_data!H1541,0)</f>
        <v>0</v>
      </c>
      <c r="J21" s="36">
        <f>IFERROR(aurora_data!I1541,0)</f>
        <v>0</v>
      </c>
      <c r="K21" s="62">
        <f>IFERROR(aurora_data!J1541,0)</f>
        <v>0</v>
      </c>
      <c r="L21" s="62">
        <f>IFERROR(aurora_data!K1541,0)</f>
        <v>0</v>
      </c>
      <c r="M21" s="62">
        <f>IFERROR(aurora_data!L1541,0)</f>
        <v>0</v>
      </c>
      <c r="N21" s="63">
        <f>IFERROR(aurora_data!M1541,0)</f>
        <v>0</v>
      </c>
      <c r="O21" s="36">
        <f>IFERROR(aurora_data!N1541,0)</f>
        <v>0</v>
      </c>
      <c r="P21" s="62">
        <f>IFERROR(aurora_data!O1541,0)</f>
        <v>0</v>
      </c>
      <c r="Q21" s="62">
        <f>IFERROR(aurora_data!P1541,0)</f>
        <v>0</v>
      </c>
      <c r="R21" s="63">
        <f>IFERROR(aurora_data!Q1541,0)</f>
        <v>0</v>
      </c>
      <c r="S21" s="62">
        <f>IFERROR(aurora_data!R1541,0)</f>
        <v>0</v>
      </c>
      <c r="T21" s="62">
        <f>IFERROR(aurora_data!S1541,0)</f>
        <v>0</v>
      </c>
      <c r="U21" s="63">
        <f>IFERROR(aurora_data!T1541,0)</f>
        <v>0</v>
      </c>
      <c r="V21" s="64" t="s">
        <v>95</v>
      </c>
      <c r="W21" s="36">
        <f>IFERROR(aurora_data!U1541,0)</f>
        <v>0</v>
      </c>
      <c r="X21" s="71">
        <f t="shared" ref="X21:X27" si="1">IFERROR(W21/$W$12,0)</f>
        <v>0</v>
      </c>
      <c r="Y21" s="2"/>
    </row>
    <row r="22" spans="1:25" customFormat="1">
      <c r="A22" s="2"/>
      <c r="B22" s="211"/>
      <c r="C22" s="213"/>
      <c r="D22" s="35" t="s">
        <v>60</v>
      </c>
      <c r="E22" s="110">
        <f>IFERROR(aurora_data!D1542,0)</f>
        <v>0</v>
      </c>
      <c r="F22" s="62">
        <f>IFERROR(aurora_data!E1542,0)</f>
        <v>0</v>
      </c>
      <c r="G22" s="62">
        <f>IFERROR(aurora_data!F1542,0)</f>
        <v>0</v>
      </c>
      <c r="H22" s="62">
        <f>IFERROR(aurora_data!G1542,0)</f>
        <v>0</v>
      </c>
      <c r="I22" s="63">
        <f>IFERROR(aurora_data!H1542,0)</f>
        <v>0</v>
      </c>
      <c r="J22" s="36">
        <f>IFERROR(aurora_data!I1542,0)</f>
        <v>0</v>
      </c>
      <c r="K22" s="62">
        <f>IFERROR(aurora_data!J1542,0)</f>
        <v>0</v>
      </c>
      <c r="L22" s="62">
        <f>IFERROR(aurora_data!K1542,0)</f>
        <v>0</v>
      </c>
      <c r="M22" s="62">
        <f>IFERROR(aurora_data!L1542,0)</f>
        <v>0</v>
      </c>
      <c r="N22" s="63">
        <f>IFERROR(aurora_data!M1542,0)</f>
        <v>0</v>
      </c>
      <c r="O22" s="36">
        <f>IFERROR(aurora_data!N1542,0)</f>
        <v>0</v>
      </c>
      <c r="P22" s="62">
        <f>IFERROR(aurora_data!O1542,0)</f>
        <v>0</v>
      </c>
      <c r="Q22" s="62">
        <f>IFERROR(aurora_data!P1542,0)</f>
        <v>0</v>
      </c>
      <c r="R22" s="63">
        <f>IFERROR(aurora_data!Q1542,0)</f>
        <v>0</v>
      </c>
      <c r="S22" s="62">
        <f>IFERROR(aurora_data!R1542,0)</f>
        <v>0</v>
      </c>
      <c r="T22" s="62">
        <f>IFERROR(aurora_data!S1542,0)</f>
        <v>0</v>
      </c>
      <c r="U22" s="63">
        <f>IFERROR(aurora_data!T1542,0)</f>
        <v>0</v>
      </c>
      <c r="V22" s="64" t="s">
        <v>95</v>
      </c>
      <c r="W22" s="36">
        <f>IFERROR(aurora_data!U1542,0)</f>
        <v>0</v>
      </c>
      <c r="X22" s="71">
        <f t="shared" si="1"/>
        <v>0</v>
      </c>
      <c r="Y22" s="2"/>
    </row>
    <row r="23" spans="1:25" customFormat="1">
      <c r="A23" s="2"/>
      <c r="B23" s="211"/>
      <c r="C23" s="213"/>
      <c r="D23" s="35" t="s">
        <v>97</v>
      </c>
      <c r="E23" s="36">
        <f>IFERROR(aurora_data!D1543,0)</f>
        <v>0</v>
      </c>
      <c r="F23" s="62">
        <f>IFERROR(aurora_data!E1543,0)</f>
        <v>0</v>
      </c>
      <c r="G23" s="62">
        <f>IFERROR(aurora_data!F1543,0)</f>
        <v>0</v>
      </c>
      <c r="H23" s="62">
        <f>IFERROR(aurora_data!G1543,0)</f>
        <v>0</v>
      </c>
      <c r="I23" s="63">
        <f>IFERROR(aurora_data!H1543,0)</f>
        <v>0</v>
      </c>
      <c r="J23" s="36">
        <f>IFERROR(aurora_data!I1543,0)</f>
        <v>0</v>
      </c>
      <c r="K23" s="62">
        <f>IFERROR(aurora_data!J1543,0)</f>
        <v>0</v>
      </c>
      <c r="L23" s="62">
        <f>IFERROR(aurora_data!K1543,0)</f>
        <v>0</v>
      </c>
      <c r="M23" s="62">
        <f>IFERROR(aurora_data!L1543,0)</f>
        <v>0</v>
      </c>
      <c r="N23" s="63">
        <f>IFERROR(aurora_data!M1543,0)</f>
        <v>0</v>
      </c>
      <c r="O23" s="36">
        <f>IFERROR(aurora_data!N1543,0)</f>
        <v>0</v>
      </c>
      <c r="P23" s="62">
        <f>IFERROR(aurora_data!O1543,0)</f>
        <v>0</v>
      </c>
      <c r="Q23" s="62">
        <f>IFERROR(aurora_data!P1543,0)</f>
        <v>0</v>
      </c>
      <c r="R23" s="63">
        <f>IFERROR(aurora_data!Q1543,0)</f>
        <v>0</v>
      </c>
      <c r="S23" s="62">
        <f>IFERROR(aurora_data!R1543,0)</f>
        <v>0</v>
      </c>
      <c r="T23" s="62">
        <f>IFERROR(aurora_data!S1543,0)</f>
        <v>0</v>
      </c>
      <c r="U23" s="63">
        <f>IFERROR(aurora_data!T1543,0)</f>
        <v>0</v>
      </c>
      <c r="V23" s="64" t="s">
        <v>95</v>
      </c>
      <c r="W23" s="36">
        <f>IFERROR(aurora_data!U1543,0)</f>
        <v>0</v>
      </c>
      <c r="X23" s="71">
        <f t="shared" si="1"/>
        <v>0</v>
      </c>
      <c r="Y23" s="2"/>
    </row>
    <row r="24" spans="1:25" customFormat="1">
      <c r="A24" s="2"/>
      <c r="B24" s="211"/>
      <c r="C24" s="213"/>
      <c r="D24" s="35" t="s">
        <v>98</v>
      </c>
      <c r="E24" s="36">
        <f>IFERROR(aurora_data!D1544,0)</f>
        <v>0</v>
      </c>
      <c r="F24" s="62">
        <f>IFERROR(aurora_data!E1544,0)</f>
        <v>0</v>
      </c>
      <c r="G24" s="62">
        <f>IFERROR(aurora_data!F1544,0)</f>
        <v>0</v>
      </c>
      <c r="H24" s="62">
        <f>IFERROR(aurora_data!G1544,0)</f>
        <v>0</v>
      </c>
      <c r="I24" s="63">
        <f>IFERROR(aurora_data!H1544,0)</f>
        <v>0</v>
      </c>
      <c r="J24" s="36">
        <f>IFERROR(aurora_data!I1544,0)</f>
        <v>0</v>
      </c>
      <c r="K24" s="62">
        <f>IFERROR(aurora_data!J1544,0)</f>
        <v>0</v>
      </c>
      <c r="L24" s="62">
        <f>IFERROR(aurora_data!K1544,0)</f>
        <v>0</v>
      </c>
      <c r="M24" s="62">
        <f>IFERROR(aurora_data!L1544,0)</f>
        <v>0</v>
      </c>
      <c r="N24" s="63">
        <f>IFERROR(aurora_data!M1544,0)</f>
        <v>0</v>
      </c>
      <c r="O24" s="36">
        <f>IFERROR(aurora_data!N1544,0)</f>
        <v>0</v>
      </c>
      <c r="P24" s="62">
        <f>IFERROR(aurora_data!O1544,0)</f>
        <v>0</v>
      </c>
      <c r="Q24" s="62">
        <f>IFERROR(aurora_data!P1544,0)</f>
        <v>0</v>
      </c>
      <c r="R24" s="63">
        <f>IFERROR(aurora_data!Q1544,0)</f>
        <v>0</v>
      </c>
      <c r="S24" s="62">
        <f>IFERROR(aurora_data!R1544,0)</f>
        <v>0</v>
      </c>
      <c r="T24" s="62">
        <f>IFERROR(aurora_data!S1544,0)</f>
        <v>0</v>
      </c>
      <c r="U24" s="63">
        <f>IFERROR(aurora_data!T1544,0)</f>
        <v>0</v>
      </c>
      <c r="V24" s="64" t="s">
        <v>95</v>
      </c>
      <c r="W24" s="36">
        <f>IFERROR(aurora_data!U1544,0)</f>
        <v>0</v>
      </c>
      <c r="X24" s="71">
        <f t="shared" si="1"/>
        <v>0</v>
      </c>
      <c r="Y24" s="2"/>
    </row>
    <row r="25" spans="1:25" customFormat="1" ht="16.5" thickBot="1">
      <c r="A25" s="2"/>
      <c r="B25" s="211"/>
      <c r="C25" s="213"/>
      <c r="D25" s="35" t="s">
        <v>99</v>
      </c>
      <c r="E25" s="36">
        <f>IFERROR(aurora_data!D1545,0)</f>
        <v>0</v>
      </c>
      <c r="F25" s="62">
        <f>IFERROR(aurora_data!E1545,0)</f>
        <v>0</v>
      </c>
      <c r="G25" s="62">
        <f>IFERROR(aurora_data!F1545,0)</f>
        <v>0</v>
      </c>
      <c r="H25" s="62">
        <f>IFERROR(aurora_data!G1545,0)</f>
        <v>0</v>
      </c>
      <c r="I25" s="63">
        <f>IFERROR(aurora_data!H1545,0)</f>
        <v>0</v>
      </c>
      <c r="J25" s="36">
        <f>IFERROR(aurora_data!I1545,0)</f>
        <v>0</v>
      </c>
      <c r="K25" s="62">
        <f>IFERROR(aurora_data!J1545,0)</f>
        <v>0</v>
      </c>
      <c r="L25" s="62">
        <f>IFERROR(aurora_data!K1545,0)</f>
        <v>0</v>
      </c>
      <c r="M25" s="62">
        <f>IFERROR(aurora_data!L1545,0)</f>
        <v>0</v>
      </c>
      <c r="N25" s="63">
        <f>IFERROR(aurora_data!M1545,0)</f>
        <v>0</v>
      </c>
      <c r="O25" s="36">
        <f>IFERROR(aurora_data!N1545,0)</f>
        <v>0</v>
      </c>
      <c r="P25" s="62">
        <f>IFERROR(aurora_data!O1545,0)</f>
        <v>0</v>
      </c>
      <c r="Q25" s="62">
        <f>IFERROR(aurora_data!P1545,0)</f>
        <v>0</v>
      </c>
      <c r="R25" s="63">
        <f>IFERROR(aurora_data!Q1545,0)</f>
        <v>0</v>
      </c>
      <c r="S25" s="62">
        <f>IFERROR(aurora_data!R1545,0)</f>
        <v>0</v>
      </c>
      <c r="T25" s="62">
        <f>IFERROR(aurora_data!S1545,0)</f>
        <v>0</v>
      </c>
      <c r="U25" s="63">
        <f>IFERROR(aurora_data!T1545,0)</f>
        <v>0</v>
      </c>
      <c r="V25" s="64" t="s">
        <v>95</v>
      </c>
      <c r="W25" s="36">
        <f>IFERROR(aurora_data!U1545,0)</f>
        <v>0</v>
      </c>
      <c r="X25" s="71">
        <f t="shared" si="1"/>
        <v>0</v>
      </c>
      <c r="Y25" s="2"/>
    </row>
    <row r="26" spans="1:25" customFormat="1" ht="16.5" thickBot="1">
      <c r="A26" s="2"/>
      <c r="B26" s="211"/>
      <c r="C26" s="213"/>
      <c r="D26" s="37" t="s">
        <v>64</v>
      </c>
      <c r="E26" s="59">
        <f>IFERROR(aurora_data!D1546,0)</f>
        <v>0</v>
      </c>
      <c r="F26" s="65">
        <f>IFERROR(aurora_data!E1546,0)</f>
        <v>0</v>
      </c>
      <c r="G26" s="65">
        <f>IFERROR(aurora_data!F1546,0)</f>
        <v>0</v>
      </c>
      <c r="H26" s="65">
        <f>IFERROR(aurora_data!G1546,0)</f>
        <v>0</v>
      </c>
      <c r="I26" s="66">
        <f>IFERROR(aurora_data!H1546,0)</f>
        <v>0</v>
      </c>
      <c r="J26" s="59">
        <f>IFERROR(aurora_data!I1546,0)</f>
        <v>0</v>
      </c>
      <c r="K26" s="65">
        <f>IFERROR(aurora_data!J1546,0)</f>
        <v>0</v>
      </c>
      <c r="L26" s="65">
        <f>IFERROR(aurora_data!K1546,0)</f>
        <v>0</v>
      </c>
      <c r="M26" s="65">
        <f>IFERROR(aurora_data!L1546,0)</f>
        <v>0</v>
      </c>
      <c r="N26" s="66">
        <f>IFERROR(aurora_data!M1546,0)</f>
        <v>0</v>
      </c>
      <c r="O26" s="59">
        <f>IFERROR(aurora_data!N1546,0)</f>
        <v>0</v>
      </c>
      <c r="P26" s="65">
        <f>IFERROR(aurora_data!O1546,0)</f>
        <v>0</v>
      </c>
      <c r="Q26" s="65">
        <f>IFERROR(aurora_data!P1546,0)</f>
        <v>0</v>
      </c>
      <c r="R26" s="66">
        <f>IFERROR(aurora_data!Q1546,0)</f>
        <v>0</v>
      </c>
      <c r="S26" s="65">
        <f>IFERROR(aurora_data!R1546,0)</f>
        <v>0</v>
      </c>
      <c r="T26" s="65">
        <f>IFERROR(aurora_data!S1546,0)</f>
        <v>0</v>
      </c>
      <c r="U26" s="66">
        <f>IFERROR(aurora_data!T1546,0)</f>
        <v>0</v>
      </c>
      <c r="V26" s="67" t="s">
        <v>95</v>
      </c>
      <c r="W26" s="59">
        <f>IFERROR(aurora_data!U1546,0)</f>
        <v>0</v>
      </c>
      <c r="X26" s="72">
        <f t="shared" si="1"/>
        <v>0</v>
      </c>
      <c r="Y26" s="2"/>
    </row>
    <row r="27" spans="1:25" customFormat="1" ht="16.5" thickBot="1">
      <c r="A27" s="2"/>
      <c r="B27" s="211"/>
      <c r="C27" s="213"/>
      <c r="D27" s="38" t="s">
        <v>100</v>
      </c>
      <c r="E27" s="60">
        <f>IFERROR(aurora_data!D1547,0)</f>
        <v>0</v>
      </c>
      <c r="F27" s="68">
        <f>IFERROR(aurora_data!E1547,0)</f>
        <v>0</v>
      </c>
      <c r="G27" s="68">
        <f>IFERROR(aurora_data!F1547,0)</f>
        <v>0</v>
      </c>
      <c r="H27" s="68">
        <f>IFERROR(aurora_data!G1547,0)</f>
        <v>0</v>
      </c>
      <c r="I27" s="69">
        <f>IFERROR(aurora_data!H1547,0)</f>
        <v>0</v>
      </c>
      <c r="J27" s="60">
        <f>IFERROR(aurora_data!I1547,0)</f>
        <v>0</v>
      </c>
      <c r="K27" s="68">
        <f>IFERROR(aurora_data!J1547,0)</f>
        <v>0</v>
      </c>
      <c r="L27" s="68">
        <f>IFERROR(aurora_data!K1547,0)</f>
        <v>0</v>
      </c>
      <c r="M27" s="68">
        <f>IFERROR(aurora_data!L1547,0)</f>
        <v>0</v>
      </c>
      <c r="N27" s="69">
        <f>IFERROR(aurora_data!M1547,0)</f>
        <v>0</v>
      </c>
      <c r="O27" s="60">
        <f>IFERROR(aurora_data!N1547,0)</f>
        <v>0</v>
      </c>
      <c r="P27" s="68">
        <f>IFERROR(aurora_data!O1547,0)</f>
        <v>0</v>
      </c>
      <c r="Q27" s="68">
        <f>IFERROR(aurora_data!P1547,0)</f>
        <v>0</v>
      </c>
      <c r="R27" s="69">
        <f>IFERROR(aurora_data!Q1547,0)</f>
        <v>0</v>
      </c>
      <c r="S27" s="68">
        <f>IFERROR(aurora_data!R1547,0)</f>
        <v>0</v>
      </c>
      <c r="T27" s="68">
        <f>IFERROR(aurora_data!S1547,0)</f>
        <v>0</v>
      </c>
      <c r="U27" s="74">
        <f>IFERROR(aurora_data!T1547,0)</f>
        <v>0</v>
      </c>
      <c r="V27" s="75" t="s">
        <v>95</v>
      </c>
      <c r="W27" s="60">
        <f>IFERROR(aurora_data!U1547,0)</f>
        <v>0</v>
      </c>
      <c r="X27" s="73">
        <f t="shared" si="1"/>
        <v>0</v>
      </c>
      <c r="Y27" s="2"/>
    </row>
    <row r="28" spans="1:25" customFormat="1">
      <c r="A28" s="2"/>
      <c r="B28" s="210" t="s">
        <v>94</v>
      </c>
      <c r="C28" s="212" t="str">
        <f>aurora_data!A1548</f>
        <v>08.00.00-08.11.30</v>
      </c>
      <c r="D28" s="34" t="s">
        <v>71</v>
      </c>
      <c r="E28" s="39">
        <f>IFERROR(aurora_data!D1548,0)</f>
        <v>0</v>
      </c>
      <c r="F28" s="40">
        <f>IFERROR(aurora_data!E1548,0)</f>
        <v>0</v>
      </c>
      <c r="G28" s="40">
        <f>IFERROR(aurora_data!F1548,0)</f>
        <v>0</v>
      </c>
      <c r="H28" s="40">
        <f>IFERROR(aurora_data!G1548,0)</f>
        <v>0</v>
      </c>
      <c r="I28" s="41">
        <f>IFERROR(aurora_data!H1548,0)</f>
        <v>0</v>
      </c>
      <c r="J28" s="39">
        <f>IFERROR(aurora_data!I1548,0)</f>
        <v>0</v>
      </c>
      <c r="K28" s="40">
        <f>IFERROR(aurora_data!J1548,0)</f>
        <v>0</v>
      </c>
      <c r="L28" s="40">
        <f>IFERROR(aurora_data!K1548,0)</f>
        <v>0</v>
      </c>
      <c r="M28" s="40">
        <f>IFERROR(aurora_data!L1548,0)</f>
        <v>0</v>
      </c>
      <c r="N28" s="41">
        <f>IFERROR(aurora_data!M1548,0)</f>
        <v>0</v>
      </c>
      <c r="O28" s="39">
        <f>IFERROR(aurora_data!N1548,0)</f>
        <v>0</v>
      </c>
      <c r="P28" s="40">
        <f>IFERROR(aurora_data!O1548,0)</f>
        <v>0</v>
      </c>
      <c r="Q28" s="40">
        <f>IFERROR(aurora_data!P1548,0)</f>
        <v>0</v>
      </c>
      <c r="R28" s="41">
        <f>IFERROR(aurora_data!Q1548,0)</f>
        <v>0</v>
      </c>
      <c r="S28" s="40">
        <f>IFERROR(aurora_data!R1548,0)</f>
        <v>0</v>
      </c>
      <c r="T28" s="40">
        <f>IFERROR(aurora_data!S1548,0)</f>
        <v>0</v>
      </c>
      <c r="U28" s="76">
        <f>IFERROR(aurora_data!T1548,0)</f>
        <v>0</v>
      </c>
      <c r="V28" s="61" t="s">
        <v>95</v>
      </c>
      <c r="W28" s="39">
        <f>IFERROR(aurora_data!U1548,0)</f>
        <v>6</v>
      </c>
      <c r="X28" s="70">
        <f>IFERROR(W28/$W$12,0)</f>
        <v>1</v>
      </c>
      <c r="Y28" s="2"/>
    </row>
    <row r="29" spans="1:25" customFormat="1">
      <c r="A29" s="2"/>
      <c r="B29" s="211"/>
      <c r="C29" s="213"/>
      <c r="D29" s="35" t="s">
        <v>96</v>
      </c>
      <c r="E29" s="110">
        <f>IFERROR(aurora_data!D1549,0)</f>
        <v>0</v>
      </c>
      <c r="F29" s="62">
        <f>IFERROR(aurora_data!E1549,0)</f>
        <v>0</v>
      </c>
      <c r="G29" s="62">
        <f>IFERROR(aurora_data!F1549,0)</f>
        <v>1</v>
      </c>
      <c r="H29" s="62">
        <f>IFERROR(aurora_data!G1549,0)</f>
        <v>0</v>
      </c>
      <c r="I29" s="63">
        <f>IFERROR(aurora_data!H1549,0)</f>
        <v>0</v>
      </c>
      <c r="J29" s="36">
        <f>IFERROR(aurora_data!I1549,0)</f>
        <v>0</v>
      </c>
      <c r="K29" s="62">
        <f>IFERROR(aurora_data!J1549,0)</f>
        <v>0</v>
      </c>
      <c r="L29" s="62">
        <f>IFERROR(aurora_data!K1549,0)</f>
        <v>0</v>
      </c>
      <c r="M29" s="62">
        <f>IFERROR(aurora_data!L1549,0)</f>
        <v>1</v>
      </c>
      <c r="N29" s="63">
        <f>IFERROR(aurora_data!M1549,0)</f>
        <v>0</v>
      </c>
      <c r="O29" s="36">
        <f>IFERROR(aurora_data!N1549,0)</f>
        <v>1</v>
      </c>
      <c r="P29" s="62">
        <f>IFERROR(aurora_data!O1549,0)</f>
        <v>0</v>
      </c>
      <c r="Q29" s="62">
        <f>IFERROR(aurora_data!P1549,0)</f>
        <v>0</v>
      </c>
      <c r="R29" s="63">
        <f>IFERROR(aurora_data!Q1549,0)</f>
        <v>0</v>
      </c>
      <c r="S29" s="62">
        <f>IFERROR(aurora_data!R1549,0)</f>
        <v>0</v>
      </c>
      <c r="T29" s="62">
        <f>IFERROR(aurora_data!S1549,0)</f>
        <v>1</v>
      </c>
      <c r="U29" s="63">
        <f>IFERROR(aurora_data!T1549,0)</f>
        <v>0</v>
      </c>
      <c r="V29" s="64" t="s">
        <v>95</v>
      </c>
      <c r="W29" s="36">
        <f>IFERROR(aurora_data!U1549,0)</f>
        <v>1</v>
      </c>
      <c r="X29" s="71">
        <f t="shared" ref="X29:X35" si="2">IFERROR(W29/$W$12,0)</f>
        <v>0.16666666666666666</v>
      </c>
      <c r="Y29" s="2"/>
    </row>
    <row r="30" spans="1:25" customFormat="1">
      <c r="A30" s="2"/>
      <c r="B30" s="211"/>
      <c r="C30" s="213"/>
      <c r="D30" s="35" t="s">
        <v>60</v>
      </c>
      <c r="E30" s="110">
        <f>IFERROR(aurora_data!D1550,0)</f>
        <v>0</v>
      </c>
      <c r="F30" s="62">
        <f>IFERROR(aurora_data!E1550,0)</f>
        <v>0</v>
      </c>
      <c r="G30" s="62">
        <f>IFERROR(aurora_data!F1550,0)</f>
        <v>0</v>
      </c>
      <c r="H30" s="62">
        <f>IFERROR(aurora_data!G1550,0)</f>
        <v>0</v>
      </c>
      <c r="I30" s="63">
        <f>IFERROR(aurora_data!H1550,0)</f>
        <v>0</v>
      </c>
      <c r="J30" s="36">
        <f>IFERROR(aurora_data!I1550,0)</f>
        <v>0</v>
      </c>
      <c r="K30" s="62">
        <f>IFERROR(aurora_data!J1550,0)</f>
        <v>0</v>
      </c>
      <c r="L30" s="62">
        <f>IFERROR(aurora_data!K1550,0)</f>
        <v>0</v>
      </c>
      <c r="M30" s="62">
        <f>IFERROR(aurora_data!L1550,0)</f>
        <v>0</v>
      </c>
      <c r="N30" s="63">
        <f>IFERROR(aurora_data!M1550,0)</f>
        <v>0</v>
      </c>
      <c r="O30" s="36">
        <f>IFERROR(aurora_data!N1550,0)</f>
        <v>0</v>
      </c>
      <c r="P30" s="62">
        <f>IFERROR(aurora_data!O1550,0)</f>
        <v>0</v>
      </c>
      <c r="Q30" s="62">
        <f>IFERROR(aurora_data!P1550,0)</f>
        <v>0</v>
      </c>
      <c r="R30" s="63">
        <f>IFERROR(aurora_data!Q1550,0)</f>
        <v>0</v>
      </c>
      <c r="S30" s="62">
        <f>IFERROR(aurora_data!R1550,0)</f>
        <v>0</v>
      </c>
      <c r="T30" s="62">
        <f>IFERROR(aurora_data!S1550,0)</f>
        <v>0</v>
      </c>
      <c r="U30" s="63">
        <f>IFERROR(aurora_data!T1550,0)</f>
        <v>0</v>
      </c>
      <c r="V30" s="64" t="s">
        <v>95</v>
      </c>
      <c r="W30" s="36">
        <f>IFERROR(aurora_data!U1550,0)</f>
        <v>0</v>
      </c>
      <c r="X30" s="71">
        <f t="shared" si="2"/>
        <v>0</v>
      </c>
      <c r="Y30" s="2"/>
    </row>
    <row r="31" spans="1:25" customFormat="1">
      <c r="A31" s="2"/>
      <c r="B31" s="211"/>
      <c r="C31" s="213"/>
      <c r="D31" s="35" t="s">
        <v>97</v>
      </c>
      <c r="E31" s="36">
        <f>IFERROR(aurora_data!D1551,0)</f>
        <v>0</v>
      </c>
      <c r="F31" s="62">
        <f>IFERROR(aurora_data!E1551,0)</f>
        <v>0</v>
      </c>
      <c r="G31" s="62">
        <f>IFERROR(aurora_data!F1551,0)</f>
        <v>0</v>
      </c>
      <c r="H31" s="62">
        <f>IFERROR(aurora_data!G1551,0)</f>
        <v>0</v>
      </c>
      <c r="I31" s="63">
        <f>IFERROR(aurora_data!H1551,0)</f>
        <v>0</v>
      </c>
      <c r="J31" s="36">
        <f>IFERROR(aurora_data!I1551,0)</f>
        <v>0</v>
      </c>
      <c r="K31" s="62">
        <f>IFERROR(aurora_data!J1551,0)</f>
        <v>0</v>
      </c>
      <c r="L31" s="62">
        <f>IFERROR(aurora_data!K1551,0)</f>
        <v>0</v>
      </c>
      <c r="M31" s="62">
        <f>IFERROR(aurora_data!L1551,0)</f>
        <v>0</v>
      </c>
      <c r="N31" s="63">
        <f>IFERROR(aurora_data!M1551,0)</f>
        <v>0</v>
      </c>
      <c r="O31" s="36">
        <f>IFERROR(aurora_data!N1551,0)</f>
        <v>0</v>
      </c>
      <c r="P31" s="62">
        <f>IFERROR(aurora_data!O1551,0)</f>
        <v>0</v>
      </c>
      <c r="Q31" s="62">
        <f>IFERROR(aurora_data!P1551,0)</f>
        <v>0</v>
      </c>
      <c r="R31" s="63">
        <f>IFERROR(aurora_data!Q1551,0)</f>
        <v>0</v>
      </c>
      <c r="S31" s="62">
        <f>IFERROR(aurora_data!R1551,0)</f>
        <v>0</v>
      </c>
      <c r="T31" s="62">
        <f>IFERROR(aurora_data!S1551,0)</f>
        <v>0</v>
      </c>
      <c r="U31" s="63">
        <f>IFERROR(aurora_data!T1551,0)</f>
        <v>0</v>
      </c>
      <c r="V31" s="64" t="s">
        <v>95</v>
      </c>
      <c r="W31" s="36">
        <f>IFERROR(aurora_data!U1551,0)</f>
        <v>0</v>
      </c>
      <c r="X31" s="71">
        <f t="shared" si="2"/>
        <v>0</v>
      </c>
      <c r="Y31" s="2"/>
    </row>
    <row r="32" spans="1:25" customFormat="1">
      <c r="A32" s="2"/>
      <c r="B32" s="211"/>
      <c r="C32" s="213"/>
      <c r="D32" s="35" t="s">
        <v>98</v>
      </c>
      <c r="E32" s="36">
        <f>IFERROR(aurora_data!D1552,0)</f>
        <v>0</v>
      </c>
      <c r="F32" s="62">
        <f>IFERROR(aurora_data!E1552,0)</f>
        <v>0</v>
      </c>
      <c r="G32" s="62">
        <f>IFERROR(aurora_data!F1552,0)</f>
        <v>0</v>
      </c>
      <c r="H32" s="62">
        <f>IFERROR(aurora_data!G1552,0)</f>
        <v>0</v>
      </c>
      <c r="I32" s="63">
        <f>IFERROR(aurora_data!H1552,0)</f>
        <v>0</v>
      </c>
      <c r="J32" s="36">
        <f>IFERROR(aurora_data!I1552,0)</f>
        <v>0</v>
      </c>
      <c r="K32" s="62">
        <f>IFERROR(aurora_data!J1552,0)</f>
        <v>0</v>
      </c>
      <c r="L32" s="62">
        <f>IFERROR(aurora_data!K1552,0)</f>
        <v>0</v>
      </c>
      <c r="M32" s="62">
        <f>IFERROR(aurora_data!L1552,0)</f>
        <v>0</v>
      </c>
      <c r="N32" s="63">
        <f>IFERROR(aurora_data!M1552,0)</f>
        <v>0</v>
      </c>
      <c r="O32" s="36">
        <f>IFERROR(aurora_data!N1552,0)</f>
        <v>0</v>
      </c>
      <c r="P32" s="62">
        <f>IFERROR(aurora_data!O1552,0)</f>
        <v>0</v>
      </c>
      <c r="Q32" s="62">
        <f>IFERROR(aurora_data!P1552,0)</f>
        <v>0</v>
      </c>
      <c r="R32" s="63">
        <f>IFERROR(aurora_data!Q1552,0)</f>
        <v>0</v>
      </c>
      <c r="S32" s="62">
        <f>IFERROR(aurora_data!R1552,0)</f>
        <v>0</v>
      </c>
      <c r="T32" s="62">
        <f>IFERROR(aurora_data!S1552,0)</f>
        <v>0</v>
      </c>
      <c r="U32" s="63">
        <f>IFERROR(aurora_data!T1552,0)</f>
        <v>0</v>
      </c>
      <c r="V32" s="64" t="s">
        <v>95</v>
      </c>
      <c r="W32" s="36">
        <f>IFERROR(aurora_data!U1552,0)</f>
        <v>0</v>
      </c>
      <c r="X32" s="71">
        <f t="shared" si="2"/>
        <v>0</v>
      </c>
      <c r="Y32" s="2"/>
    </row>
    <row r="33" spans="1:25" customFormat="1" ht="16.5" thickBot="1">
      <c r="A33" s="2"/>
      <c r="B33" s="211"/>
      <c r="C33" s="213"/>
      <c r="D33" s="35" t="s">
        <v>99</v>
      </c>
      <c r="E33" s="36">
        <f>IFERROR(aurora_data!D1553,0)</f>
        <v>0</v>
      </c>
      <c r="F33" s="62">
        <f>IFERROR(aurora_data!E1553,0)</f>
        <v>0</v>
      </c>
      <c r="G33" s="62">
        <f>IFERROR(aurora_data!F1553,0)</f>
        <v>0</v>
      </c>
      <c r="H33" s="62">
        <f>IFERROR(aurora_data!G1553,0)</f>
        <v>0</v>
      </c>
      <c r="I33" s="63">
        <f>IFERROR(aurora_data!H1553,0)</f>
        <v>0</v>
      </c>
      <c r="J33" s="36">
        <f>IFERROR(aurora_data!I1553,0)</f>
        <v>0</v>
      </c>
      <c r="K33" s="62">
        <f>IFERROR(aurora_data!J1553,0)</f>
        <v>0</v>
      </c>
      <c r="L33" s="62">
        <f>IFERROR(aurora_data!K1553,0)</f>
        <v>0</v>
      </c>
      <c r="M33" s="62">
        <f>IFERROR(aurora_data!L1553,0)</f>
        <v>0</v>
      </c>
      <c r="N33" s="63">
        <f>IFERROR(aurora_data!M1553,0)</f>
        <v>0</v>
      </c>
      <c r="O33" s="36">
        <f>IFERROR(aurora_data!N1553,0)</f>
        <v>0</v>
      </c>
      <c r="P33" s="62">
        <f>IFERROR(aurora_data!O1553,0)</f>
        <v>0</v>
      </c>
      <c r="Q33" s="62">
        <f>IFERROR(aurora_data!P1553,0)</f>
        <v>0</v>
      </c>
      <c r="R33" s="63">
        <f>IFERROR(aurora_data!Q1553,0)</f>
        <v>0</v>
      </c>
      <c r="S33" s="62">
        <f>IFERROR(aurora_data!R1553,0)</f>
        <v>0</v>
      </c>
      <c r="T33" s="62">
        <f>IFERROR(aurora_data!S1553,0)</f>
        <v>0</v>
      </c>
      <c r="U33" s="63">
        <f>IFERROR(aurora_data!T1553,0)</f>
        <v>0</v>
      </c>
      <c r="V33" s="64" t="s">
        <v>95</v>
      </c>
      <c r="W33" s="36">
        <f>IFERROR(aurora_data!U1553,0)</f>
        <v>0</v>
      </c>
      <c r="X33" s="71">
        <f t="shared" si="2"/>
        <v>0</v>
      </c>
      <c r="Y33" s="2"/>
    </row>
    <row r="34" spans="1:25" customFormat="1" ht="16.5" thickBot="1">
      <c r="A34" s="2"/>
      <c r="B34" s="211"/>
      <c r="C34" s="213"/>
      <c r="D34" s="37" t="s">
        <v>64</v>
      </c>
      <c r="E34" s="59">
        <f>IFERROR(aurora_data!D1554,0)</f>
        <v>0</v>
      </c>
      <c r="F34" s="65">
        <f>IFERROR(aurora_data!E1554,0)</f>
        <v>0</v>
      </c>
      <c r="G34" s="65">
        <f>IFERROR(aurora_data!F1554,0)</f>
        <v>1</v>
      </c>
      <c r="H34" s="65">
        <f>IFERROR(aurora_data!G1554,0)</f>
        <v>0</v>
      </c>
      <c r="I34" s="66">
        <f>IFERROR(aurora_data!H1554,0)</f>
        <v>0</v>
      </c>
      <c r="J34" s="59">
        <f>IFERROR(aurora_data!I1554,0)</f>
        <v>0</v>
      </c>
      <c r="K34" s="65">
        <f>IFERROR(aurora_data!J1554,0)</f>
        <v>0</v>
      </c>
      <c r="L34" s="65">
        <f>IFERROR(aurora_data!K1554,0)</f>
        <v>0</v>
      </c>
      <c r="M34" s="65">
        <f>IFERROR(aurora_data!L1554,0)</f>
        <v>1</v>
      </c>
      <c r="N34" s="66">
        <f>IFERROR(aurora_data!M1554,0)</f>
        <v>0</v>
      </c>
      <c r="O34" s="59">
        <f>IFERROR(aurora_data!N1554,0)</f>
        <v>1</v>
      </c>
      <c r="P34" s="65">
        <f>IFERROR(aurora_data!O1554,0)</f>
        <v>0</v>
      </c>
      <c r="Q34" s="65">
        <f>IFERROR(aurora_data!P1554,0)</f>
        <v>0</v>
      </c>
      <c r="R34" s="66">
        <f>IFERROR(aurora_data!Q1554,0)</f>
        <v>0</v>
      </c>
      <c r="S34" s="65">
        <f>IFERROR(aurora_data!R1554,0)</f>
        <v>0</v>
      </c>
      <c r="T34" s="65">
        <f>IFERROR(aurora_data!S1554,0)</f>
        <v>1</v>
      </c>
      <c r="U34" s="66">
        <f>IFERROR(aurora_data!T1554,0)</f>
        <v>0</v>
      </c>
      <c r="V34" s="67" t="s">
        <v>95</v>
      </c>
      <c r="W34" s="59">
        <f>IFERROR(aurora_data!U1554,0)</f>
        <v>1</v>
      </c>
      <c r="X34" s="72">
        <f t="shared" si="2"/>
        <v>0.16666666666666666</v>
      </c>
      <c r="Y34" s="2"/>
    </row>
    <row r="35" spans="1:25" customFormat="1" ht="16.5" thickBot="1">
      <c r="A35" s="2"/>
      <c r="B35" s="211"/>
      <c r="C35" s="213"/>
      <c r="D35" s="38" t="s">
        <v>100</v>
      </c>
      <c r="E35" s="60">
        <f>IFERROR(aurora_data!D1555,0)</f>
        <v>0</v>
      </c>
      <c r="F35" s="68">
        <f>IFERROR(aurora_data!E1555,0)</f>
        <v>0</v>
      </c>
      <c r="G35" s="68">
        <f>IFERROR(aurora_data!F1555,0)</f>
        <v>0</v>
      </c>
      <c r="H35" s="68">
        <f>IFERROR(aurora_data!G1555,0)</f>
        <v>0</v>
      </c>
      <c r="I35" s="69">
        <f>IFERROR(aurora_data!H1555,0)</f>
        <v>0</v>
      </c>
      <c r="J35" s="60">
        <f>IFERROR(aurora_data!I1555,0)</f>
        <v>0</v>
      </c>
      <c r="K35" s="68">
        <f>IFERROR(aurora_data!J1555,0)</f>
        <v>0</v>
      </c>
      <c r="L35" s="68">
        <f>IFERROR(aurora_data!K1555,0)</f>
        <v>0</v>
      </c>
      <c r="M35" s="68">
        <f>IFERROR(aurora_data!L1555,0)</f>
        <v>0</v>
      </c>
      <c r="N35" s="69">
        <f>IFERROR(aurora_data!M1555,0)</f>
        <v>0</v>
      </c>
      <c r="O35" s="60">
        <f>IFERROR(aurora_data!N1555,0)</f>
        <v>0</v>
      </c>
      <c r="P35" s="68">
        <f>IFERROR(aurora_data!O1555,0)</f>
        <v>0</v>
      </c>
      <c r="Q35" s="68">
        <f>IFERROR(aurora_data!P1555,0)</f>
        <v>0</v>
      </c>
      <c r="R35" s="69">
        <f>IFERROR(aurora_data!Q1555,0)</f>
        <v>0</v>
      </c>
      <c r="S35" s="68">
        <f>IFERROR(aurora_data!R1555,0)</f>
        <v>0</v>
      </c>
      <c r="T35" s="68">
        <f>IFERROR(aurora_data!S1555,0)</f>
        <v>0</v>
      </c>
      <c r="U35" s="74">
        <f>IFERROR(aurora_data!T1555,0)</f>
        <v>0</v>
      </c>
      <c r="V35" s="75" t="s">
        <v>95</v>
      </c>
      <c r="W35" s="60">
        <f>IFERROR(aurora_data!U1555,0)</f>
        <v>0</v>
      </c>
      <c r="X35" s="73">
        <f t="shared" si="2"/>
        <v>0</v>
      </c>
      <c r="Y35" s="2"/>
    </row>
    <row r="36" spans="1:25" customFormat="1">
      <c r="A36" s="2"/>
      <c r="B36" s="210" t="s">
        <v>94</v>
      </c>
      <c r="C36" s="212" t="str">
        <f>aurora_data!A1556</f>
        <v>09.00.00-09.11.30</v>
      </c>
      <c r="D36" s="34" t="s">
        <v>71</v>
      </c>
      <c r="E36" s="39">
        <f>IFERROR(aurora_data!D1556,0)</f>
        <v>0</v>
      </c>
      <c r="F36" s="40">
        <f>IFERROR(aurora_data!E1556,0)</f>
        <v>0</v>
      </c>
      <c r="G36" s="40">
        <f>IFERROR(aurora_data!F1556,0)</f>
        <v>0</v>
      </c>
      <c r="H36" s="40">
        <f>IFERROR(aurora_data!G1556,0)</f>
        <v>0</v>
      </c>
      <c r="I36" s="41">
        <f>IFERROR(aurora_data!H1556,0)</f>
        <v>0</v>
      </c>
      <c r="J36" s="39">
        <f>IFERROR(aurora_data!I1556,0)</f>
        <v>0</v>
      </c>
      <c r="K36" s="40">
        <f>IFERROR(aurora_data!J1556,0)</f>
        <v>0</v>
      </c>
      <c r="L36" s="40">
        <f>IFERROR(aurora_data!K1556,0)</f>
        <v>0</v>
      </c>
      <c r="M36" s="40">
        <f>IFERROR(aurora_data!L1556,0)</f>
        <v>0</v>
      </c>
      <c r="N36" s="41">
        <f>IFERROR(aurora_data!M1556,0)</f>
        <v>0</v>
      </c>
      <c r="O36" s="39">
        <f>IFERROR(aurora_data!N1556,0)</f>
        <v>0</v>
      </c>
      <c r="P36" s="40">
        <f>IFERROR(aurora_data!O1556,0)</f>
        <v>0</v>
      </c>
      <c r="Q36" s="40">
        <f>IFERROR(aurora_data!P1556,0)</f>
        <v>0</v>
      </c>
      <c r="R36" s="41">
        <f>IFERROR(aurora_data!Q1556,0)</f>
        <v>0</v>
      </c>
      <c r="S36" s="40">
        <f>IFERROR(aurora_data!R1556,0)</f>
        <v>0</v>
      </c>
      <c r="T36" s="40">
        <f>IFERROR(aurora_data!S1556,0)</f>
        <v>0</v>
      </c>
      <c r="U36" s="76">
        <f>IFERROR(aurora_data!T1556,0)</f>
        <v>0</v>
      </c>
      <c r="V36" s="61" t="s">
        <v>95</v>
      </c>
      <c r="W36" s="39">
        <f>IFERROR(aurora_data!U1556,0)</f>
        <v>6</v>
      </c>
      <c r="X36" s="70">
        <f>IFERROR(W36/$W$12,0)</f>
        <v>1</v>
      </c>
      <c r="Y36" s="2"/>
    </row>
    <row r="37" spans="1:25" customFormat="1">
      <c r="A37" s="2"/>
      <c r="B37" s="211"/>
      <c r="C37" s="213"/>
      <c r="D37" s="35" t="s">
        <v>96</v>
      </c>
      <c r="E37" s="110">
        <f>IFERROR(aurora_data!D1557,0)</f>
        <v>0</v>
      </c>
      <c r="F37" s="62">
        <f>IFERROR(aurora_data!E1557,0)</f>
        <v>0</v>
      </c>
      <c r="G37" s="62">
        <f>IFERROR(aurora_data!F1557,0)</f>
        <v>0</v>
      </c>
      <c r="H37" s="62">
        <f>IFERROR(aurora_data!G1557,0)</f>
        <v>0</v>
      </c>
      <c r="I37" s="63">
        <f>IFERROR(aurora_data!H1557,0)</f>
        <v>0</v>
      </c>
      <c r="J37" s="36">
        <f>IFERROR(aurora_data!I1557,0)</f>
        <v>0</v>
      </c>
      <c r="K37" s="62">
        <f>IFERROR(aurora_data!J1557,0)</f>
        <v>0</v>
      </c>
      <c r="L37" s="62">
        <f>IFERROR(aurora_data!K1557,0)</f>
        <v>0</v>
      </c>
      <c r="M37" s="62">
        <f>IFERROR(aurora_data!L1557,0)</f>
        <v>0</v>
      </c>
      <c r="N37" s="63">
        <f>IFERROR(aurora_data!M1557,0)</f>
        <v>0</v>
      </c>
      <c r="O37" s="36">
        <f>IFERROR(aurora_data!N1557,0)</f>
        <v>0</v>
      </c>
      <c r="P37" s="62">
        <f>IFERROR(aurora_data!O1557,0)</f>
        <v>0</v>
      </c>
      <c r="Q37" s="62">
        <f>IFERROR(aurora_data!P1557,0)</f>
        <v>0</v>
      </c>
      <c r="R37" s="63">
        <f>IFERROR(aurora_data!Q1557,0)</f>
        <v>0</v>
      </c>
      <c r="S37" s="62">
        <f>IFERROR(aurora_data!R1557,0)</f>
        <v>0</v>
      </c>
      <c r="T37" s="62">
        <f>IFERROR(aurora_data!S1557,0)</f>
        <v>0</v>
      </c>
      <c r="U37" s="63">
        <f>IFERROR(aurora_data!T1557,0)</f>
        <v>0</v>
      </c>
      <c r="V37" s="64" t="s">
        <v>95</v>
      </c>
      <c r="W37" s="36">
        <f>IFERROR(aurora_data!U1557,0)</f>
        <v>0</v>
      </c>
      <c r="X37" s="71">
        <f t="shared" ref="X37:X43" si="3">IFERROR(W37/$W$12,0)</f>
        <v>0</v>
      </c>
      <c r="Y37" s="2"/>
    </row>
    <row r="38" spans="1:25" customFormat="1">
      <c r="A38" s="2"/>
      <c r="B38" s="211"/>
      <c r="C38" s="213"/>
      <c r="D38" s="35" t="s">
        <v>60</v>
      </c>
      <c r="E38" s="110">
        <f>IFERROR(aurora_data!D1558,0)</f>
        <v>0</v>
      </c>
      <c r="F38" s="62">
        <f>IFERROR(aurora_data!E1558,0)</f>
        <v>0</v>
      </c>
      <c r="G38" s="62">
        <f>IFERROR(aurora_data!F1558,0)</f>
        <v>0</v>
      </c>
      <c r="H38" s="62">
        <f>IFERROR(aurora_data!G1558,0)</f>
        <v>0</v>
      </c>
      <c r="I38" s="63">
        <f>IFERROR(aurora_data!H1558,0)</f>
        <v>0</v>
      </c>
      <c r="J38" s="36">
        <f>IFERROR(aurora_data!I1558,0)</f>
        <v>0</v>
      </c>
      <c r="K38" s="62">
        <f>IFERROR(aurora_data!J1558,0)</f>
        <v>0</v>
      </c>
      <c r="L38" s="62">
        <f>IFERROR(aurora_data!K1558,0)</f>
        <v>0</v>
      </c>
      <c r="M38" s="62">
        <f>IFERROR(aurora_data!L1558,0)</f>
        <v>0</v>
      </c>
      <c r="N38" s="63">
        <f>IFERROR(aurora_data!M1558,0)</f>
        <v>0</v>
      </c>
      <c r="O38" s="36">
        <f>IFERROR(aurora_data!N1558,0)</f>
        <v>0</v>
      </c>
      <c r="P38" s="62">
        <f>IFERROR(aurora_data!O1558,0)</f>
        <v>0</v>
      </c>
      <c r="Q38" s="62">
        <f>IFERROR(aurora_data!P1558,0)</f>
        <v>0</v>
      </c>
      <c r="R38" s="63">
        <f>IFERROR(aurora_data!Q1558,0)</f>
        <v>0</v>
      </c>
      <c r="S38" s="62">
        <f>IFERROR(aurora_data!R1558,0)</f>
        <v>0</v>
      </c>
      <c r="T38" s="62">
        <f>IFERROR(aurora_data!S1558,0)</f>
        <v>0</v>
      </c>
      <c r="U38" s="63">
        <f>IFERROR(aurora_data!T1558,0)</f>
        <v>0</v>
      </c>
      <c r="V38" s="64" t="s">
        <v>95</v>
      </c>
      <c r="W38" s="36">
        <f>IFERROR(aurora_data!U1558,0)</f>
        <v>0</v>
      </c>
      <c r="X38" s="71">
        <f t="shared" si="3"/>
        <v>0</v>
      </c>
      <c r="Y38" s="2"/>
    </row>
    <row r="39" spans="1:25" customFormat="1">
      <c r="A39" s="2"/>
      <c r="B39" s="211"/>
      <c r="C39" s="213"/>
      <c r="D39" s="35" t="s">
        <v>97</v>
      </c>
      <c r="E39" s="36">
        <f>IFERROR(aurora_data!D1559,0)</f>
        <v>0</v>
      </c>
      <c r="F39" s="62">
        <f>IFERROR(aurora_data!E1559,0)</f>
        <v>0</v>
      </c>
      <c r="G39" s="62">
        <f>IFERROR(aurora_data!F1559,0)</f>
        <v>0</v>
      </c>
      <c r="H39" s="62">
        <f>IFERROR(aurora_data!G1559,0)</f>
        <v>0</v>
      </c>
      <c r="I39" s="63">
        <f>IFERROR(aurora_data!H1559,0)</f>
        <v>0</v>
      </c>
      <c r="J39" s="36">
        <f>IFERROR(aurora_data!I1559,0)</f>
        <v>0</v>
      </c>
      <c r="K39" s="62">
        <f>IFERROR(aurora_data!J1559,0)</f>
        <v>0</v>
      </c>
      <c r="L39" s="62">
        <f>IFERROR(aurora_data!K1559,0)</f>
        <v>0</v>
      </c>
      <c r="M39" s="62">
        <f>IFERROR(aurora_data!L1559,0)</f>
        <v>0</v>
      </c>
      <c r="N39" s="63">
        <f>IFERROR(aurora_data!M1559,0)</f>
        <v>0</v>
      </c>
      <c r="O39" s="36">
        <f>IFERROR(aurora_data!N1559,0)</f>
        <v>0</v>
      </c>
      <c r="P39" s="62">
        <f>IFERROR(aurora_data!O1559,0)</f>
        <v>0</v>
      </c>
      <c r="Q39" s="62">
        <f>IFERROR(aurora_data!P1559,0)</f>
        <v>0</v>
      </c>
      <c r="R39" s="63">
        <f>IFERROR(aurora_data!Q1559,0)</f>
        <v>0</v>
      </c>
      <c r="S39" s="62">
        <f>IFERROR(aurora_data!R1559,0)</f>
        <v>0</v>
      </c>
      <c r="T39" s="62">
        <f>IFERROR(aurora_data!S1559,0)</f>
        <v>0</v>
      </c>
      <c r="U39" s="63">
        <f>IFERROR(aurora_data!T1559,0)</f>
        <v>0</v>
      </c>
      <c r="V39" s="64" t="s">
        <v>95</v>
      </c>
      <c r="W39" s="36">
        <f>IFERROR(aurora_data!U1559,0)</f>
        <v>0</v>
      </c>
      <c r="X39" s="71">
        <f t="shared" si="3"/>
        <v>0</v>
      </c>
      <c r="Y39" s="2"/>
    </row>
    <row r="40" spans="1:25" customFormat="1">
      <c r="A40" s="2"/>
      <c r="B40" s="211"/>
      <c r="C40" s="213"/>
      <c r="D40" s="35" t="s">
        <v>98</v>
      </c>
      <c r="E40" s="36">
        <f>IFERROR(aurora_data!D1560,0)</f>
        <v>0</v>
      </c>
      <c r="F40" s="62">
        <f>IFERROR(aurora_data!E1560,0)</f>
        <v>0</v>
      </c>
      <c r="G40" s="62">
        <f>IFERROR(aurora_data!F1560,0)</f>
        <v>0</v>
      </c>
      <c r="H40" s="62">
        <f>IFERROR(aurora_data!G1560,0)</f>
        <v>0</v>
      </c>
      <c r="I40" s="63">
        <f>IFERROR(aurora_data!H1560,0)</f>
        <v>0</v>
      </c>
      <c r="J40" s="36">
        <f>IFERROR(aurora_data!I1560,0)</f>
        <v>0</v>
      </c>
      <c r="K40" s="62">
        <f>IFERROR(aurora_data!J1560,0)</f>
        <v>0</v>
      </c>
      <c r="L40" s="62">
        <f>IFERROR(aurora_data!K1560,0)</f>
        <v>0</v>
      </c>
      <c r="M40" s="62">
        <f>IFERROR(aurora_data!L1560,0)</f>
        <v>0</v>
      </c>
      <c r="N40" s="63">
        <f>IFERROR(aurora_data!M1560,0)</f>
        <v>0</v>
      </c>
      <c r="O40" s="36">
        <f>IFERROR(aurora_data!N1560,0)</f>
        <v>0</v>
      </c>
      <c r="P40" s="62">
        <f>IFERROR(aurora_data!O1560,0)</f>
        <v>0</v>
      </c>
      <c r="Q40" s="62">
        <f>IFERROR(aurora_data!P1560,0)</f>
        <v>0</v>
      </c>
      <c r="R40" s="63">
        <f>IFERROR(aurora_data!Q1560,0)</f>
        <v>0</v>
      </c>
      <c r="S40" s="62">
        <f>IFERROR(aurora_data!R1560,0)</f>
        <v>0</v>
      </c>
      <c r="T40" s="62">
        <f>IFERROR(aurora_data!S1560,0)</f>
        <v>0</v>
      </c>
      <c r="U40" s="63">
        <f>IFERROR(aurora_data!T1560,0)</f>
        <v>0</v>
      </c>
      <c r="V40" s="64" t="s">
        <v>95</v>
      </c>
      <c r="W40" s="36">
        <f>IFERROR(aurora_data!U1560,0)</f>
        <v>0</v>
      </c>
      <c r="X40" s="71">
        <f t="shared" si="3"/>
        <v>0</v>
      </c>
      <c r="Y40" s="2"/>
    </row>
    <row r="41" spans="1:25" customFormat="1" ht="16.5" thickBot="1">
      <c r="A41" s="2"/>
      <c r="B41" s="211"/>
      <c r="C41" s="213"/>
      <c r="D41" s="35" t="s">
        <v>99</v>
      </c>
      <c r="E41" s="36">
        <f>IFERROR(aurora_data!D1561,0)</f>
        <v>0</v>
      </c>
      <c r="F41" s="62">
        <f>IFERROR(aurora_data!E1561,0)</f>
        <v>0</v>
      </c>
      <c r="G41" s="62">
        <f>IFERROR(aurora_data!F1561,0)</f>
        <v>0</v>
      </c>
      <c r="H41" s="62">
        <f>IFERROR(aurora_data!G1561,0)</f>
        <v>0</v>
      </c>
      <c r="I41" s="63">
        <f>IFERROR(aurora_data!H1561,0)</f>
        <v>0</v>
      </c>
      <c r="J41" s="36">
        <f>IFERROR(aurora_data!I1561,0)</f>
        <v>0</v>
      </c>
      <c r="K41" s="62">
        <f>IFERROR(aurora_data!J1561,0)</f>
        <v>0</v>
      </c>
      <c r="L41" s="62">
        <f>IFERROR(aurora_data!K1561,0)</f>
        <v>0</v>
      </c>
      <c r="M41" s="62">
        <f>IFERROR(aurora_data!L1561,0)</f>
        <v>0</v>
      </c>
      <c r="N41" s="63">
        <f>IFERROR(aurora_data!M1561,0)</f>
        <v>0</v>
      </c>
      <c r="O41" s="36">
        <f>IFERROR(aurora_data!N1561,0)</f>
        <v>0</v>
      </c>
      <c r="P41" s="62">
        <f>IFERROR(aurora_data!O1561,0)</f>
        <v>0</v>
      </c>
      <c r="Q41" s="62">
        <f>IFERROR(aurora_data!P1561,0)</f>
        <v>0</v>
      </c>
      <c r="R41" s="63">
        <f>IFERROR(aurora_data!Q1561,0)</f>
        <v>0</v>
      </c>
      <c r="S41" s="62">
        <f>IFERROR(aurora_data!R1561,0)</f>
        <v>0</v>
      </c>
      <c r="T41" s="62">
        <f>IFERROR(aurora_data!S1561,0)</f>
        <v>0</v>
      </c>
      <c r="U41" s="63">
        <f>IFERROR(aurora_data!T1561,0)</f>
        <v>0</v>
      </c>
      <c r="V41" s="64" t="s">
        <v>95</v>
      </c>
      <c r="W41" s="36">
        <f>IFERROR(aurora_data!U1561,0)</f>
        <v>0</v>
      </c>
      <c r="X41" s="71">
        <f t="shared" si="3"/>
        <v>0</v>
      </c>
      <c r="Y41" s="2"/>
    </row>
    <row r="42" spans="1:25" customFormat="1" ht="16.5" thickBot="1">
      <c r="A42" s="2"/>
      <c r="B42" s="211"/>
      <c r="C42" s="213"/>
      <c r="D42" s="37" t="s">
        <v>64</v>
      </c>
      <c r="E42" s="59">
        <f>IFERROR(aurora_data!D1562,0)</f>
        <v>0</v>
      </c>
      <c r="F42" s="65">
        <f>IFERROR(aurora_data!E1562,0)</f>
        <v>0</v>
      </c>
      <c r="G42" s="65">
        <f>IFERROR(aurora_data!F1562,0)</f>
        <v>0</v>
      </c>
      <c r="H42" s="65">
        <f>IFERROR(aurora_data!G1562,0)</f>
        <v>0</v>
      </c>
      <c r="I42" s="66">
        <f>IFERROR(aurora_data!H1562,0)</f>
        <v>0</v>
      </c>
      <c r="J42" s="59">
        <f>IFERROR(aurora_data!I1562,0)</f>
        <v>0</v>
      </c>
      <c r="K42" s="65">
        <f>IFERROR(aurora_data!J1562,0)</f>
        <v>0</v>
      </c>
      <c r="L42" s="65">
        <f>IFERROR(aurora_data!K1562,0)</f>
        <v>0</v>
      </c>
      <c r="M42" s="65">
        <f>IFERROR(aurora_data!L1562,0)</f>
        <v>0</v>
      </c>
      <c r="N42" s="66">
        <f>IFERROR(aurora_data!M1562,0)</f>
        <v>0</v>
      </c>
      <c r="O42" s="59">
        <f>IFERROR(aurora_data!N1562,0)</f>
        <v>0</v>
      </c>
      <c r="P42" s="65">
        <f>IFERROR(aurora_data!O1562,0)</f>
        <v>0</v>
      </c>
      <c r="Q42" s="65">
        <f>IFERROR(aurora_data!P1562,0)</f>
        <v>0</v>
      </c>
      <c r="R42" s="66">
        <f>IFERROR(aurora_data!Q1562,0)</f>
        <v>0</v>
      </c>
      <c r="S42" s="65">
        <f>IFERROR(aurora_data!R1562,0)</f>
        <v>0</v>
      </c>
      <c r="T42" s="65">
        <f>IFERROR(aurora_data!S1562,0)</f>
        <v>0</v>
      </c>
      <c r="U42" s="66">
        <f>IFERROR(aurora_data!T1562,0)</f>
        <v>0</v>
      </c>
      <c r="V42" s="67" t="s">
        <v>95</v>
      </c>
      <c r="W42" s="59">
        <f>IFERROR(aurora_data!U1562,0)</f>
        <v>0</v>
      </c>
      <c r="X42" s="72">
        <f t="shared" si="3"/>
        <v>0</v>
      </c>
      <c r="Y42" s="2"/>
    </row>
    <row r="43" spans="1:25" customFormat="1" ht="16.5" thickBot="1">
      <c r="A43" s="2"/>
      <c r="B43" s="211"/>
      <c r="C43" s="213"/>
      <c r="D43" s="38" t="s">
        <v>100</v>
      </c>
      <c r="E43" s="60">
        <f>IFERROR(aurora_data!D1563,0)</f>
        <v>0</v>
      </c>
      <c r="F43" s="68">
        <f>IFERROR(aurora_data!E1563,0)</f>
        <v>0</v>
      </c>
      <c r="G43" s="68">
        <f>IFERROR(aurora_data!F1563,0)</f>
        <v>0</v>
      </c>
      <c r="H43" s="68">
        <f>IFERROR(aurora_data!G1563,0)</f>
        <v>0</v>
      </c>
      <c r="I43" s="69">
        <f>IFERROR(aurora_data!H1563,0)</f>
        <v>0</v>
      </c>
      <c r="J43" s="60">
        <f>IFERROR(aurora_data!I1563,0)</f>
        <v>0</v>
      </c>
      <c r="K43" s="68">
        <f>IFERROR(aurora_data!J1563,0)</f>
        <v>0</v>
      </c>
      <c r="L43" s="68">
        <f>IFERROR(aurora_data!K1563,0)</f>
        <v>0</v>
      </c>
      <c r="M43" s="68">
        <f>IFERROR(aurora_data!L1563,0)</f>
        <v>0</v>
      </c>
      <c r="N43" s="69">
        <f>IFERROR(aurora_data!M1563,0)</f>
        <v>0</v>
      </c>
      <c r="O43" s="60">
        <f>IFERROR(aurora_data!N1563,0)</f>
        <v>0</v>
      </c>
      <c r="P43" s="68">
        <f>IFERROR(aurora_data!O1563,0)</f>
        <v>0</v>
      </c>
      <c r="Q43" s="68">
        <f>IFERROR(aurora_data!P1563,0)</f>
        <v>0</v>
      </c>
      <c r="R43" s="69">
        <f>IFERROR(aurora_data!Q1563,0)</f>
        <v>0</v>
      </c>
      <c r="S43" s="68">
        <f>IFERROR(aurora_data!R1563,0)</f>
        <v>0</v>
      </c>
      <c r="T43" s="68">
        <f>IFERROR(aurora_data!S1563,0)</f>
        <v>0</v>
      </c>
      <c r="U43" s="74">
        <f>IFERROR(aurora_data!T1563,0)</f>
        <v>0</v>
      </c>
      <c r="V43" s="75" t="s">
        <v>95</v>
      </c>
      <c r="W43" s="60">
        <f>IFERROR(aurora_data!U1563,0)</f>
        <v>0</v>
      </c>
      <c r="X43" s="73">
        <f t="shared" si="3"/>
        <v>0</v>
      </c>
      <c r="Y43" s="2"/>
    </row>
    <row r="44" spans="1:25" customFormat="1">
      <c r="A44" s="2"/>
      <c r="B44" s="210" t="s">
        <v>94</v>
      </c>
      <c r="C44" s="212" t="str">
        <f>aurora_data!A1564</f>
        <v>10.00.00-10.11.30</v>
      </c>
      <c r="D44" s="34" t="s">
        <v>71</v>
      </c>
      <c r="E44" s="39">
        <f>IFERROR(aurora_data!D1564,0)</f>
        <v>0</v>
      </c>
      <c r="F44" s="40">
        <f>IFERROR(aurora_data!E1564,0)</f>
        <v>0</v>
      </c>
      <c r="G44" s="40">
        <f>IFERROR(aurora_data!F1564,0)</f>
        <v>0</v>
      </c>
      <c r="H44" s="40">
        <f>IFERROR(aurora_data!G1564,0)</f>
        <v>0</v>
      </c>
      <c r="I44" s="41">
        <f>IFERROR(aurora_data!H1564,0)</f>
        <v>0</v>
      </c>
      <c r="J44" s="39">
        <f>IFERROR(aurora_data!I1564,0)</f>
        <v>0</v>
      </c>
      <c r="K44" s="40">
        <f>IFERROR(aurora_data!J1564,0)</f>
        <v>0</v>
      </c>
      <c r="L44" s="40">
        <f>IFERROR(aurora_data!K1564,0)</f>
        <v>0</v>
      </c>
      <c r="M44" s="40">
        <f>IFERROR(aurora_data!L1564,0)</f>
        <v>0</v>
      </c>
      <c r="N44" s="41">
        <f>IFERROR(aurora_data!M1564,0)</f>
        <v>0</v>
      </c>
      <c r="O44" s="39">
        <f>IFERROR(aurora_data!N1564,0)</f>
        <v>0</v>
      </c>
      <c r="P44" s="40">
        <f>IFERROR(aurora_data!O1564,0)</f>
        <v>0</v>
      </c>
      <c r="Q44" s="40">
        <f>IFERROR(aurora_data!P1564,0)</f>
        <v>0</v>
      </c>
      <c r="R44" s="41">
        <f>IFERROR(aurora_data!Q1564,0)</f>
        <v>0</v>
      </c>
      <c r="S44" s="40">
        <f>IFERROR(aurora_data!R1564,0)</f>
        <v>0</v>
      </c>
      <c r="T44" s="40">
        <f>IFERROR(aurora_data!S1564,0)</f>
        <v>0</v>
      </c>
      <c r="U44" s="76">
        <f>IFERROR(aurora_data!T1564,0)</f>
        <v>0</v>
      </c>
      <c r="V44" s="61" t="s">
        <v>95</v>
      </c>
      <c r="W44" s="39">
        <f>IFERROR(aurora_data!U1564,0)</f>
        <v>6</v>
      </c>
      <c r="X44" s="70">
        <f>IFERROR(W44/$W$12,0)</f>
        <v>1</v>
      </c>
      <c r="Y44" s="2"/>
    </row>
    <row r="45" spans="1:25" customFormat="1">
      <c r="A45" s="2"/>
      <c r="B45" s="211"/>
      <c r="C45" s="213"/>
      <c r="D45" s="35" t="s">
        <v>96</v>
      </c>
      <c r="E45" s="110">
        <f>IFERROR(aurora_data!D1565,0)</f>
        <v>0</v>
      </c>
      <c r="F45" s="62">
        <f>IFERROR(aurora_data!E1565,0)</f>
        <v>0</v>
      </c>
      <c r="G45" s="62">
        <f>IFERROR(aurora_data!F1565,0)</f>
        <v>0</v>
      </c>
      <c r="H45" s="62">
        <f>IFERROR(aurora_data!G1565,0)</f>
        <v>0</v>
      </c>
      <c r="I45" s="63">
        <f>IFERROR(aurora_data!H1565,0)</f>
        <v>0</v>
      </c>
      <c r="J45" s="36">
        <f>IFERROR(aurora_data!I1565,0)</f>
        <v>0</v>
      </c>
      <c r="K45" s="62">
        <f>IFERROR(aurora_data!J1565,0)</f>
        <v>0</v>
      </c>
      <c r="L45" s="62">
        <f>IFERROR(aurora_data!K1565,0)</f>
        <v>0</v>
      </c>
      <c r="M45" s="62">
        <f>IFERROR(aurora_data!L1565,0)</f>
        <v>0</v>
      </c>
      <c r="N45" s="63">
        <f>IFERROR(aurora_data!M1565,0)</f>
        <v>0</v>
      </c>
      <c r="O45" s="36">
        <f>IFERROR(aurora_data!N1565,0)</f>
        <v>0</v>
      </c>
      <c r="P45" s="62">
        <f>IFERROR(aurora_data!O1565,0)</f>
        <v>0</v>
      </c>
      <c r="Q45" s="62">
        <f>IFERROR(aurora_data!P1565,0)</f>
        <v>0</v>
      </c>
      <c r="R45" s="63">
        <f>IFERROR(aurora_data!Q1565,0)</f>
        <v>0</v>
      </c>
      <c r="S45" s="62">
        <f>IFERROR(aurora_data!R1565,0)</f>
        <v>0</v>
      </c>
      <c r="T45" s="62">
        <f>IFERROR(aurora_data!S1565,0)</f>
        <v>0</v>
      </c>
      <c r="U45" s="63">
        <f>IFERROR(aurora_data!T1565,0)</f>
        <v>0</v>
      </c>
      <c r="V45" s="64" t="s">
        <v>95</v>
      </c>
      <c r="W45" s="36">
        <f>IFERROR(aurora_data!U1565,0)</f>
        <v>0</v>
      </c>
      <c r="X45" s="71">
        <f t="shared" ref="X45:X51" si="4">IFERROR(W45/$W$12,0)</f>
        <v>0</v>
      </c>
      <c r="Y45" s="2"/>
    </row>
    <row r="46" spans="1:25" customFormat="1">
      <c r="A46" s="2"/>
      <c r="B46" s="211"/>
      <c r="C46" s="213"/>
      <c r="D46" s="35" t="s">
        <v>60</v>
      </c>
      <c r="E46" s="110">
        <f>IFERROR(aurora_data!D1566,0)</f>
        <v>0</v>
      </c>
      <c r="F46" s="62">
        <f>IFERROR(aurora_data!E1566,0)</f>
        <v>0</v>
      </c>
      <c r="G46" s="62">
        <f>IFERROR(aurora_data!F1566,0)</f>
        <v>0</v>
      </c>
      <c r="H46" s="62">
        <f>IFERROR(aurora_data!G1566,0)</f>
        <v>0</v>
      </c>
      <c r="I46" s="63">
        <f>IFERROR(aurora_data!H1566,0)</f>
        <v>0</v>
      </c>
      <c r="J46" s="36">
        <f>IFERROR(aurora_data!I1566,0)</f>
        <v>0</v>
      </c>
      <c r="K46" s="62">
        <f>IFERROR(aurora_data!J1566,0)</f>
        <v>0</v>
      </c>
      <c r="L46" s="62">
        <f>IFERROR(aurora_data!K1566,0)</f>
        <v>0</v>
      </c>
      <c r="M46" s="62">
        <f>IFERROR(aurora_data!L1566,0)</f>
        <v>0</v>
      </c>
      <c r="N46" s="63">
        <f>IFERROR(aurora_data!M1566,0)</f>
        <v>0</v>
      </c>
      <c r="O46" s="36">
        <f>IFERROR(aurora_data!N1566,0)</f>
        <v>0</v>
      </c>
      <c r="P46" s="62">
        <f>IFERROR(aurora_data!O1566,0)</f>
        <v>0</v>
      </c>
      <c r="Q46" s="62">
        <f>IFERROR(aurora_data!P1566,0)</f>
        <v>0</v>
      </c>
      <c r="R46" s="63">
        <f>IFERROR(aurora_data!Q1566,0)</f>
        <v>0</v>
      </c>
      <c r="S46" s="62">
        <f>IFERROR(aurora_data!R1566,0)</f>
        <v>0</v>
      </c>
      <c r="T46" s="62">
        <f>IFERROR(aurora_data!S1566,0)</f>
        <v>0</v>
      </c>
      <c r="U46" s="63">
        <f>IFERROR(aurora_data!T1566,0)</f>
        <v>0</v>
      </c>
      <c r="V46" s="64" t="s">
        <v>95</v>
      </c>
      <c r="W46" s="36">
        <f>IFERROR(aurora_data!U1566,0)</f>
        <v>0</v>
      </c>
      <c r="X46" s="71">
        <f t="shared" si="4"/>
        <v>0</v>
      </c>
      <c r="Y46" s="2"/>
    </row>
    <row r="47" spans="1:25" customFormat="1">
      <c r="A47" s="2"/>
      <c r="B47" s="211"/>
      <c r="C47" s="213"/>
      <c r="D47" s="35" t="s">
        <v>97</v>
      </c>
      <c r="E47" s="36">
        <f>IFERROR(aurora_data!D1567,0)</f>
        <v>0</v>
      </c>
      <c r="F47" s="62">
        <f>IFERROR(aurora_data!E1567,0)</f>
        <v>0</v>
      </c>
      <c r="G47" s="62">
        <f>IFERROR(aurora_data!F1567,0)</f>
        <v>0</v>
      </c>
      <c r="H47" s="62">
        <f>IFERROR(aurora_data!G1567,0)</f>
        <v>0</v>
      </c>
      <c r="I47" s="63">
        <f>IFERROR(aurora_data!H1567,0)</f>
        <v>0</v>
      </c>
      <c r="J47" s="36">
        <f>IFERROR(aurora_data!I1567,0)</f>
        <v>0</v>
      </c>
      <c r="K47" s="62">
        <f>IFERROR(aurora_data!J1567,0)</f>
        <v>0</v>
      </c>
      <c r="L47" s="62">
        <f>IFERROR(aurora_data!K1567,0)</f>
        <v>0</v>
      </c>
      <c r="M47" s="62">
        <f>IFERROR(aurora_data!L1567,0)</f>
        <v>0</v>
      </c>
      <c r="N47" s="63">
        <f>IFERROR(aurora_data!M1567,0)</f>
        <v>0</v>
      </c>
      <c r="O47" s="36">
        <f>IFERROR(aurora_data!N1567,0)</f>
        <v>0</v>
      </c>
      <c r="P47" s="62">
        <f>IFERROR(aurora_data!O1567,0)</f>
        <v>0</v>
      </c>
      <c r="Q47" s="62">
        <f>IFERROR(aurora_data!P1567,0)</f>
        <v>0</v>
      </c>
      <c r="R47" s="63">
        <f>IFERROR(aurora_data!Q1567,0)</f>
        <v>0</v>
      </c>
      <c r="S47" s="62">
        <f>IFERROR(aurora_data!R1567,0)</f>
        <v>0</v>
      </c>
      <c r="T47" s="62">
        <f>IFERROR(aurora_data!S1567,0)</f>
        <v>0</v>
      </c>
      <c r="U47" s="63">
        <f>IFERROR(aurora_data!T1567,0)</f>
        <v>0</v>
      </c>
      <c r="V47" s="64" t="s">
        <v>95</v>
      </c>
      <c r="W47" s="36">
        <f>IFERROR(aurora_data!U1567,0)</f>
        <v>0</v>
      </c>
      <c r="X47" s="71">
        <f t="shared" si="4"/>
        <v>0</v>
      </c>
      <c r="Y47" s="2"/>
    </row>
    <row r="48" spans="1:25" customFormat="1">
      <c r="A48" s="2"/>
      <c r="B48" s="211"/>
      <c r="C48" s="213"/>
      <c r="D48" s="35" t="s">
        <v>98</v>
      </c>
      <c r="E48" s="36">
        <f>IFERROR(aurora_data!D1568,0)</f>
        <v>0</v>
      </c>
      <c r="F48" s="62">
        <f>IFERROR(aurora_data!E1568,0)</f>
        <v>0</v>
      </c>
      <c r="G48" s="62">
        <f>IFERROR(aurora_data!F1568,0)</f>
        <v>0</v>
      </c>
      <c r="H48" s="62">
        <f>IFERROR(aurora_data!G1568,0)</f>
        <v>0</v>
      </c>
      <c r="I48" s="63">
        <f>IFERROR(aurora_data!H1568,0)</f>
        <v>0</v>
      </c>
      <c r="J48" s="36">
        <f>IFERROR(aurora_data!I1568,0)</f>
        <v>0</v>
      </c>
      <c r="K48" s="62">
        <f>IFERROR(aurora_data!J1568,0)</f>
        <v>0</v>
      </c>
      <c r="L48" s="62">
        <f>IFERROR(aurora_data!K1568,0)</f>
        <v>0</v>
      </c>
      <c r="M48" s="62">
        <f>IFERROR(aurora_data!L1568,0)</f>
        <v>0</v>
      </c>
      <c r="N48" s="63">
        <f>IFERROR(aurora_data!M1568,0)</f>
        <v>0</v>
      </c>
      <c r="O48" s="36">
        <f>IFERROR(aurora_data!N1568,0)</f>
        <v>0</v>
      </c>
      <c r="P48" s="62">
        <f>IFERROR(aurora_data!O1568,0)</f>
        <v>0</v>
      </c>
      <c r="Q48" s="62">
        <f>IFERROR(aurora_data!P1568,0)</f>
        <v>0</v>
      </c>
      <c r="R48" s="63">
        <f>IFERROR(aurora_data!Q1568,0)</f>
        <v>0</v>
      </c>
      <c r="S48" s="62">
        <f>IFERROR(aurora_data!R1568,0)</f>
        <v>0</v>
      </c>
      <c r="T48" s="62">
        <f>IFERROR(aurora_data!S1568,0)</f>
        <v>0</v>
      </c>
      <c r="U48" s="63">
        <f>IFERROR(aurora_data!T1568,0)</f>
        <v>0</v>
      </c>
      <c r="V48" s="64" t="s">
        <v>95</v>
      </c>
      <c r="W48" s="36">
        <f>IFERROR(aurora_data!U1568,0)</f>
        <v>0</v>
      </c>
      <c r="X48" s="71">
        <f t="shared" si="4"/>
        <v>0</v>
      </c>
      <c r="Y48" s="2"/>
    </row>
    <row r="49" spans="1:25" customFormat="1" ht="16.5" thickBot="1">
      <c r="A49" s="2"/>
      <c r="B49" s="211"/>
      <c r="C49" s="213"/>
      <c r="D49" s="35" t="s">
        <v>99</v>
      </c>
      <c r="E49" s="36">
        <f>IFERROR(aurora_data!D1569,0)</f>
        <v>0</v>
      </c>
      <c r="F49" s="62">
        <f>IFERROR(aurora_data!E1569,0)</f>
        <v>0</v>
      </c>
      <c r="G49" s="62">
        <f>IFERROR(aurora_data!F1569,0)</f>
        <v>0</v>
      </c>
      <c r="H49" s="62">
        <f>IFERROR(aurora_data!G1569,0)</f>
        <v>0</v>
      </c>
      <c r="I49" s="63">
        <f>IFERROR(aurora_data!H1569,0)</f>
        <v>0</v>
      </c>
      <c r="J49" s="36">
        <f>IFERROR(aurora_data!I1569,0)</f>
        <v>0</v>
      </c>
      <c r="K49" s="62">
        <f>IFERROR(aurora_data!J1569,0)</f>
        <v>0</v>
      </c>
      <c r="L49" s="62">
        <f>IFERROR(aurora_data!K1569,0)</f>
        <v>0</v>
      </c>
      <c r="M49" s="62">
        <f>IFERROR(aurora_data!L1569,0)</f>
        <v>0</v>
      </c>
      <c r="N49" s="63">
        <f>IFERROR(aurora_data!M1569,0)</f>
        <v>0</v>
      </c>
      <c r="O49" s="36">
        <f>IFERROR(aurora_data!N1569,0)</f>
        <v>0</v>
      </c>
      <c r="P49" s="62">
        <f>IFERROR(aurora_data!O1569,0)</f>
        <v>0</v>
      </c>
      <c r="Q49" s="62">
        <f>IFERROR(aurora_data!P1569,0)</f>
        <v>0</v>
      </c>
      <c r="R49" s="63">
        <f>IFERROR(aurora_data!Q1569,0)</f>
        <v>0</v>
      </c>
      <c r="S49" s="62">
        <f>IFERROR(aurora_data!R1569,0)</f>
        <v>0</v>
      </c>
      <c r="T49" s="62">
        <f>IFERROR(aurora_data!S1569,0)</f>
        <v>0</v>
      </c>
      <c r="U49" s="63">
        <f>IFERROR(aurora_data!T1569,0)</f>
        <v>0</v>
      </c>
      <c r="V49" s="64" t="s">
        <v>95</v>
      </c>
      <c r="W49" s="36">
        <f>IFERROR(aurora_data!U1569,0)</f>
        <v>0</v>
      </c>
      <c r="X49" s="71">
        <f t="shared" si="4"/>
        <v>0</v>
      </c>
      <c r="Y49" s="2"/>
    </row>
    <row r="50" spans="1:25" customFormat="1" ht="16.5" thickBot="1">
      <c r="A50" s="2"/>
      <c r="B50" s="211"/>
      <c r="C50" s="213"/>
      <c r="D50" s="37" t="s">
        <v>64</v>
      </c>
      <c r="E50" s="59">
        <f>IFERROR(aurora_data!D1570,0)</f>
        <v>0</v>
      </c>
      <c r="F50" s="65">
        <f>IFERROR(aurora_data!E1570,0)</f>
        <v>0</v>
      </c>
      <c r="G50" s="65">
        <f>IFERROR(aurora_data!F1570,0)</f>
        <v>0</v>
      </c>
      <c r="H50" s="65">
        <f>IFERROR(aurora_data!G1570,0)</f>
        <v>0</v>
      </c>
      <c r="I50" s="66">
        <f>IFERROR(aurora_data!H1570,0)</f>
        <v>0</v>
      </c>
      <c r="J50" s="59">
        <f>IFERROR(aurora_data!I1570,0)</f>
        <v>0</v>
      </c>
      <c r="K50" s="65">
        <f>IFERROR(aurora_data!J1570,0)</f>
        <v>0</v>
      </c>
      <c r="L50" s="65">
        <f>IFERROR(aurora_data!K1570,0)</f>
        <v>0</v>
      </c>
      <c r="M50" s="65">
        <f>IFERROR(aurora_data!L1570,0)</f>
        <v>0</v>
      </c>
      <c r="N50" s="66">
        <f>IFERROR(aurora_data!M1570,0)</f>
        <v>0</v>
      </c>
      <c r="O50" s="59">
        <f>IFERROR(aurora_data!N1570,0)</f>
        <v>0</v>
      </c>
      <c r="P50" s="65">
        <f>IFERROR(aurora_data!O1570,0)</f>
        <v>0</v>
      </c>
      <c r="Q50" s="65">
        <f>IFERROR(aurora_data!P1570,0)</f>
        <v>0</v>
      </c>
      <c r="R50" s="66">
        <f>IFERROR(aurora_data!Q1570,0)</f>
        <v>0</v>
      </c>
      <c r="S50" s="65">
        <f>IFERROR(aurora_data!R1570,0)</f>
        <v>0</v>
      </c>
      <c r="T50" s="65">
        <f>IFERROR(aurora_data!S1570,0)</f>
        <v>0</v>
      </c>
      <c r="U50" s="66">
        <f>IFERROR(aurora_data!T1570,0)</f>
        <v>0</v>
      </c>
      <c r="V50" s="67" t="s">
        <v>95</v>
      </c>
      <c r="W50" s="59">
        <f>IFERROR(aurora_data!U1570,0)</f>
        <v>0</v>
      </c>
      <c r="X50" s="72">
        <f t="shared" si="4"/>
        <v>0</v>
      </c>
      <c r="Y50" s="2"/>
    </row>
    <row r="51" spans="1:25" customFormat="1" ht="16.5" thickBot="1">
      <c r="A51" s="2"/>
      <c r="B51" s="211"/>
      <c r="C51" s="213"/>
      <c r="D51" s="38" t="s">
        <v>100</v>
      </c>
      <c r="E51" s="60">
        <f>IFERROR(aurora_data!D1571,0)</f>
        <v>0</v>
      </c>
      <c r="F51" s="68">
        <f>IFERROR(aurora_data!E1571,0)</f>
        <v>0</v>
      </c>
      <c r="G51" s="68">
        <f>IFERROR(aurora_data!F1571,0)</f>
        <v>0</v>
      </c>
      <c r="H51" s="68">
        <f>IFERROR(aurora_data!G1571,0)</f>
        <v>0</v>
      </c>
      <c r="I51" s="69">
        <f>IFERROR(aurora_data!H1571,0)</f>
        <v>0</v>
      </c>
      <c r="J51" s="60">
        <f>IFERROR(aurora_data!I1571,0)</f>
        <v>0</v>
      </c>
      <c r="K51" s="68">
        <f>IFERROR(aurora_data!J1571,0)</f>
        <v>0</v>
      </c>
      <c r="L51" s="68">
        <f>IFERROR(aurora_data!K1571,0)</f>
        <v>0</v>
      </c>
      <c r="M51" s="68">
        <f>IFERROR(aurora_data!L1571,0)</f>
        <v>0</v>
      </c>
      <c r="N51" s="69">
        <f>IFERROR(aurora_data!M1571,0)</f>
        <v>0</v>
      </c>
      <c r="O51" s="60">
        <f>IFERROR(aurora_data!N1571,0)</f>
        <v>0</v>
      </c>
      <c r="P51" s="68">
        <f>IFERROR(aurora_data!O1571,0)</f>
        <v>0</v>
      </c>
      <c r="Q51" s="68">
        <f>IFERROR(aurora_data!P1571,0)</f>
        <v>0</v>
      </c>
      <c r="R51" s="69">
        <f>IFERROR(aurora_data!Q1571,0)</f>
        <v>0</v>
      </c>
      <c r="S51" s="68">
        <f>IFERROR(aurora_data!R1571,0)</f>
        <v>0</v>
      </c>
      <c r="T51" s="68">
        <f>IFERROR(aurora_data!S1571,0)</f>
        <v>0</v>
      </c>
      <c r="U51" s="74">
        <f>IFERROR(aurora_data!T1571,0)</f>
        <v>0</v>
      </c>
      <c r="V51" s="75" t="s">
        <v>95</v>
      </c>
      <c r="W51" s="60">
        <f>IFERROR(aurora_data!U1571,0)</f>
        <v>0</v>
      </c>
      <c r="X51" s="73">
        <f t="shared" si="4"/>
        <v>0</v>
      </c>
      <c r="Y51" s="2"/>
    </row>
    <row r="52" spans="1:25" customFormat="1">
      <c r="A52" s="2"/>
      <c r="B52" s="210" t="s">
        <v>94</v>
      </c>
      <c r="C52" s="212" t="str">
        <f>aurora_data!A1572</f>
        <v>11.00.00-11.11.30</v>
      </c>
      <c r="D52" s="34" t="s">
        <v>71</v>
      </c>
      <c r="E52" s="39">
        <f>IFERROR(aurora_data!D1572,0)</f>
        <v>0</v>
      </c>
      <c r="F52" s="40">
        <f>IFERROR(aurora_data!E1572,0)</f>
        <v>0</v>
      </c>
      <c r="G52" s="40">
        <f>IFERROR(aurora_data!F1572,0)</f>
        <v>0</v>
      </c>
      <c r="H52" s="40">
        <f>IFERROR(aurora_data!G1572,0)</f>
        <v>0</v>
      </c>
      <c r="I52" s="41">
        <f>IFERROR(aurora_data!H1572,0)</f>
        <v>0</v>
      </c>
      <c r="J52" s="39">
        <f>IFERROR(aurora_data!I1572,0)</f>
        <v>0</v>
      </c>
      <c r="K52" s="40">
        <f>IFERROR(aurora_data!J1572,0)</f>
        <v>0</v>
      </c>
      <c r="L52" s="40">
        <f>IFERROR(aurora_data!K1572,0)</f>
        <v>0</v>
      </c>
      <c r="M52" s="40">
        <f>IFERROR(aurora_data!L1572,0)</f>
        <v>0</v>
      </c>
      <c r="N52" s="41">
        <f>IFERROR(aurora_data!M1572,0)</f>
        <v>0</v>
      </c>
      <c r="O52" s="39">
        <f>IFERROR(aurora_data!N1572,0)</f>
        <v>0</v>
      </c>
      <c r="P52" s="40">
        <f>IFERROR(aurora_data!O1572,0)</f>
        <v>0</v>
      </c>
      <c r="Q52" s="40">
        <f>IFERROR(aurora_data!P1572,0)</f>
        <v>0</v>
      </c>
      <c r="R52" s="41">
        <f>IFERROR(aurora_data!Q1572,0)</f>
        <v>0</v>
      </c>
      <c r="S52" s="40">
        <f>IFERROR(aurora_data!R1572,0)</f>
        <v>0</v>
      </c>
      <c r="T52" s="40">
        <f>IFERROR(aurora_data!S1572,0)</f>
        <v>0</v>
      </c>
      <c r="U52" s="76">
        <f>IFERROR(aurora_data!T1572,0)</f>
        <v>0</v>
      </c>
      <c r="V52" s="61" t="s">
        <v>95</v>
      </c>
      <c r="W52" s="39">
        <f>IFERROR(aurora_data!U1572,0)</f>
        <v>6</v>
      </c>
      <c r="X52" s="70">
        <f>IFERROR(W52/$W$12,0)</f>
        <v>1</v>
      </c>
      <c r="Y52" s="2"/>
    </row>
    <row r="53" spans="1:25" customFormat="1">
      <c r="A53" s="2"/>
      <c r="B53" s="211"/>
      <c r="C53" s="213"/>
      <c r="D53" s="35" t="s">
        <v>96</v>
      </c>
      <c r="E53" s="110">
        <f>IFERROR(aurora_data!D1573,0)</f>
        <v>0</v>
      </c>
      <c r="F53" s="62">
        <f>IFERROR(aurora_data!E1573,0)</f>
        <v>1</v>
      </c>
      <c r="G53" s="62">
        <f>IFERROR(aurora_data!F1573,0)</f>
        <v>0</v>
      </c>
      <c r="H53" s="62">
        <f>IFERROR(aurora_data!G1573,0)</f>
        <v>0</v>
      </c>
      <c r="I53" s="63">
        <f>IFERROR(aurora_data!H1573,0)</f>
        <v>0</v>
      </c>
      <c r="J53" s="36">
        <f>IFERROR(aurora_data!I1573,0)</f>
        <v>0</v>
      </c>
      <c r="K53" s="62">
        <f>IFERROR(aurora_data!J1573,0)</f>
        <v>1</v>
      </c>
      <c r="L53" s="62">
        <f>IFERROR(aurora_data!K1573,0)</f>
        <v>0</v>
      </c>
      <c r="M53" s="62">
        <f>IFERROR(aurora_data!L1573,0)</f>
        <v>0</v>
      </c>
      <c r="N53" s="63">
        <f>IFERROR(aurora_data!M1573,0)</f>
        <v>0</v>
      </c>
      <c r="O53" s="36">
        <f>IFERROR(aurora_data!N1573,0)</f>
        <v>0</v>
      </c>
      <c r="P53" s="62">
        <f>IFERROR(aurora_data!O1573,0)</f>
        <v>1</v>
      </c>
      <c r="Q53" s="62">
        <f>IFERROR(aurora_data!P1573,0)</f>
        <v>0</v>
      </c>
      <c r="R53" s="63">
        <f>IFERROR(aurora_data!Q1573,0)</f>
        <v>0</v>
      </c>
      <c r="S53" s="62">
        <f>IFERROR(aurora_data!R1573,0)</f>
        <v>0</v>
      </c>
      <c r="T53" s="62">
        <f>IFERROR(aurora_data!S1573,0)</f>
        <v>1</v>
      </c>
      <c r="U53" s="63">
        <f>IFERROR(aurora_data!T1573,0)</f>
        <v>0</v>
      </c>
      <c r="V53" s="64" t="s">
        <v>95</v>
      </c>
      <c r="W53" s="36">
        <f>IFERROR(aurora_data!U1573,0)</f>
        <v>1</v>
      </c>
      <c r="X53" s="71">
        <f t="shared" ref="X53:X59" si="5">IFERROR(W53/$W$12,0)</f>
        <v>0.16666666666666666</v>
      </c>
      <c r="Y53" s="2"/>
    </row>
    <row r="54" spans="1:25" customFormat="1">
      <c r="A54" s="2"/>
      <c r="B54" s="211"/>
      <c r="C54" s="213"/>
      <c r="D54" s="35" t="s">
        <v>60</v>
      </c>
      <c r="E54" s="110">
        <f>IFERROR(aurora_data!D1574,0)</f>
        <v>0</v>
      </c>
      <c r="F54" s="62">
        <f>IFERROR(aurora_data!E1574,0)</f>
        <v>0</v>
      </c>
      <c r="G54" s="62">
        <f>IFERROR(aurora_data!F1574,0)</f>
        <v>0</v>
      </c>
      <c r="H54" s="62">
        <f>IFERROR(aurora_data!G1574,0)</f>
        <v>0</v>
      </c>
      <c r="I54" s="63">
        <f>IFERROR(aurora_data!H1574,0)</f>
        <v>0</v>
      </c>
      <c r="J54" s="36">
        <f>IFERROR(aurora_data!I1574,0)</f>
        <v>0</v>
      </c>
      <c r="K54" s="62">
        <f>IFERROR(aurora_data!J1574,0)</f>
        <v>0</v>
      </c>
      <c r="L54" s="62">
        <f>IFERROR(aurora_data!K1574,0)</f>
        <v>0</v>
      </c>
      <c r="M54" s="62">
        <f>IFERROR(aurora_data!L1574,0)</f>
        <v>0</v>
      </c>
      <c r="N54" s="63">
        <f>IFERROR(aurora_data!M1574,0)</f>
        <v>0</v>
      </c>
      <c r="O54" s="36">
        <f>IFERROR(aurora_data!N1574,0)</f>
        <v>0</v>
      </c>
      <c r="P54" s="62">
        <f>IFERROR(aurora_data!O1574,0)</f>
        <v>0</v>
      </c>
      <c r="Q54" s="62">
        <f>IFERROR(aurora_data!P1574,0)</f>
        <v>0</v>
      </c>
      <c r="R54" s="63">
        <f>IFERROR(aurora_data!Q1574,0)</f>
        <v>0</v>
      </c>
      <c r="S54" s="62">
        <f>IFERROR(aurora_data!R1574,0)</f>
        <v>0</v>
      </c>
      <c r="T54" s="62">
        <f>IFERROR(aurora_data!S1574,0)</f>
        <v>0</v>
      </c>
      <c r="U54" s="63">
        <f>IFERROR(aurora_data!T1574,0)</f>
        <v>0</v>
      </c>
      <c r="V54" s="64" t="s">
        <v>95</v>
      </c>
      <c r="W54" s="36">
        <f>IFERROR(aurora_data!U1574,0)</f>
        <v>0</v>
      </c>
      <c r="X54" s="71">
        <f t="shared" si="5"/>
        <v>0</v>
      </c>
      <c r="Y54" s="2"/>
    </row>
    <row r="55" spans="1:25" customFormat="1">
      <c r="A55" s="2"/>
      <c r="B55" s="211"/>
      <c r="C55" s="213"/>
      <c r="D55" s="35" t="s">
        <v>97</v>
      </c>
      <c r="E55" s="36">
        <f>IFERROR(aurora_data!D1575,0)</f>
        <v>0</v>
      </c>
      <c r="F55" s="62">
        <f>IFERROR(aurora_data!E1575,0)</f>
        <v>0</v>
      </c>
      <c r="G55" s="62">
        <f>IFERROR(aurora_data!F1575,0)</f>
        <v>0</v>
      </c>
      <c r="H55" s="62">
        <f>IFERROR(aurora_data!G1575,0)</f>
        <v>0</v>
      </c>
      <c r="I55" s="63">
        <f>IFERROR(aurora_data!H1575,0)</f>
        <v>0</v>
      </c>
      <c r="J55" s="36">
        <f>IFERROR(aurora_data!I1575,0)</f>
        <v>0</v>
      </c>
      <c r="K55" s="62">
        <f>IFERROR(aurora_data!J1575,0)</f>
        <v>0</v>
      </c>
      <c r="L55" s="62">
        <f>IFERROR(aurora_data!K1575,0)</f>
        <v>0</v>
      </c>
      <c r="M55" s="62">
        <f>IFERROR(aurora_data!L1575,0)</f>
        <v>0</v>
      </c>
      <c r="N55" s="63">
        <f>IFERROR(aurora_data!M1575,0)</f>
        <v>0</v>
      </c>
      <c r="O55" s="36">
        <f>IFERROR(aurora_data!N1575,0)</f>
        <v>0</v>
      </c>
      <c r="P55" s="62">
        <f>IFERROR(aurora_data!O1575,0)</f>
        <v>0</v>
      </c>
      <c r="Q55" s="62">
        <f>IFERROR(aurora_data!P1575,0)</f>
        <v>0</v>
      </c>
      <c r="R55" s="63">
        <f>IFERROR(aurora_data!Q1575,0)</f>
        <v>0</v>
      </c>
      <c r="S55" s="62">
        <f>IFERROR(aurora_data!R1575,0)</f>
        <v>0</v>
      </c>
      <c r="T55" s="62">
        <f>IFERROR(aurora_data!S1575,0)</f>
        <v>0</v>
      </c>
      <c r="U55" s="63">
        <f>IFERROR(aurora_data!T1575,0)</f>
        <v>0</v>
      </c>
      <c r="V55" s="64" t="s">
        <v>95</v>
      </c>
      <c r="W55" s="36">
        <f>IFERROR(aurora_data!U1575,0)</f>
        <v>0</v>
      </c>
      <c r="X55" s="71">
        <f t="shared" si="5"/>
        <v>0</v>
      </c>
      <c r="Y55" s="2"/>
    </row>
    <row r="56" spans="1:25" customFormat="1">
      <c r="A56" s="2"/>
      <c r="B56" s="211"/>
      <c r="C56" s="213"/>
      <c r="D56" s="35" t="s">
        <v>98</v>
      </c>
      <c r="E56" s="36">
        <f>IFERROR(aurora_data!D1576,0)</f>
        <v>0</v>
      </c>
      <c r="F56" s="62">
        <f>IFERROR(aurora_data!E1576,0)</f>
        <v>0</v>
      </c>
      <c r="G56" s="62">
        <f>IFERROR(aurora_data!F1576,0)</f>
        <v>0</v>
      </c>
      <c r="H56" s="62">
        <f>IFERROR(aurora_data!G1576,0)</f>
        <v>0</v>
      </c>
      <c r="I56" s="63">
        <f>IFERROR(aurora_data!H1576,0)</f>
        <v>0</v>
      </c>
      <c r="J56" s="36">
        <f>IFERROR(aurora_data!I1576,0)</f>
        <v>0</v>
      </c>
      <c r="K56" s="62">
        <f>IFERROR(aurora_data!J1576,0)</f>
        <v>0</v>
      </c>
      <c r="L56" s="62">
        <f>IFERROR(aurora_data!K1576,0)</f>
        <v>0</v>
      </c>
      <c r="M56" s="62">
        <f>IFERROR(aurora_data!L1576,0)</f>
        <v>0</v>
      </c>
      <c r="N56" s="63">
        <f>IFERROR(aurora_data!M1576,0)</f>
        <v>0</v>
      </c>
      <c r="O56" s="36">
        <f>IFERROR(aurora_data!N1576,0)</f>
        <v>0</v>
      </c>
      <c r="P56" s="62">
        <f>IFERROR(aurora_data!O1576,0)</f>
        <v>0</v>
      </c>
      <c r="Q56" s="62">
        <f>IFERROR(aurora_data!P1576,0)</f>
        <v>0</v>
      </c>
      <c r="R56" s="63">
        <f>IFERROR(aurora_data!Q1576,0)</f>
        <v>0</v>
      </c>
      <c r="S56" s="62">
        <f>IFERROR(aurora_data!R1576,0)</f>
        <v>0</v>
      </c>
      <c r="T56" s="62">
        <f>IFERROR(aurora_data!S1576,0)</f>
        <v>0</v>
      </c>
      <c r="U56" s="63">
        <f>IFERROR(aurora_data!T1576,0)</f>
        <v>0</v>
      </c>
      <c r="V56" s="64" t="s">
        <v>95</v>
      </c>
      <c r="W56" s="36">
        <f>IFERROR(aurora_data!U1576,0)</f>
        <v>0</v>
      </c>
      <c r="X56" s="71">
        <f t="shared" si="5"/>
        <v>0</v>
      </c>
      <c r="Y56" s="2"/>
    </row>
    <row r="57" spans="1:25" customFormat="1" ht="16.5" thickBot="1">
      <c r="A57" s="2"/>
      <c r="B57" s="211"/>
      <c r="C57" s="213"/>
      <c r="D57" s="35" t="s">
        <v>99</v>
      </c>
      <c r="E57" s="36">
        <f>IFERROR(aurora_data!D1577,0)</f>
        <v>0</v>
      </c>
      <c r="F57" s="62">
        <f>IFERROR(aurora_data!E1577,0)</f>
        <v>0</v>
      </c>
      <c r="G57" s="62">
        <f>IFERROR(aurora_data!F1577,0)</f>
        <v>0</v>
      </c>
      <c r="H57" s="62">
        <f>IFERROR(aurora_data!G1577,0)</f>
        <v>0</v>
      </c>
      <c r="I57" s="63">
        <f>IFERROR(aurora_data!H1577,0)</f>
        <v>0</v>
      </c>
      <c r="J57" s="36">
        <f>IFERROR(aurora_data!I1577,0)</f>
        <v>0</v>
      </c>
      <c r="K57" s="62">
        <f>IFERROR(aurora_data!J1577,0)</f>
        <v>0</v>
      </c>
      <c r="L57" s="62">
        <f>IFERROR(aurora_data!K1577,0)</f>
        <v>0</v>
      </c>
      <c r="M57" s="62">
        <f>IFERROR(aurora_data!L1577,0)</f>
        <v>0</v>
      </c>
      <c r="N57" s="63">
        <f>IFERROR(aurora_data!M1577,0)</f>
        <v>0</v>
      </c>
      <c r="O57" s="36">
        <f>IFERROR(aurora_data!N1577,0)</f>
        <v>0</v>
      </c>
      <c r="P57" s="62">
        <f>IFERROR(aurora_data!O1577,0)</f>
        <v>0</v>
      </c>
      <c r="Q57" s="62">
        <f>IFERROR(aurora_data!P1577,0)</f>
        <v>0</v>
      </c>
      <c r="R57" s="63">
        <f>IFERROR(aurora_data!Q1577,0)</f>
        <v>0</v>
      </c>
      <c r="S57" s="62">
        <f>IFERROR(aurora_data!R1577,0)</f>
        <v>0</v>
      </c>
      <c r="T57" s="62">
        <f>IFERROR(aurora_data!S1577,0)</f>
        <v>0</v>
      </c>
      <c r="U57" s="63">
        <f>IFERROR(aurora_data!T1577,0)</f>
        <v>0</v>
      </c>
      <c r="V57" s="64" t="s">
        <v>95</v>
      </c>
      <c r="W57" s="36">
        <f>IFERROR(aurora_data!U1577,0)</f>
        <v>0</v>
      </c>
      <c r="X57" s="71">
        <f t="shared" si="5"/>
        <v>0</v>
      </c>
      <c r="Y57" s="2"/>
    </row>
    <row r="58" spans="1:25" customFormat="1" ht="16.5" thickBot="1">
      <c r="A58" s="2"/>
      <c r="B58" s="211"/>
      <c r="C58" s="213"/>
      <c r="D58" s="37" t="s">
        <v>64</v>
      </c>
      <c r="E58" s="59">
        <f>IFERROR(aurora_data!D1578,0)</f>
        <v>0</v>
      </c>
      <c r="F58" s="65">
        <f>IFERROR(aurora_data!E1578,0)</f>
        <v>1</v>
      </c>
      <c r="G58" s="65">
        <f>IFERROR(aurora_data!F1578,0)</f>
        <v>0</v>
      </c>
      <c r="H58" s="65">
        <f>IFERROR(aurora_data!G1578,0)</f>
        <v>0</v>
      </c>
      <c r="I58" s="66">
        <f>IFERROR(aurora_data!H1578,0)</f>
        <v>0</v>
      </c>
      <c r="J58" s="59">
        <f>IFERROR(aurora_data!I1578,0)</f>
        <v>0</v>
      </c>
      <c r="K58" s="65">
        <f>IFERROR(aurora_data!J1578,0)</f>
        <v>1</v>
      </c>
      <c r="L58" s="65">
        <f>IFERROR(aurora_data!K1578,0)</f>
        <v>0</v>
      </c>
      <c r="M58" s="65">
        <f>IFERROR(aurora_data!L1578,0)</f>
        <v>0</v>
      </c>
      <c r="N58" s="66">
        <f>IFERROR(aurora_data!M1578,0)</f>
        <v>0</v>
      </c>
      <c r="O58" s="59">
        <f>IFERROR(aurora_data!N1578,0)</f>
        <v>0</v>
      </c>
      <c r="P58" s="65">
        <f>IFERROR(aurora_data!O1578,0)</f>
        <v>1</v>
      </c>
      <c r="Q58" s="65">
        <f>IFERROR(aurora_data!P1578,0)</f>
        <v>0</v>
      </c>
      <c r="R58" s="66">
        <f>IFERROR(aurora_data!Q1578,0)</f>
        <v>0</v>
      </c>
      <c r="S58" s="65">
        <f>IFERROR(aurora_data!R1578,0)</f>
        <v>0</v>
      </c>
      <c r="T58" s="65">
        <f>IFERROR(aurora_data!S1578,0)</f>
        <v>1</v>
      </c>
      <c r="U58" s="66">
        <f>IFERROR(aurora_data!T1578,0)</f>
        <v>0</v>
      </c>
      <c r="V58" s="67" t="s">
        <v>95</v>
      </c>
      <c r="W58" s="59">
        <f>IFERROR(aurora_data!U1578,0)</f>
        <v>1</v>
      </c>
      <c r="X58" s="72">
        <f t="shared" si="5"/>
        <v>0.16666666666666666</v>
      </c>
      <c r="Y58" s="2"/>
    </row>
    <row r="59" spans="1:25" customFormat="1" ht="16.5" thickBot="1">
      <c r="A59" s="2"/>
      <c r="B59" s="211"/>
      <c r="C59" s="213"/>
      <c r="D59" s="38" t="s">
        <v>100</v>
      </c>
      <c r="E59" s="60">
        <f>IFERROR(aurora_data!D1579,0)</f>
        <v>0</v>
      </c>
      <c r="F59" s="68">
        <f>IFERROR(aurora_data!E1579,0)</f>
        <v>0</v>
      </c>
      <c r="G59" s="68">
        <f>IFERROR(aurora_data!F1579,0)</f>
        <v>0</v>
      </c>
      <c r="H59" s="68">
        <f>IFERROR(aurora_data!G1579,0)</f>
        <v>0</v>
      </c>
      <c r="I59" s="69">
        <f>IFERROR(aurora_data!H1579,0)</f>
        <v>0</v>
      </c>
      <c r="J59" s="60">
        <f>IFERROR(aurora_data!I1579,0)</f>
        <v>0</v>
      </c>
      <c r="K59" s="68">
        <f>IFERROR(aurora_data!J1579,0)</f>
        <v>0</v>
      </c>
      <c r="L59" s="68">
        <f>IFERROR(aurora_data!K1579,0)</f>
        <v>0</v>
      </c>
      <c r="M59" s="68">
        <f>IFERROR(aurora_data!L1579,0)</f>
        <v>0</v>
      </c>
      <c r="N59" s="69">
        <f>IFERROR(aurora_data!M1579,0)</f>
        <v>0</v>
      </c>
      <c r="O59" s="60">
        <f>IFERROR(aurora_data!N1579,0)</f>
        <v>0</v>
      </c>
      <c r="P59" s="68">
        <f>IFERROR(aurora_data!O1579,0)</f>
        <v>0</v>
      </c>
      <c r="Q59" s="68">
        <f>IFERROR(aurora_data!P1579,0)</f>
        <v>0</v>
      </c>
      <c r="R59" s="69">
        <f>IFERROR(aurora_data!Q1579,0)</f>
        <v>0</v>
      </c>
      <c r="S59" s="68">
        <f>IFERROR(aurora_data!R1579,0)</f>
        <v>0</v>
      </c>
      <c r="T59" s="68">
        <f>IFERROR(aurora_data!S1579,0)</f>
        <v>0</v>
      </c>
      <c r="U59" s="74">
        <f>IFERROR(aurora_data!T1579,0)</f>
        <v>0</v>
      </c>
      <c r="V59" s="75" t="s">
        <v>95</v>
      </c>
      <c r="W59" s="60">
        <f>IFERROR(aurora_data!U1579,0)</f>
        <v>0</v>
      </c>
      <c r="X59" s="73">
        <f t="shared" si="5"/>
        <v>0</v>
      </c>
      <c r="Y59" s="2"/>
    </row>
    <row r="60" spans="1:25" customFormat="1">
      <c r="A60" s="2"/>
      <c r="B60" s="210" t="s">
        <v>94</v>
      </c>
      <c r="C60" s="212" t="str">
        <f>aurora_data!A1580</f>
        <v>12.00.00-12.11.30</v>
      </c>
      <c r="D60" s="34" t="s">
        <v>71</v>
      </c>
      <c r="E60" s="39">
        <f>IFERROR(aurora_data!D1580,0)</f>
        <v>0</v>
      </c>
      <c r="F60" s="40">
        <f>IFERROR(aurora_data!E1580,0)</f>
        <v>0</v>
      </c>
      <c r="G60" s="40">
        <f>IFERROR(aurora_data!F1580,0)</f>
        <v>0</v>
      </c>
      <c r="H60" s="40">
        <f>IFERROR(aurora_data!G1580,0)</f>
        <v>0</v>
      </c>
      <c r="I60" s="41">
        <f>IFERROR(aurora_data!H1580,0)</f>
        <v>0</v>
      </c>
      <c r="J60" s="39">
        <f>IFERROR(aurora_data!I1580,0)</f>
        <v>0</v>
      </c>
      <c r="K60" s="40">
        <f>IFERROR(aurora_data!J1580,0)</f>
        <v>0</v>
      </c>
      <c r="L60" s="40">
        <f>IFERROR(aurora_data!K1580,0)</f>
        <v>0</v>
      </c>
      <c r="M60" s="40">
        <f>IFERROR(aurora_data!L1580,0)</f>
        <v>0</v>
      </c>
      <c r="N60" s="41">
        <f>IFERROR(aurora_data!M1580,0)</f>
        <v>0</v>
      </c>
      <c r="O60" s="39">
        <f>IFERROR(aurora_data!N1580,0)</f>
        <v>0</v>
      </c>
      <c r="P60" s="40">
        <f>IFERROR(aurora_data!O1580,0)</f>
        <v>0</v>
      </c>
      <c r="Q60" s="40">
        <f>IFERROR(aurora_data!P1580,0)</f>
        <v>0</v>
      </c>
      <c r="R60" s="41">
        <f>IFERROR(aurora_data!Q1580,0)</f>
        <v>0</v>
      </c>
      <c r="S60" s="40">
        <f>IFERROR(aurora_data!R1580,0)</f>
        <v>0</v>
      </c>
      <c r="T60" s="40">
        <f>IFERROR(aurora_data!S1580,0)</f>
        <v>0</v>
      </c>
      <c r="U60" s="76">
        <f>IFERROR(aurora_data!T1580,0)</f>
        <v>0</v>
      </c>
      <c r="V60" s="61" t="s">
        <v>95</v>
      </c>
      <c r="W60" s="39">
        <f>IFERROR(aurora_data!U1580,0)</f>
        <v>6</v>
      </c>
      <c r="X60" s="70">
        <f>IFERROR(W60/$W$12,0)</f>
        <v>1</v>
      </c>
      <c r="Y60" s="2"/>
    </row>
    <row r="61" spans="1:25" customFormat="1">
      <c r="A61" s="2"/>
      <c r="B61" s="211"/>
      <c r="C61" s="213"/>
      <c r="D61" s="35" t="s">
        <v>96</v>
      </c>
      <c r="E61" s="110">
        <f>IFERROR(aurora_data!D1581,0)</f>
        <v>0</v>
      </c>
      <c r="F61" s="62">
        <f>IFERROR(aurora_data!E1581,0)</f>
        <v>0</v>
      </c>
      <c r="G61" s="62">
        <f>IFERROR(aurora_data!F1581,0)</f>
        <v>0</v>
      </c>
      <c r="H61" s="62">
        <f>IFERROR(aurora_data!G1581,0)</f>
        <v>0</v>
      </c>
      <c r="I61" s="63">
        <f>IFERROR(aurora_data!H1581,0)</f>
        <v>0</v>
      </c>
      <c r="J61" s="36">
        <f>IFERROR(aurora_data!I1581,0)</f>
        <v>0</v>
      </c>
      <c r="K61" s="62">
        <f>IFERROR(aurora_data!J1581,0)</f>
        <v>0</v>
      </c>
      <c r="L61" s="62">
        <f>IFERROR(aurora_data!K1581,0)</f>
        <v>0</v>
      </c>
      <c r="M61" s="62">
        <f>IFERROR(aurora_data!L1581,0)</f>
        <v>0</v>
      </c>
      <c r="N61" s="63">
        <f>IFERROR(aurora_data!M1581,0)</f>
        <v>0</v>
      </c>
      <c r="O61" s="36">
        <f>IFERROR(aurora_data!N1581,0)</f>
        <v>0</v>
      </c>
      <c r="P61" s="62">
        <f>IFERROR(aurora_data!O1581,0)</f>
        <v>0</v>
      </c>
      <c r="Q61" s="62">
        <f>IFERROR(aurora_data!P1581,0)</f>
        <v>0</v>
      </c>
      <c r="R61" s="63">
        <f>IFERROR(aurora_data!Q1581,0)</f>
        <v>0</v>
      </c>
      <c r="S61" s="62">
        <f>IFERROR(aurora_data!R1581,0)</f>
        <v>0</v>
      </c>
      <c r="T61" s="62">
        <f>IFERROR(aurora_data!S1581,0)</f>
        <v>0</v>
      </c>
      <c r="U61" s="63">
        <f>IFERROR(aurora_data!T1581,0)</f>
        <v>0</v>
      </c>
      <c r="V61" s="64" t="s">
        <v>95</v>
      </c>
      <c r="W61" s="36">
        <f>IFERROR(aurora_data!U1581,0)</f>
        <v>0</v>
      </c>
      <c r="X61" s="71">
        <f t="shared" ref="X61:X67" si="6">IFERROR(W61/$W$12,0)</f>
        <v>0</v>
      </c>
      <c r="Y61" s="2"/>
    </row>
    <row r="62" spans="1:25" customFormat="1">
      <c r="A62" s="2"/>
      <c r="B62" s="211"/>
      <c r="C62" s="213"/>
      <c r="D62" s="35" t="s">
        <v>60</v>
      </c>
      <c r="E62" s="110">
        <f>IFERROR(aurora_data!D1582,0)</f>
        <v>0</v>
      </c>
      <c r="F62" s="62">
        <f>IFERROR(aurora_data!E1582,0)</f>
        <v>0</v>
      </c>
      <c r="G62" s="62">
        <f>IFERROR(aurora_data!F1582,0)</f>
        <v>0</v>
      </c>
      <c r="H62" s="62">
        <f>IFERROR(aurora_data!G1582,0)</f>
        <v>0</v>
      </c>
      <c r="I62" s="63">
        <f>IFERROR(aurora_data!H1582,0)</f>
        <v>0</v>
      </c>
      <c r="J62" s="36">
        <f>IFERROR(aurora_data!I1582,0)</f>
        <v>0</v>
      </c>
      <c r="K62" s="62">
        <f>IFERROR(aurora_data!J1582,0)</f>
        <v>0</v>
      </c>
      <c r="L62" s="62">
        <f>IFERROR(aurora_data!K1582,0)</f>
        <v>0</v>
      </c>
      <c r="M62" s="62">
        <f>IFERROR(aurora_data!L1582,0)</f>
        <v>0</v>
      </c>
      <c r="N62" s="63">
        <f>IFERROR(aurora_data!M1582,0)</f>
        <v>0</v>
      </c>
      <c r="O62" s="36">
        <f>IFERROR(aurora_data!N1582,0)</f>
        <v>0</v>
      </c>
      <c r="P62" s="62">
        <f>IFERROR(aurora_data!O1582,0)</f>
        <v>0</v>
      </c>
      <c r="Q62" s="62">
        <f>IFERROR(aurora_data!P1582,0)</f>
        <v>0</v>
      </c>
      <c r="R62" s="63">
        <f>IFERROR(aurora_data!Q1582,0)</f>
        <v>0</v>
      </c>
      <c r="S62" s="62">
        <f>IFERROR(aurora_data!R1582,0)</f>
        <v>0</v>
      </c>
      <c r="T62" s="62">
        <f>IFERROR(aurora_data!S1582,0)</f>
        <v>0</v>
      </c>
      <c r="U62" s="63">
        <f>IFERROR(aurora_data!T1582,0)</f>
        <v>0</v>
      </c>
      <c r="V62" s="64" t="s">
        <v>95</v>
      </c>
      <c r="W62" s="36">
        <f>IFERROR(aurora_data!U1582,0)</f>
        <v>0</v>
      </c>
      <c r="X62" s="71">
        <f t="shared" si="6"/>
        <v>0</v>
      </c>
      <c r="Y62" s="2"/>
    </row>
    <row r="63" spans="1:25" customFormat="1">
      <c r="A63" s="2"/>
      <c r="B63" s="211"/>
      <c r="C63" s="213"/>
      <c r="D63" s="35" t="s">
        <v>97</v>
      </c>
      <c r="E63" s="36">
        <f>IFERROR(aurora_data!D1583,0)</f>
        <v>0</v>
      </c>
      <c r="F63" s="62">
        <f>IFERROR(aurora_data!E1583,0)</f>
        <v>0</v>
      </c>
      <c r="G63" s="62">
        <f>IFERROR(aurora_data!F1583,0)</f>
        <v>0</v>
      </c>
      <c r="H63" s="62">
        <f>IFERROR(aurora_data!G1583,0)</f>
        <v>0</v>
      </c>
      <c r="I63" s="63">
        <f>IFERROR(aurora_data!H1583,0)</f>
        <v>0</v>
      </c>
      <c r="J63" s="36">
        <f>IFERROR(aurora_data!I1583,0)</f>
        <v>0</v>
      </c>
      <c r="K63" s="62">
        <f>IFERROR(aurora_data!J1583,0)</f>
        <v>0</v>
      </c>
      <c r="L63" s="62">
        <f>IFERROR(aurora_data!K1583,0)</f>
        <v>0</v>
      </c>
      <c r="M63" s="62">
        <f>IFERROR(aurora_data!L1583,0)</f>
        <v>0</v>
      </c>
      <c r="N63" s="63">
        <f>IFERROR(aurora_data!M1583,0)</f>
        <v>0</v>
      </c>
      <c r="O63" s="36">
        <f>IFERROR(aurora_data!N1583,0)</f>
        <v>0</v>
      </c>
      <c r="P63" s="62">
        <f>IFERROR(aurora_data!O1583,0)</f>
        <v>0</v>
      </c>
      <c r="Q63" s="62">
        <f>IFERROR(aurora_data!P1583,0)</f>
        <v>0</v>
      </c>
      <c r="R63" s="63">
        <f>IFERROR(aurora_data!Q1583,0)</f>
        <v>0</v>
      </c>
      <c r="S63" s="62">
        <f>IFERROR(aurora_data!R1583,0)</f>
        <v>0</v>
      </c>
      <c r="T63" s="62">
        <f>IFERROR(aurora_data!S1583,0)</f>
        <v>0</v>
      </c>
      <c r="U63" s="63">
        <f>IFERROR(aurora_data!T1583,0)</f>
        <v>0</v>
      </c>
      <c r="V63" s="64" t="s">
        <v>95</v>
      </c>
      <c r="W63" s="36">
        <f>IFERROR(aurora_data!U1583,0)</f>
        <v>0</v>
      </c>
      <c r="X63" s="71">
        <f t="shared" si="6"/>
        <v>0</v>
      </c>
      <c r="Y63" s="2"/>
    </row>
    <row r="64" spans="1:25" customFormat="1">
      <c r="A64" s="2"/>
      <c r="B64" s="211"/>
      <c r="C64" s="213"/>
      <c r="D64" s="35" t="s">
        <v>98</v>
      </c>
      <c r="E64" s="36">
        <f>IFERROR(aurora_data!D1584,0)</f>
        <v>0</v>
      </c>
      <c r="F64" s="62">
        <f>IFERROR(aurora_data!E1584,0)</f>
        <v>0</v>
      </c>
      <c r="G64" s="62">
        <f>IFERROR(aurora_data!F1584,0)</f>
        <v>0</v>
      </c>
      <c r="H64" s="62">
        <f>IFERROR(aurora_data!G1584,0)</f>
        <v>0</v>
      </c>
      <c r="I64" s="63">
        <f>IFERROR(aurora_data!H1584,0)</f>
        <v>0</v>
      </c>
      <c r="J64" s="36">
        <f>IFERROR(aurora_data!I1584,0)</f>
        <v>0</v>
      </c>
      <c r="K64" s="62">
        <f>IFERROR(aurora_data!J1584,0)</f>
        <v>0</v>
      </c>
      <c r="L64" s="62">
        <f>IFERROR(aurora_data!K1584,0)</f>
        <v>0</v>
      </c>
      <c r="M64" s="62">
        <f>IFERROR(aurora_data!L1584,0)</f>
        <v>0</v>
      </c>
      <c r="N64" s="63">
        <f>IFERROR(aurora_data!M1584,0)</f>
        <v>0</v>
      </c>
      <c r="O64" s="36">
        <f>IFERROR(aurora_data!N1584,0)</f>
        <v>0</v>
      </c>
      <c r="P64" s="62">
        <f>IFERROR(aurora_data!O1584,0)</f>
        <v>0</v>
      </c>
      <c r="Q64" s="62">
        <f>IFERROR(aurora_data!P1584,0)</f>
        <v>0</v>
      </c>
      <c r="R64" s="63">
        <f>IFERROR(aurora_data!Q1584,0)</f>
        <v>0</v>
      </c>
      <c r="S64" s="62">
        <f>IFERROR(aurora_data!R1584,0)</f>
        <v>0</v>
      </c>
      <c r="T64" s="62">
        <f>IFERROR(aurora_data!S1584,0)</f>
        <v>0</v>
      </c>
      <c r="U64" s="63">
        <f>IFERROR(aurora_data!T1584,0)</f>
        <v>0</v>
      </c>
      <c r="V64" s="64" t="s">
        <v>95</v>
      </c>
      <c r="W64" s="36">
        <f>IFERROR(aurora_data!U1584,0)</f>
        <v>0</v>
      </c>
      <c r="X64" s="71">
        <f t="shared" si="6"/>
        <v>0</v>
      </c>
      <c r="Y64" s="2"/>
    </row>
    <row r="65" spans="1:25" customFormat="1" ht="16.5" thickBot="1">
      <c r="A65" s="2"/>
      <c r="B65" s="211"/>
      <c r="C65" s="213"/>
      <c r="D65" s="35" t="s">
        <v>99</v>
      </c>
      <c r="E65" s="36">
        <f>IFERROR(aurora_data!D1585,0)</f>
        <v>0</v>
      </c>
      <c r="F65" s="62">
        <f>IFERROR(aurora_data!E1585,0)</f>
        <v>0</v>
      </c>
      <c r="G65" s="62">
        <f>IFERROR(aurora_data!F1585,0)</f>
        <v>0</v>
      </c>
      <c r="H65" s="62">
        <f>IFERROR(aurora_data!G1585,0)</f>
        <v>0</v>
      </c>
      <c r="I65" s="63">
        <f>IFERROR(aurora_data!H1585,0)</f>
        <v>0</v>
      </c>
      <c r="J65" s="36">
        <f>IFERROR(aurora_data!I1585,0)</f>
        <v>0</v>
      </c>
      <c r="K65" s="62">
        <f>IFERROR(aurora_data!J1585,0)</f>
        <v>0</v>
      </c>
      <c r="L65" s="62">
        <f>IFERROR(aurora_data!K1585,0)</f>
        <v>0</v>
      </c>
      <c r="M65" s="62">
        <f>IFERROR(aurora_data!L1585,0)</f>
        <v>0</v>
      </c>
      <c r="N65" s="63">
        <f>IFERROR(aurora_data!M1585,0)</f>
        <v>0</v>
      </c>
      <c r="O65" s="36">
        <f>IFERROR(aurora_data!N1585,0)</f>
        <v>0</v>
      </c>
      <c r="P65" s="62">
        <f>IFERROR(aurora_data!O1585,0)</f>
        <v>0</v>
      </c>
      <c r="Q65" s="62">
        <f>IFERROR(aurora_data!P1585,0)</f>
        <v>0</v>
      </c>
      <c r="R65" s="63">
        <f>IFERROR(aurora_data!Q1585,0)</f>
        <v>0</v>
      </c>
      <c r="S65" s="62">
        <f>IFERROR(aurora_data!R1585,0)</f>
        <v>0</v>
      </c>
      <c r="T65" s="62">
        <f>IFERROR(aurora_data!S1585,0)</f>
        <v>0</v>
      </c>
      <c r="U65" s="63">
        <f>IFERROR(aurora_data!T1585,0)</f>
        <v>0</v>
      </c>
      <c r="V65" s="64" t="s">
        <v>95</v>
      </c>
      <c r="W65" s="36">
        <f>IFERROR(aurora_data!U1585,0)</f>
        <v>0</v>
      </c>
      <c r="X65" s="71">
        <f t="shared" si="6"/>
        <v>0</v>
      </c>
      <c r="Y65" s="2"/>
    </row>
    <row r="66" spans="1:25" customFormat="1" ht="16.5" thickBot="1">
      <c r="A66" s="2"/>
      <c r="B66" s="211"/>
      <c r="C66" s="213"/>
      <c r="D66" s="37" t="s">
        <v>64</v>
      </c>
      <c r="E66" s="59">
        <f>IFERROR(aurora_data!D1586,0)</f>
        <v>0</v>
      </c>
      <c r="F66" s="65">
        <f>IFERROR(aurora_data!E1586,0)</f>
        <v>0</v>
      </c>
      <c r="G66" s="65">
        <f>IFERROR(aurora_data!F1586,0)</f>
        <v>0</v>
      </c>
      <c r="H66" s="65">
        <f>IFERROR(aurora_data!G1586,0)</f>
        <v>0</v>
      </c>
      <c r="I66" s="66">
        <f>IFERROR(aurora_data!H1586,0)</f>
        <v>0</v>
      </c>
      <c r="J66" s="59">
        <f>IFERROR(aurora_data!I1586,0)</f>
        <v>0</v>
      </c>
      <c r="K66" s="65">
        <f>IFERROR(aurora_data!J1586,0)</f>
        <v>0</v>
      </c>
      <c r="L66" s="65">
        <f>IFERROR(aurora_data!K1586,0)</f>
        <v>0</v>
      </c>
      <c r="M66" s="65">
        <f>IFERROR(aurora_data!L1586,0)</f>
        <v>0</v>
      </c>
      <c r="N66" s="66">
        <f>IFERROR(aurora_data!M1586,0)</f>
        <v>0</v>
      </c>
      <c r="O66" s="59">
        <f>IFERROR(aurora_data!N1586,0)</f>
        <v>0</v>
      </c>
      <c r="P66" s="65">
        <f>IFERROR(aurora_data!O1586,0)</f>
        <v>0</v>
      </c>
      <c r="Q66" s="65">
        <f>IFERROR(aurora_data!P1586,0)</f>
        <v>0</v>
      </c>
      <c r="R66" s="66">
        <f>IFERROR(aurora_data!Q1586,0)</f>
        <v>0</v>
      </c>
      <c r="S66" s="65">
        <f>IFERROR(aurora_data!R1586,0)</f>
        <v>0</v>
      </c>
      <c r="T66" s="65">
        <f>IFERROR(aurora_data!S1586,0)</f>
        <v>0</v>
      </c>
      <c r="U66" s="66">
        <f>IFERROR(aurora_data!T1586,0)</f>
        <v>0</v>
      </c>
      <c r="V66" s="67" t="s">
        <v>95</v>
      </c>
      <c r="W66" s="59">
        <f>IFERROR(aurora_data!U1586,0)</f>
        <v>0</v>
      </c>
      <c r="X66" s="72">
        <f t="shared" si="6"/>
        <v>0</v>
      </c>
      <c r="Y66" s="2"/>
    </row>
    <row r="67" spans="1:25" customFormat="1" ht="16.5" thickBot="1">
      <c r="A67" s="2"/>
      <c r="B67" s="211"/>
      <c r="C67" s="213"/>
      <c r="D67" s="38" t="s">
        <v>100</v>
      </c>
      <c r="E67" s="60">
        <f>IFERROR(aurora_data!D1587,0)</f>
        <v>0</v>
      </c>
      <c r="F67" s="68">
        <f>IFERROR(aurora_data!E1587,0)</f>
        <v>0</v>
      </c>
      <c r="G67" s="68">
        <f>IFERROR(aurora_data!F1587,0)</f>
        <v>0</v>
      </c>
      <c r="H67" s="68">
        <f>IFERROR(aurora_data!G1587,0)</f>
        <v>0</v>
      </c>
      <c r="I67" s="69">
        <f>IFERROR(aurora_data!H1587,0)</f>
        <v>0</v>
      </c>
      <c r="J67" s="60">
        <f>IFERROR(aurora_data!I1587,0)</f>
        <v>0</v>
      </c>
      <c r="K67" s="68">
        <f>IFERROR(aurora_data!J1587,0)</f>
        <v>0</v>
      </c>
      <c r="L67" s="68">
        <f>IFERROR(aurora_data!K1587,0)</f>
        <v>0</v>
      </c>
      <c r="M67" s="68">
        <f>IFERROR(aurora_data!L1587,0)</f>
        <v>0</v>
      </c>
      <c r="N67" s="69">
        <f>IFERROR(aurora_data!M1587,0)</f>
        <v>0</v>
      </c>
      <c r="O67" s="60">
        <f>IFERROR(aurora_data!N1587,0)</f>
        <v>0</v>
      </c>
      <c r="P67" s="68">
        <f>IFERROR(aurora_data!O1587,0)</f>
        <v>0</v>
      </c>
      <c r="Q67" s="68">
        <f>IFERROR(aurora_data!P1587,0)</f>
        <v>0</v>
      </c>
      <c r="R67" s="69">
        <f>IFERROR(aurora_data!Q1587,0)</f>
        <v>0</v>
      </c>
      <c r="S67" s="68">
        <f>IFERROR(aurora_data!R1587,0)</f>
        <v>0</v>
      </c>
      <c r="T67" s="68">
        <f>IFERROR(aurora_data!S1587,0)</f>
        <v>0</v>
      </c>
      <c r="U67" s="74">
        <f>IFERROR(aurora_data!T1587,0)</f>
        <v>0</v>
      </c>
      <c r="V67" s="75" t="s">
        <v>95</v>
      </c>
      <c r="W67" s="60">
        <f>IFERROR(aurora_data!U1587,0)</f>
        <v>0</v>
      </c>
      <c r="X67" s="73">
        <f t="shared" si="6"/>
        <v>0</v>
      </c>
      <c r="Y67" s="2"/>
    </row>
    <row r="68" spans="1:25" customFormat="1">
      <c r="A68" s="2"/>
      <c r="B68" s="210" t="s">
        <v>94</v>
      </c>
      <c r="C68" s="212" t="str">
        <f>aurora_data!A1588</f>
        <v>13.00.00-13.11.30</v>
      </c>
      <c r="D68" s="34" t="s">
        <v>71</v>
      </c>
      <c r="E68" s="39">
        <f>IFERROR(aurora_data!D1588,0)</f>
        <v>0</v>
      </c>
      <c r="F68" s="40">
        <f>IFERROR(aurora_data!E1588,0)</f>
        <v>0</v>
      </c>
      <c r="G68" s="40">
        <f>IFERROR(aurora_data!F1588,0)</f>
        <v>0</v>
      </c>
      <c r="H68" s="40">
        <f>IFERROR(aurora_data!G1588,0)</f>
        <v>0</v>
      </c>
      <c r="I68" s="41">
        <f>IFERROR(aurora_data!H1588,0)</f>
        <v>0</v>
      </c>
      <c r="J68" s="39">
        <f>IFERROR(aurora_data!I1588,0)</f>
        <v>0</v>
      </c>
      <c r="K68" s="40">
        <f>IFERROR(aurora_data!J1588,0)</f>
        <v>0</v>
      </c>
      <c r="L68" s="40">
        <f>IFERROR(aurora_data!K1588,0)</f>
        <v>0</v>
      </c>
      <c r="M68" s="40">
        <f>IFERROR(aurora_data!L1588,0)</f>
        <v>0</v>
      </c>
      <c r="N68" s="41">
        <f>IFERROR(aurora_data!M1588,0)</f>
        <v>0</v>
      </c>
      <c r="O68" s="39">
        <f>IFERROR(aurora_data!N1588,0)</f>
        <v>0</v>
      </c>
      <c r="P68" s="40">
        <f>IFERROR(aurora_data!O1588,0)</f>
        <v>0</v>
      </c>
      <c r="Q68" s="40">
        <f>IFERROR(aurora_data!P1588,0)</f>
        <v>0</v>
      </c>
      <c r="R68" s="41">
        <f>IFERROR(aurora_data!Q1588,0)</f>
        <v>0</v>
      </c>
      <c r="S68" s="40">
        <f>IFERROR(aurora_data!R1588,0)</f>
        <v>0</v>
      </c>
      <c r="T68" s="40">
        <f>IFERROR(aurora_data!S1588,0)</f>
        <v>0</v>
      </c>
      <c r="U68" s="76">
        <f>IFERROR(aurora_data!T1588,0)</f>
        <v>0</v>
      </c>
      <c r="V68" s="61" t="s">
        <v>95</v>
      </c>
      <c r="W68" s="39">
        <f>IFERROR(aurora_data!U1588,0)</f>
        <v>6</v>
      </c>
      <c r="X68" s="70">
        <f>IFERROR(W68/$W$12,0)</f>
        <v>1</v>
      </c>
      <c r="Y68" s="2"/>
    </row>
    <row r="69" spans="1:25" customFormat="1">
      <c r="A69" s="2"/>
      <c r="B69" s="211"/>
      <c r="C69" s="213"/>
      <c r="D69" s="35" t="s">
        <v>96</v>
      </c>
      <c r="E69" s="110">
        <f>IFERROR(aurora_data!D1589,0)</f>
        <v>0</v>
      </c>
      <c r="F69" s="62">
        <f>IFERROR(aurora_data!E1589,0)</f>
        <v>0</v>
      </c>
      <c r="G69" s="62">
        <f>IFERROR(aurora_data!F1589,0)</f>
        <v>0</v>
      </c>
      <c r="H69" s="62">
        <f>IFERROR(aurora_data!G1589,0)</f>
        <v>0</v>
      </c>
      <c r="I69" s="63">
        <f>IFERROR(aurora_data!H1589,0)</f>
        <v>0</v>
      </c>
      <c r="J69" s="36">
        <f>IFERROR(aurora_data!I1589,0)</f>
        <v>0</v>
      </c>
      <c r="K69" s="62">
        <f>IFERROR(aurora_data!J1589,0)</f>
        <v>0</v>
      </c>
      <c r="L69" s="62">
        <f>IFERROR(aurora_data!K1589,0)</f>
        <v>0</v>
      </c>
      <c r="M69" s="62">
        <f>IFERROR(aurora_data!L1589,0)</f>
        <v>0</v>
      </c>
      <c r="N69" s="63">
        <f>IFERROR(aurora_data!M1589,0)</f>
        <v>0</v>
      </c>
      <c r="O69" s="36">
        <f>IFERROR(aurora_data!N1589,0)</f>
        <v>0</v>
      </c>
      <c r="P69" s="62">
        <f>IFERROR(aurora_data!O1589,0)</f>
        <v>0</v>
      </c>
      <c r="Q69" s="62">
        <f>IFERROR(aurora_data!P1589,0)</f>
        <v>0</v>
      </c>
      <c r="R69" s="63">
        <f>IFERROR(aurora_data!Q1589,0)</f>
        <v>0</v>
      </c>
      <c r="S69" s="62">
        <f>IFERROR(aurora_data!R1589,0)</f>
        <v>0</v>
      </c>
      <c r="T69" s="62">
        <f>IFERROR(aurora_data!S1589,0)</f>
        <v>0</v>
      </c>
      <c r="U69" s="63">
        <f>IFERROR(aurora_data!T1589,0)</f>
        <v>0</v>
      </c>
      <c r="V69" s="64" t="s">
        <v>95</v>
      </c>
      <c r="W69" s="36">
        <f>IFERROR(aurora_data!U1589,0)</f>
        <v>0</v>
      </c>
      <c r="X69" s="71">
        <f t="shared" ref="X69:X75" si="7">IFERROR(W69/$W$12,0)</f>
        <v>0</v>
      </c>
      <c r="Y69" s="2"/>
    </row>
    <row r="70" spans="1:25" customFormat="1">
      <c r="A70" s="2"/>
      <c r="B70" s="211"/>
      <c r="C70" s="213"/>
      <c r="D70" s="35" t="s">
        <v>60</v>
      </c>
      <c r="E70" s="110">
        <f>IFERROR(aurora_data!D1590,0)</f>
        <v>0</v>
      </c>
      <c r="F70" s="62">
        <f>IFERROR(aurora_data!E1590,0)</f>
        <v>0</v>
      </c>
      <c r="G70" s="62">
        <f>IFERROR(aurora_data!F1590,0)</f>
        <v>0</v>
      </c>
      <c r="H70" s="62">
        <f>IFERROR(aurora_data!G1590,0)</f>
        <v>0</v>
      </c>
      <c r="I70" s="63">
        <f>IFERROR(aurora_data!H1590,0)</f>
        <v>0</v>
      </c>
      <c r="J70" s="36">
        <f>IFERROR(aurora_data!I1590,0)</f>
        <v>0</v>
      </c>
      <c r="K70" s="62">
        <f>IFERROR(aurora_data!J1590,0)</f>
        <v>0</v>
      </c>
      <c r="L70" s="62">
        <f>IFERROR(aurora_data!K1590,0)</f>
        <v>0</v>
      </c>
      <c r="M70" s="62">
        <f>IFERROR(aurora_data!L1590,0)</f>
        <v>0</v>
      </c>
      <c r="N70" s="63">
        <f>IFERROR(aurora_data!M1590,0)</f>
        <v>0</v>
      </c>
      <c r="O70" s="36">
        <f>IFERROR(aurora_data!N1590,0)</f>
        <v>0</v>
      </c>
      <c r="P70" s="62">
        <f>IFERROR(aurora_data!O1590,0)</f>
        <v>0</v>
      </c>
      <c r="Q70" s="62">
        <f>IFERROR(aurora_data!P1590,0)</f>
        <v>0</v>
      </c>
      <c r="R70" s="63">
        <f>IFERROR(aurora_data!Q1590,0)</f>
        <v>0</v>
      </c>
      <c r="S70" s="62">
        <f>IFERROR(aurora_data!R1590,0)</f>
        <v>0</v>
      </c>
      <c r="T70" s="62">
        <f>IFERROR(aurora_data!S1590,0)</f>
        <v>0</v>
      </c>
      <c r="U70" s="63">
        <f>IFERROR(aurora_data!T1590,0)</f>
        <v>0</v>
      </c>
      <c r="V70" s="64" t="s">
        <v>95</v>
      </c>
      <c r="W70" s="36">
        <f>IFERROR(aurora_data!U1590,0)</f>
        <v>0</v>
      </c>
      <c r="X70" s="71">
        <f t="shared" si="7"/>
        <v>0</v>
      </c>
      <c r="Y70" s="2"/>
    </row>
    <row r="71" spans="1:25" customFormat="1">
      <c r="A71" s="2"/>
      <c r="B71" s="211"/>
      <c r="C71" s="213"/>
      <c r="D71" s="35" t="s">
        <v>97</v>
      </c>
      <c r="E71" s="36">
        <f>IFERROR(aurora_data!D1591,0)</f>
        <v>0</v>
      </c>
      <c r="F71" s="62">
        <f>IFERROR(aurora_data!E1591,0)</f>
        <v>0</v>
      </c>
      <c r="G71" s="62">
        <f>IFERROR(aurora_data!F1591,0)</f>
        <v>0</v>
      </c>
      <c r="H71" s="62">
        <f>IFERROR(aurora_data!G1591,0)</f>
        <v>0</v>
      </c>
      <c r="I71" s="63">
        <f>IFERROR(aurora_data!H1591,0)</f>
        <v>0</v>
      </c>
      <c r="J71" s="36">
        <f>IFERROR(aurora_data!I1591,0)</f>
        <v>0</v>
      </c>
      <c r="K71" s="62">
        <f>IFERROR(aurora_data!J1591,0)</f>
        <v>0</v>
      </c>
      <c r="L71" s="62">
        <f>IFERROR(aurora_data!K1591,0)</f>
        <v>0</v>
      </c>
      <c r="M71" s="62">
        <f>IFERROR(aurora_data!L1591,0)</f>
        <v>0</v>
      </c>
      <c r="N71" s="63">
        <f>IFERROR(aurora_data!M1591,0)</f>
        <v>0</v>
      </c>
      <c r="O71" s="36">
        <f>IFERROR(aurora_data!N1591,0)</f>
        <v>0</v>
      </c>
      <c r="P71" s="62">
        <f>IFERROR(aurora_data!O1591,0)</f>
        <v>0</v>
      </c>
      <c r="Q71" s="62">
        <f>IFERROR(aurora_data!P1591,0)</f>
        <v>0</v>
      </c>
      <c r="R71" s="63">
        <f>IFERROR(aurora_data!Q1591,0)</f>
        <v>0</v>
      </c>
      <c r="S71" s="62">
        <f>IFERROR(aurora_data!R1591,0)</f>
        <v>0</v>
      </c>
      <c r="T71" s="62">
        <f>IFERROR(aurora_data!S1591,0)</f>
        <v>0</v>
      </c>
      <c r="U71" s="63">
        <f>IFERROR(aurora_data!T1591,0)</f>
        <v>0</v>
      </c>
      <c r="V71" s="64" t="s">
        <v>95</v>
      </c>
      <c r="W71" s="36">
        <f>IFERROR(aurora_data!U1591,0)</f>
        <v>0</v>
      </c>
      <c r="X71" s="71">
        <f t="shared" si="7"/>
        <v>0</v>
      </c>
      <c r="Y71" s="2"/>
    </row>
    <row r="72" spans="1:25" customFormat="1">
      <c r="A72" s="2"/>
      <c r="B72" s="211"/>
      <c r="C72" s="213"/>
      <c r="D72" s="35" t="s">
        <v>98</v>
      </c>
      <c r="E72" s="36">
        <f>IFERROR(aurora_data!D1592,0)</f>
        <v>0</v>
      </c>
      <c r="F72" s="62">
        <f>IFERROR(aurora_data!E1592,0)</f>
        <v>0</v>
      </c>
      <c r="G72" s="62">
        <f>IFERROR(aurora_data!F1592,0)</f>
        <v>0</v>
      </c>
      <c r="H72" s="62">
        <f>IFERROR(aurora_data!G1592,0)</f>
        <v>0</v>
      </c>
      <c r="I72" s="63">
        <f>IFERROR(aurora_data!H1592,0)</f>
        <v>0</v>
      </c>
      <c r="J72" s="36">
        <f>IFERROR(aurora_data!I1592,0)</f>
        <v>0</v>
      </c>
      <c r="K72" s="62">
        <f>IFERROR(aurora_data!J1592,0)</f>
        <v>0</v>
      </c>
      <c r="L72" s="62">
        <f>IFERROR(aurora_data!K1592,0)</f>
        <v>0</v>
      </c>
      <c r="M72" s="62">
        <f>IFERROR(aurora_data!L1592,0)</f>
        <v>0</v>
      </c>
      <c r="N72" s="63">
        <f>IFERROR(aurora_data!M1592,0)</f>
        <v>0</v>
      </c>
      <c r="O72" s="36">
        <f>IFERROR(aurora_data!N1592,0)</f>
        <v>0</v>
      </c>
      <c r="P72" s="62">
        <f>IFERROR(aurora_data!O1592,0)</f>
        <v>0</v>
      </c>
      <c r="Q72" s="62">
        <f>IFERROR(aurora_data!P1592,0)</f>
        <v>0</v>
      </c>
      <c r="R72" s="63">
        <f>IFERROR(aurora_data!Q1592,0)</f>
        <v>0</v>
      </c>
      <c r="S72" s="62">
        <f>IFERROR(aurora_data!R1592,0)</f>
        <v>0</v>
      </c>
      <c r="T72" s="62">
        <f>IFERROR(aurora_data!S1592,0)</f>
        <v>0</v>
      </c>
      <c r="U72" s="63">
        <f>IFERROR(aurora_data!T1592,0)</f>
        <v>0</v>
      </c>
      <c r="V72" s="64" t="s">
        <v>95</v>
      </c>
      <c r="W72" s="36">
        <f>IFERROR(aurora_data!U1592,0)</f>
        <v>0</v>
      </c>
      <c r="X72" s="71">
        <f t="shared" si="7"/>
        <v>0</v>
      </c>
      <c r="Y72" s="2"/>
    </row>
    <row r="73" spans="1:25" customFormat="1" ht="16.5" thickBot="1">
      <c r="A73" s="2"/>
      <c r="B73" s="211"/>
      <c r="C73" s="213"/>
      <c r="D73" s="35" t="s">
        <v>99</v>
      </c>
      <c r="E73" s="36">
        <f>IFERROR(aurora_data!D1593,0)</f>
        <v>0</v>
      </c>
      <c r="F73" s="62">
        <f>IFERROR(aurora_data!E1593,0)</f>
        <v>0</v>
      </c>
      <c r="G73" s="62">
        <f>IFERROR(aurora_data!F1593,0)</f>
        <v>0</v>
      </c>
      <c r="H73" s="62">
        <f>IFERROR(aurora_data!G1593,0)</f>
        <v>0</v>
      </c>
      <c r="I73" s="63">
        <f>IFERROR(aurora_data!H1593,0)</f>
        <v>0</v>
      </c>
      <c r="J73" s="36">
        <f>IFERROR(aurora_data!I1593,0)</f>
        <v>0</v>
      </c>
      <c r="K73" s="62">
        <f>IFERROR(aurora_data!J1593,0)</f>
        <v>0</v>
      </c>
      <c r="L73" s="62">
        <f>IFERROR(aurora_data!K1593,0)</f>
        <v>0</v>
      </c>
      <c r="M73" s="62">
        <f>IFERROR(aurora_data!L1593,0)</f>
        <v>0</v>
      </c>
      <c r="N73" s="63">
        <f>IFERROR(aurora_data!M1593,0)</f>
        <v>0</v>
      </c>
      <c r="O73" s="36">
        <f>IFERROR(aurora_data!N1593,0)</f>
        <v>0</v>
      </c>
      <c r="P73" s="62">
        <f>IFERROR(aurora_data!O1593,0)</f>
        <v>0</v>
      </c>
      <c r="Q73" s="62">
        <f>IFERROR(aurora_data!P1593,0)</f>
        <v>0</v>
      </c>
      <c r="R73" s="63">
        <f>IFERROR(aurora_data!Q1593,0)</f>
        <v>0</v>
      </c>
      <c r="S73" s="62">
        <f>IFERROR(aurora_data!R1593,0)</f>
        <v>0</v>
      </c>
      <c r="T73" s="62">
        <f>IFERROR(aurora_data!S1593,0)</f>
        <v>0</v>
      </c>
      <c r="U73" s="63">
        <f>IFERROR(aurora_data!T1593,0)</f>
        <v>0</v>
      </c>
      <c r="V73" s="64" t="s">
        <v>95</v>
      </c>
      <c r="W73" s="36">
        <f>IFERROR(aurora_data!U1593,0)</f>
        <v>0</v>
      </c>
      <c r="X73" s="71">
        <f t="shared" si="7"/>
        <v>0</v>
      </c>
      <c r="Y73" s="2"/>
    </row>
    <row r="74" spans="1:25" customFormat="1" ht="16.5" thickBot="1">
      <c r="A74" s="2"/>
      <c r="B74" s="211"/>
      <c r="C74" s="213"/>
      <c r="D74" s="37" t="s">
        <v>64</v>
      </c>
      <c r="E74" s="59">
        <f>IFERROR(aurora_data!D1594,0)</f>
        <v>0</v>
      </c>
      <c r="F74" s="65">
        <f>IFERROR(aurora_data!E1594,0)</f>
        <v>0</v>
      </c>
      <c r="G74" s="65">
        <f>IFERROR(aurora_data!F1594,0)</f>
        <v>0</v>
      </c>
      <c r="H74" s="65">
        <f>IFERROR(aurora_data!G1594,0)</f>
        <v>0</v>
      </c>
      <c r="I74" s="66">
        <f>IFERROR(aurora_data!H1594,0)</f>
        <v>0</v>
      </c>
      <c r="J74" s="59">
        <f>IFERROR(aurora_data!I1594,0)</f>
        <v>0</v>
      </c>
      <c r="K74" s="65">
        <f>IFERROR(aurora_data!J1594,0)</f>
        <v>0</v>
      </c>
      <c r="L74" s="65">
        <f>IFERROR(aurora_data!K1594,0)</f>
        <v>0</v>
      </c>
      <c r="M74" s="65">
        <f>IFERROR(aurora_data!L1594,0)</f>
        <v>0</v>
      </c>
      <c r="N74" s="66">
        <f>IFERROR(aurora_data!M1594,0)</f>
        <v>0</v>
      </c>
      <c r="O74" s="59">
        <f>IFERROR(aurora_data!N1594,0)</f>
        <v>0</v>
      </c>
      <c r="P74" s="65">
        <f>IFERROR(aurora_data!O1594,0)</f>
        <v>0</v>
      </c>
      <c r="Q74" s="65">
        <f>IFERROR(aurora_data!P1594,0)</f>
        <v>0</v>
      </c>
      <c r="R74" s="66">
        <f>IFERROR(aurora_data!Q1594,0)</f>
        <v>0</v>
      </c>
      <c r="S74" s="65">
        <f>IFERROR(aurora_data!R1594,0)</f>
        <v>0</v>
      </c>
      <c r="T74" s="65">
        <f>IFERROR(aurora_data!S1594,0)</f>
        <v>0</v>
      </c>
      <c r="U74" s="66">
        <f>IFERROR(aurora_data!T1594,0)</f>
        <v>0</v>
      </c>
      <c r="V74" s="67" t="s">
        <v>95</v>
      </c>
      <c r="W74" s="59">
        <f>IFERROR(aurora_data!U1594,0)</f>
        <v>0</v>
      </c>
      <c r="X74" s="72">
        <f t="shared" si="7"/>
        <v>0</v>
      </c>
      <c r="Y74" s="2"/>
    </row>
    <row r="75" spans="1:25" customFormat="1" ht="16.5" thickBot="1">
      <c r="A75" s="2"/>
      <c r="B75" s="211"/>
      <c r="C75" s="213"/>
      <c r="D75" s="38" t="s">
        <v>100</v>
      </c>
      <c r="E75" s="60">
        <f>IFERROR(aurora_data!D1595,0)</f>
        <v>0</v>
      </c>
      <c r="F75" s="68">
        <f>IFERROR(aurora_data!E1595,0)</f>
        <v>0</v>
      </c>
      <c r="G75" s="68">
        <f>IFERROR(aurora_data!F1595,0)</f>
        <v>0</v>
      </c>
      <c r="H75" s="68">
        <f>IFERROR(aurora_data!G1595,0)</f>
        <v>0</v>
      </c>
      <c r="I75" s="69">
        <f>IFERROR(aurora_data!H1595,0)</f>
        <v>0</v>
      </c>
      <c r="J75" s="60">
        <f>IFERROR(aurora_data!I1595,0)</f>
        <v>0</v>
      </c>
      <c r="K75" s="68">
        <f>IFERROR(aurora_data!J1595,0)</f>
        <v>0</v>
      </c>
      <c r="L75" s="68">
        <f>IFERROR(aurora_data!K1595,0)</f>
        <v>0</v>
      </c>
      <c r="M75" s="68">
        <f>IFERROR(aurora_data!L1595,0)</f>
        <v>0</v>
      </c>
      <c r="N75" s="69">
        <f>IFERROR(aurora_data!M1595,0)</f>
        <v>0</v>
      </c>
      <c r="O75" s="60">
        <f>IFERROR(aurora_data!N1595,0)</f>
        <v>0</v>
      </c>
      <c r="P75" s="68">
        <f>IFERROR(aurora_data!O1595,0)</f>
        <v>0</v>
      </c>
      <c r="Q75" s="68">
        <f>IFERROR(aurora_data!P1595,0)</f>
        <v>0</v>
      </c>
      <c r="R75" s="69">
        <f>IFERROR(aurora_data!Q1595,0)</f>
        <v>0</v>
      </c>
      <c r="S75" s="68">
        <f>IFERROR(aurora_data!R1595,0)</f>
        <v>0</v>
      </c>
      <c r="T75" s="68">
        <f>IFERROR(aurora_data!S1595,0)</f>
        <v>0</v>
      </c>
      <c r="U75" s="74">
        <f>IFERROR(aurora_data!T1595,0)</f>
        <v>0</v>
      </c>
      <c r="V75" s="75" t="s">
        <v>95</v>
      </c>
      <c r="W75" s="60">
        <f>IFERROR(aurora_data!U1595,0)</f>
        <v>0</v>
      </c>
      <c r="X75" s="73">
        <f t="shared" si="7"/>
        <v>0</v>
      </c>
      <c r="Y75" s="2"/>
    </row>
    <row r="76" spans="1:25" customFormat="1">
      <c r="A76" s="2"/>
      <c r="B76" s="210" t="s">
        <v>94</v>
      </c>
      <c r="C76" s="212" t="str">
        <f>aurora_data!A1596</f>
        <v>14.00.00-14.11.30</v>
      </c>
      <c r="D76" s="34" t="s">
        <v>71</v>
      </c>
      <c r="E76" s="39">
        <f>IFERROR(aurora_data!D1596,0)</f>
        <v>0</v>
      </c>
      <c r="F76" s="40">
        <f>IFERROR(aurora_data!E1596,0)</f>
        <v>0</v>
      </c>
      <c r="G76" s="40">
        <f>IFERROR(aurora_data!F1596,0)</f>
        <v>0</v>
      </c>
      <c r="H76" s="40">
        <f>IFERROR(aurora_data!G1596,0)</f>
        <v>0</v>
      </c>
      <c r="I76" s="41">
        <f>IFERROR(aurora_data!H1596,0)</f>
        <v>0</v>
      </c>
      <c r="J76" s="39">
        <f>IFERROR(aurora_data!I1596,0)</f>
        <v>0</v>
      </c>
      <c r="K76" s="40">
        <f>IFERROR(aurora_data!J1596,0)</f>
        <v>0</v>
      </c>
      <c r="L76" s="40">
        <f>IFERROR(aurora_data!K1596,0)</f>
        <v>0</v>
      </c>
      <c r="M76" s="40">
        <f>IFERROR(aurora_data!L1596,0)</f>
        <v>0</v>
      </c>
      <c r="N76" s="41">
        <f>IFERROR(aurora_data!M1596,0)</f>
        <v>0</v>
      </c>
      <c r="O76" s="39">
        <f>IFERROR(aurora_data!N1596,0)</f>
        <v>0</v>
      </c>
      <c r="P76" s="40">
        <f>IFERROR(aurora_data!O1596,0)</f>
        <v>0</v>
      </c>
      <c r="Q76" s="40">
        <f>IFERROR(aurora_data!P1596,0)</f>
        <v>0</v>
      </c>
      <c r="R76" s="41">
        <f>IFERROR(aurora_data!Q1596,0)</f>
        <v>0</v>
      </c>
      <c r="S76" s="40">
        <f>IFERROR(aurora_data!R1596,0)</f>
        <v>0</v>
      </c>
      <c r="T76" s="40">
        <f>IFERROR(aurora_data!S1596,0)</f>
        <v>0</v>
      </c>
      <c r="U76" s="76">
        <f>IFERROR(aurora_data!T1596,0)</f>
        <v>0</v>
      </c>
      <c r="V76" s="61" t="s">
        <v>95</v>
      </c>
      <c r="W76" s="39">
        <f>IFERROR(aurora_data!U1596,0)</f>
        <v>6</v>
      </c>
      <c r="X76" s="70">
        <f>IFERROR(W76/$W$12,0)</f>
        <v>1</v>
      </c>
      <c r="Y76" s="2"/>
    </row>
    <row r="77" spans="1:25" customFormat="1">
      <c r="A77" s="2"/>
      <c r="B77" s="211"/>
      <c r="C77" s="213"/>
      <c r="D77" s="35" t="s">
        <v>96</v>
      </c>
      <c r="E77" s="110">
        <f>IFERROR(aurora_data!D1597,0)</f>
        <v>0</v>
      </c>
      <c r="F77" s="62">
        <f>IFERROR(aurora_data!E1597,0)</f>
        <v>0</v>
      </c>
      <c r="G77" s="62">
        <f>IFERROR(aurora_data!F1597,0)</f>
        <v>0</v>
      </c>
      <c r="H77" s="62">
        <f>IFERROR(aurora_data!G1597,0)</f>
        <v>0</v>
      </c>
      <c r="I77" s="63">
        <f>IFERROR(aurora_data!H1597,0)</f>
        <v>0</v>
      </c>
      <c r="J77" s="36">
        <f>IFERROR(aurora_data!I1597,0)</f>
        <v>0</v>
      </c>
      <c r="K77" s="62">
        <f>IFERROR(aurora_data!J1597,0)</f>
        <v>0</v>
      </c>
      <c r="L77" s="62">
        <f>IFERROR(aurora_data!K1597,0)</f>
        <v>0</v>
      </c>
      <c r="M77" s="62">
        <f>IFERROR(aurora_data!L1597,0)</f>
        <v>0</v>
      </c>
      <c r="N77" s="63">
        <f>IFERROR(aurora_data!M1597,0)</f>
        <v>0</v>
      </c>
      <c r="O77" s="36">
        <f>IFERROR(aurora_data!N1597,0)</f>
        <v>0</v>
      </c>
      <c r="P77" s="62">
        <f>IFERROR(aurora_data!O1597,0)</f>
        <v>0</v>
      </c>
      <c r="Q77" s="62">
        <f>IFERROR(aurora_data!P1597,0)</f>
        <v>0</v>
      </c>
      <c r="R77" s="63">
        <f>IFERROR(aurora_data!Q1597,0)</f>
        <v>0</v>
      </c>
      <c r="S77" s="62">
        <f>IFERROR(aurora_data!R1597,0)</f>
        <v>0</v>
      </c>
      <c r="T77" s="62">
        <f>IFERROR(aurora_data!S1597,0)</f>
        <v>0</v>
      </c>
      <c r="U77" s="63">
        <f>IFERROR(aurora_data!T1597,0)</f>
        <v>0</v>
      </c>
      <c r="V77" s="64" t="s">
        <v>95</v>
      </c>
      <c r="W77" s="36">
        <f>IFERROR(aurora_data!U1597,0)</f>
        <v>0</v>
      </c>
      <c r="X77" s="71">
        <f t="shared" ref="X77:X83" si="8">IFERROR(W77/$W$12,0)</f>
        <v>0</v>
      </c>
      <c r="Y77" s="2"/>
    </row>
    <row r="78" spans="1:25" customFormat="1">
      <c r="A78" s="2"/>
      <c r="B78" s="211"/>
      <c r="C78" s="213"/>
      <c r="D78" s="35" t="s">
        <v>60</v>
      </c>
      <c r="E78" s="110">
        <f>IFERROR(aurora_data!D1598,0)</f>
        <v>0</v>
      </c>
      <c r="F78" s="62">
        <f>IFERROR(aurora_data!E1598,0)</f>
        <v>0</v>
      </c>
      <c r="G78" s="62">
        <f>IFERROR(aurora_data!F1598,0)</f>
        <v>0</v>
      </c>
      <c r="H78" s="62">
        <f>IFERROR(aurora_data!G1598,0)</f>
        <v>0</v>
      </c>
      <c r="I78" s="63">
        <f>IFERROR(aurora_data!H1598,0)</f>
        <v>0</v>
      </c>
      <c r="J78" s="36">
        <f>IFERROR(aurora_data!I1598,0)</f>
        <v>0</v>
      </c>
      <c r="K78" s="62">
        <f>IFERROR(aurora_data!J1598,0)</f>
        <v>0</v>
      </c>
      <c r="L78" s="62">
        <f>IFERROR(aurora_data!K1598,0)</f>
        <v>0</v>
      </c>
      <c r="M78" s="62">
        <f>IFERROR(aurora_data!L1598,0)</f>
        <v>0</v>
      </c>
      <c r="N78" s="63">
        <f>IFERROR(aurora_data!M1598,0)</f>
        <v>0</v>
      </c>
      <c r="O78" s="36">
        <f>IFERROR(aurora_data!N1598,0)</f>
        <v>0</v>
      </c>
      <c r="P78" s="62">
        <f>IFERROR(aurora_data!O1598,0)</f>
        <v>0</v>
      </c>
      <c r="Q78" s="62">
        <f>IFERROR(aurora_data!P1598,0)</f>
        <v>0</v>
      </c>
      <c r="R78" s="63">
        <f>IFERROR(aurora_data!Q1598,0)</f>
        <v>0</v>
      </c>
      <c r="S78" s="62">
        <f>IFERROR(aurora_data!R1598,0)</f>
        <v>0</v>
      </c>
      <c r="T78" s="62">
        <f>IFERROR(aurora_data!S1598,0)</f>
        <v>0</v>
      </c>
      <c r="U78" s="63">
        <f>IFERROR(aurora_data!T1598,0)</f>
        <v>0</v>
      </c>
      <c r="V78" s="64" t="s">
        <v>95</v>
      </c>
      <c r="W78" s="36">
        <f>IFERROR(aurora_data!U1598,0)</f>
        <v>0</v>
      </c>
      <c r="X78" s="71">
        <f t="shared" si="8"/>
        <v>0</v>
      </c>
      <c r="Y78" s="2"/>
    </row>
    <row r="79" spans="1:25" customFormat="1">
      <c r="A79" s="2"/>
      <c r="B79" s="211"/>
      <c r="C79" s="213"/>
      <c r="D79" s="35" t="s">
        <v>97</v>
      </c>
      <c r="E79" s="36">
        <f>IFERROR(aurora_data!D1599,0)</f>
        <v>0</v>
      </c>
      <c r="F79" s="62">
        <f>IFERROR(aurora_data!E1599,0)</f>
        <v>0</v>
      </c>
      <c r="G79" s="62">
        <f>IFERROR(aurora_data!F1599,0)</f>
        <v>0</v>
      </c>
      <c r="H79" s="62">
        <f>IFERROR(aurora_data!G1599,0)</f>
        <v>0</v>
      </c>
      <c r="I79" s="63">
        <f>IFERROR(aurora_data!H1599,0)</f>
        <v>0</v>
      </c>
      <c r="J79" s="36">
        <f>IFERROR(aurora_data!I1599,0)</f>
        <v>0</v>
      </c>
      <c r="K79" s="62">
        <f>IFERROR(aurora_data!J1599,0)</f>
        <v>0</v>
      </c>
      <c r="L79" s="62">
        <f>IFERROR(aurora_data!K1599,0)</f>
        <v>0</v>
      </c>
      <c r="M79" s="62">
        <f>IFERROR(aurora_data!L1599,0)</f>
        <v>0</v>
      </c>
      <c r="N79" s="63">
        <f>IFERROR(aurora_data!M1599,0)</f>
        <v>0</v>
      </c>
      <c r="O79" s="36">
        <f>IFERROR(aurora_data!N1599,0)</f>
        <v>0</v>
      </c>
      <c r="P79" s="62">
        <f>IFERROR(aurora_data!O1599,0)</f>
        <v>0</v>
      </c>
      <c r="Q79" s="62">
        <f>IFERROR(aurora_data!P1599,0)</f>
        <v>0</v>
      </c>
      <c r="R79" s="63">
        <f>IFERROR(aurora_data!Q1599,0)</f>
        <v>0</v>
      </c>
      <c r="S79" s="62">
        <f>IFERROR(aurora_data!R1599,0)</f>
        <v>0</v>
      </c>
      <c r="T79" s="62">
        <f>IFERROR(aurora_data!S1599,0)</f>
        <v>0</v>
      </c>
      <c r="U79" s="63">
        <f>IFERROR(aurora_data!T1599,0)</f>
        <v>0</v>
      </c>
      <c r="V79" s="64" t="s">
        <v>95</v>
      </c>
      <c r="W79" s="36">
        <f>IFERROR(aurora_data!U1599,0)</f>
        <v>0</v>
      </c>
      <c r="X79" s="71">
        <f t="shared" si="8"/>
        <v>0</v>
      </c>
      <c r="Y79" s="2"/>
    </row>
    <row r="80" spans="1:25" customFormat="1">
      <c r="A80" s="2"/>
      <c r="B80" s="211"/>
      <c r="C80" s="213"/>
      <c r="D80" s="35" t="s">
        <v>98</v>
      </c>
      <c r="E80" s="36">
        <f>IFERROR(aurora_data!D1600,0)</f>
        <v>0</v>
      </c>
      <c r="F80" s="62">
        <f>IFERROR(aurora_data!E1600,0)</f>
        <v>0</v>
      </c>
      <c r="G80" s="62">
        <f>IFERROR(aurora_data!F1600,0)</f>
        <v>0</v>
      </c>
      <c r="H80" s="62">
        <f>IFERROR(aurora_data!G1600,0)</f>
        <v>0</v>
      </c>
      <c r="I80" s="63">
        <f>IFERROR(aurora_data!H1600,0)</f>
        <v>0</v>
      </c>
      <c r="J80" s="36">
        <f>IFERROR(aurora_data!I1600,0)</f>
        <v>0</v>
      </c>
      <c r="K80" s="62">
        <f>IFERROR(aurora_data!J1600,0)</f>
        <v>0</v>
      </c>
      <c r="L80" s="62">
        <f>IFERROR(aurora_data!K1600,0)</f>
        <v>0</v>
      </c>
      <c r="M80" s="62">
        <f>IFERROR(aurora_data!L1600,0)</f>
        <v>0</v>
      </c>
      <c r="N80" s="63">
        <f>IFERROR(aurora_data!M1600,0)</f>
        <v>0</v>
      </c>
      <c r="O80" s="36">
        <f>IFERROR(aurora_data!N1600,0)</f>
        <v>0</v>
      </c>
      <c r="P80" s="62">
        <f>IFERROR(aurora_data!O1600,0)</f>
        <v>0</v>
      </c>
      <c r="Q80" s="62">
        <f>IFERROR(aurora_data!P1600,0)</f>
        <v>0</v>
      </c>
      <c r="R80" s="63">
        <f>IFERROR(aurora_data!Q1600,0)</f>
        <v>0</v>
      </c>
      <c r="S80" s="62">
        <f>IFERROR(aurora_data!R1600,0)</f>
        <v>0</v>
      </c>
      <c r="T80" s="62">
        <f>IFERROR(aurora_data!S1600,0)</f>
        <v>0</v>
      </c>
      <c r="U80" s="63">
        <f>IFERROR(aurora_data!T1600,0)</f>
        <v>0</v>
      </c>
      <c r="V80" s="64" t="s">
        <v>95</v>
      </c>
      <c r="W80" s="36">
        <f>IFERROR(aurora_data!U1600,0)</f>
        <v>0</v>
      </c>
      <c r="X80" s="71">
        <f t="shared" si="8"/>
        <v>0</v>
      </c>
      <c r="Y80" s="2"/>
    </row>
    <row r="81" spans="1:25" customFormat="1" ht="16.5" thickBot="1">
      <c r="A81" s="2"/>
      <c r="B81" s="211"/>
      <c r="C81" s="213"/>
      <c r="D81" s="35" t="s">
        <v>99</v>
      </c>
      <c r="E81" s="36">
        <f>IFERROR(aurora_data!D1601,0)</f>
        <v>0</v>
      </c>
      <c r="F81" s="62">
        <f>IFERROR(aurora_data!E1601,0)</f>
        <v>0</v>
      </c>
      <c r="G81" s="62">
        <f>IFERROR(aurora_data!F1601,0)</f>
        <v>0</v>
      </c>
      <c r="H81" s="62">
        <f>IFERROR(aurora_data!G1601,0)</f>
        <v>0</v>
      </c>
      <c r="I81" s="63">
        <f>IFERROR(aurora_data!H1601,0)</f>
        <v>0</v>
      </c>
      <c r="J81" s="36">
        <f>IFERROR(aurora_data!I1601,0)</f>
        <v>0</v>
      </c>
      <c r="K81" s="62">
        <f>IFERROR(aurora_data!J1601,0)</f>
        <v>0</v>
      </c>
      <c r="L81" s="62">
        <f>IFERROR(aurora_data!K1601,0)</f>
        <v>0</v>
      </c>
      <c r="M81" s="62">
        <f>IFERROR(aurora_data!L1601,0)</f>
        <v>0</v>
      </c>
      <c r="N81" s="63">
        <f>IFERROR(aurora_data!M1601,0)</f>
        <v>0</v>
      </c>
      <c r="O81" s="36">
        <f>IFERROR(aurora_data!N1601,0)</f>
        <v>0</v>
      </c>
      <c r="P81" s="62">
        <f>IFERROR(aurora_data!O1601,0)</f>
        <v>0</v>
      </c>
      <c r="Q81" s="62">
        <f>IFERROR(aurora_data!P1601,0)</f>
        <v>0</v>
      </c>
      <c r="R81" s="63">
        <f>IFERROR(aurora_data!Q1601,0)</f>
        <v>0</v>
      </c>
      <c r="S81" s="62">
        <f>IFERROR(aurora_data!R1601,0)</f>
        <v>0</v>
      </c>
      <c r="T81" s="62">
        <f>IFERROR(aurora_data!S1601,0)</f>
        <v>0</v>
      </c>
      <c r="U81" s="63">
        <f>IFERROR(aurora_data!T1601,0)</f>
        <v>0</v>
      </c>
      <c r="V81" s="64" t="s">
        <v>95</v>
      </c>
      <c r="W81" s="36">
        <f>IFERROR(aurora_data!U1601,0)</f>
        <v>0</v>
      </c>
      <c r="X81" s="71">
        <f t="shared" si="8"/>
        <v>0</v>
      </c>
      <c r="Y81" s="2"/>
    </row>
    <row r="82" spans="1:25" customFormat="1" ht="16.5" thickBot="1">
      <c r="A82" s="2"/>
      <c r="B82" s="211"/>
      <c r="C82" s="213"/>
      <c r="D82" s="37" t="s">
        <v>64</v>
      </c>
      <c r="E82" s="59">
        <f>IFERROR(aurora_data!D1602,0)</f>
        <v>0</v>
      </c>
      <c r="F82" s="65">
        <f>IFERROR(aurora_data!E1602,0)</f>
        <v>0</v>
      </c>
      <c r="G82" s="65">
        <f>IFERROR(aurora_data!F1602,0)</f>
        <v>0</v>
      </c>
      <c r="H82" s="65">
        <f>IFERROR(aurora_data!G1602,0)</f>
        <v>0</v>
      </c>
      <c r="I82" s="66">
        <f>IFERROR(aurora_data!H1602,0)</f>
        <v>0</v>
      </c>
      <c r="J82" s="59">
        <f>IFERROR(aurora_data!I1602,0)</f>
        <v>0</v>
      </c>
      <c r="K82" s="65">
        <f>IFERROR(aurora_data!J1602,0)</f>
        <v>0</v>
      </c>
      <c r="L82" s="65">
        <f>IFERROR(aurora_data!K1602,0)</f>
        <v>0</v>
      </c>
      <c r="M82" s="65">
        <f>IFERROR(aurora_data!L1602,0)</f>
        <v>0</v>
      </c>
      <c r="N82" s="66">
        <f>IFERROR(aurora_data!M1602,0)</f>
        <v>0</v>
      </c>
      <c r="O82" s="59">
        <f>IFERROR(aurora_data!N1602,0)</f>
        <v>0</v>
      </c>
      <c r="P82" s="65">
        <f>IFERROR(aurora_data!O1602,0)</f>
        <v>0</v>
      </c>
      <c r="Q82" s="65">
        <f>IFERROR(aurora_data!P1602,0)</f>
        <v>0</v>
      </c>
      <c r="R82" s="66">
        <f>IFERROR(aurora_data!Q1602,0)</f>
        <v>0</v>
      </c>
      <c r="S82" s="65">
        <f>IFERROR(aurora_data!R1602,0)</f>
        <v>0</v>
      </c>
      <c r="T82" s="65">
        <f>IFERROR(aurora_data!S1602,0)</f>
        <v>0</v>
      </c>
      <c r="U82" s="66">
        <f>IFERROR(aurora_data!T1602,0)</f>
        <v>0</v>
      </c>
      <c r="V82" s="67" t="s">
        <v>95</v>
      </c>
      <c r="W82" s="59">
        <f>IFERROR(aurora_data!U1602,0)</f>
        <v>0</v>
      </c>
      <c r="X82" s="72">
        <f t="shared" si="8"/>
        <v>0</v>
      </c>
      <c r="Y82" s="2"/>
    </row>
    <row r="83" spans="1:25" customFormat="1" ht="16.5" thickBot="1">
      <c r="A83" s="2"/>
      <c r="B83" s="211"/>
      <c r="C83" s="213"/>
      <c r="D83" s="38" t="s">
        <v>100</v>
      </c>
      <c r="E83" s="60">
        <f>IFERROR(aurora_data!D1603,0)</f>
        <v>0</v>
      </c>
      <c r="F83" s="68">
        <f>IFERROR(aurora_data!E1603,0)</f>
        <v>0</v>
      </c>
      <c r="G83" s="68">
        <f>IFERROR(aurora_data!F1603,0)</f>
        <v>0</v>
      </c>
      <c r="H83" s="68">
        <f>IFERROR(aurora_data!G1603,0)</f>
        <v>0</v>
      </c>
      <c r="I83" s="69">
        <f>IFERROR(aurora_data!H1603,0)</f>
        <v>0</v>
      </c>
      <c r="J83" s="60">
        <f>IFERROR(aurora_data!I1603,0)</f>
        <v>0</v>
      </c>
      <c r="K83" s="68">
        <f>IFERROR(aurora_data!J1603,0)</f>
        <v>0</v>
      </c>
      <c r="L83" s="68">
        <f>IFERROR(aurora_data!K1603,0)</f>
        <v>0</v>
      </c>
      <c r="M83" s="68">
        <f>IFERROR(aurora_data!L1603,0)</f>
        <v>0</v>
      </c>
      <c r="N83" s="69">
        <f>IFERROR(aurora_data!M1603,0)</f>
        <v>0</v>
      </c>
      <c r="O83" s="60">
        <f>IFERROR(aurora_data!N1603,0)</f>
        <v>0</v>
      </c>
      <c r="P83" s="68">
        <f>IFERROR(aurora_data!O1603,0)</f>
        <v>0</v>
      </c>
      <c r="Q83" s="68">
        <f>IFERROR(aurora_data!P1603,0)</f>
        <v>0</v>
      </c>
      <c r="R83" s="69">
        <f>IFERROR(aurora_data!Q1603,0)</f>
        <v>0</v>
      </c>
      <c r="S83" s="68">
        <f>IFERROR(aurora_data!R1603,0)</f>
        <v>0</v>
      </c>
      <c r="T83" s="68">
        <f>IFERROR(aurora_data!S1603,0)</f>
        <v>0</v>
      </c>
      <c r="U83" s="74">
        <f>IFERROR(aurora_data!T1603,0)</f>
        <v>0</v>
      </c>
      <c r="V83" s="75" t="s">
        <v>95</v>
      </c>
      <c r="W83" s="60">
        <f>IFERROR(aurora_data!U1603,0)</f>
        <v>0</v>
      </c>
      <c r="X83" s="73">
        <f t="shared" si="8"/>
        <v>0</v>
      </c>
      <c r="Y83" s="2"/>
    </row>
    <row r="84" spans="1:25" customFormat="1">
      <c r="A84" s="2"/>
      <c r="B84" s="210" t="s">
        <v>94</v>
      </c>
      <c r="C84" s="212" t="str">
        <f>aurora_data!A1604</f>
        <v>15.00.00-15.11.30</v>
      </c>
      <c r="D84" s="34" t="s">
        <v>71</v>
      </c>
      <c r="E84" s="39">
        <f>IFERROR(aurora_data!D1604,0)</f>
        <v>0</v>
      </c>
      <c r="F84" s="40">
        <f>IFERROR(aurora_data!E1604,0)</f>
        <v>0</v>
      </c>
      <c r="G84" s="40">
        <f>IFERROR(aurora_data!F1604,0)</f>
        <v>0</v>
      </c>
      <c r="H84" s="40">
        <f>IFERROR(aurora_data!G1604,0)</f>
        <v>0</v>
      </c>
      <c r="I84" s="41">
        <f>IFERROR(aurora_data!H1604,0)</f>
        <v>0</v>
      </c>
      <c r="J84" s="39">
        <f>IFERROR(aurora_data!I1604,0)</f>
        <v>0</v>
      </c>
      <c r="K84" s="40">
        <f>IFERROR(aurora_data!J1604,0)</f>
        <v>0</v>
      </c>
      <c r="L84" s="40">
        <f>IFERROR(aurora_data!K1604,0)</f>
        <v>0</v>
      </c>
      <c r="M84" s="40">
        <f>IFERROR(aurora_data!L1604,0)</f>
        <v>0</v>
      </c>
      <c r="N84" s="41">
        <f>IFERROR(aurora_data!M1604,0)</f>
        <v>0</v>
      </c>
      <c r="O84" s="39">
        <f>IFERROR(aurora_data!N1604,0)</f>
        <v>0</v>
      </c>
      <c r="P84" s="40">
        <f>IFERROR(aurora_data!O1604,0)</f>
        <v>0</v>
      </c>
      <c r="Q84" s="40">
        <f>IFERROR(aurora_data!P1604,0)</f>
        <v>0</v>
      </c>
      <c r="R84" s="41">
        <f>IFERROR(aurora_data!Q1604,0)</f>
        <v>0</v>
      </c>
      <c r="S84" s="40">
        <f>IFERROR(aurora_data!R1604,0)</f>
        <v>0</v>
      </c>
      <c r="T84" s="40">
        <f>IFERROR(aurora_data!S1604,0)</f>
        <v>0</v>
      </c>
      <c r="U84" s="76">
        <f>IFERROR(aurora_data!T1604,0)</f>
        <v>0</v>
      </c>
      <c r="V84" s="61" t="s">
        <v>95</v>
      </c>
      <c r="W84" s="39">
        <f>IFERROR(aurora_data!U1604,0)</f>
        <v>5</v>
      </c>
      <c r="X84" s="70">
        <f>IFERROR(W84/$W$12,0)</f>
        <v>0.83333333333333337</v>
      </c>
      <c r="Y84" s="2"/>
    </row>
    <row r="85" spans="1:25" customFormat="1">
      <c r="A85" s="2"/>
      <c r="B85" s="211"/>
      <c r="C85" s="213"/>
      <c r="D85" s="35" t="s">
        <v>96</v>
      </c>
      <c r="E85" s="110">
        <f>IFERROR(aurora_data!D1605,0)</f>
        <v>0</v>
      </c>
      <c r="F85" s="62">
        <f>IFERROR(aurora_data!E1605,0)</f>
        <v>0</v>
      </c>
      <c r="G85" s="62">
        <f>IFERROR(aurora_data!F1605,0)</f>
        <v>0</v>
      </c>
      <c r="H85" s="62">
        <f>IFERROR(aurora_data!G1605,0)</f>
        <v>0</v>
      </c>
      <c r="I85" s="63">
        <f>IFERROR(aurora_data!H1605,0)</f>
        <v>0</v>
      </c>
      <c r="J85" s="36">
        <f>IFERROR(aurora_data!I1605,0)</f>
        <v>0</v>
      </c>
      <c r="K85" s="62">
        <f>IFERROR(aurora_data!J1605,0)</f>
        <v>0</v>
      </c>
      <c r="L85" s="62">
        <f>IFERROR(aurora_data!K1605,0)</f>
        <v>0</v>
      </c>
      <c r="M85" s="62">
        <f>IFERROR(aurora_data!L1605,0)</f>
        <v>0</v>
      </c>
      <c r="N85" s="63">
        <f>IFERROR(aurora_data!M1605,0)</f>
        <v>0</v>
      </c>
      <c r="O85" s="36">
        <f>IFERROR(aurora_data!N1605,0)</f>
        <v>0</v>
      </c>
      <c r="P85" s="62">
        <f>IFERROR(aurora_data!O1605,0)</f>
        <v>0</v>
      </c>
      <c r="Q85" s="62">
        <f>IFERROR(aurora_data!P1605,0)</f>
        <v>0</v>
      </c>
      <c r="R85" s="63">
        <f>IFERROR(aurora_data!Q1605,0)</f>
        <v>0</v>
      </c>
      <c r="S85" s="62">
        <f>IFERROR(aurora_data!R1605,0)</f>
        <v>0</v>
      </c>
      <c r="T85" s="62">
        <f>IFERROR(aurora_data!S1605,0)</f>
        <v>0</v>
      </c>
      <c r="U85" s="63">
        <f>IFERROR(aurora_data!T1605,0)</f>
        <v>0</v>
      </c>
      <c r="V85" s="64" t="s">
        <v>95</v>
      </c>
      <c r="W85" s="36">
        <f>IFERROR(aurora_data!U1605,0)</f>
        <v>0</v>
      </c>
      <c r="X85" s="71">
        <f t="shared" ref="X85:X91" si="9">IFERROR(W85/$W$12,0)</f>
        <v>0</v>
      </c>
      <c r="Y85" s="2"/>
    </row>
    <row r="86" spans="1:25" customFormat="1">
      <c r="A86" s="2"/>
      <c r="B86" s="211"/>
      <c r="C86" s="213"/>
      <c r="D86" s="35" t="s">
        <v>60</v>
      </c>
      <c r="E86" s="110">
        <f>IFERROR(aurora_data!D1606,0)</f>
        <v>0</v>
      </c>
      <c r="F86" s="62">
        <f>IFERROR(aurora_data!E1606,0)</f>
        <v>0</v>
      </c>
      <c r="G86" s="62">
        <f>IFERROR(aurora_data!F1606,0)</f>
        <v>0</v>
      </c>
      <c r="H86" s="62">
        <f>IFERROR(aurora_data!G1606,0)</f>
        <v>0</v>
      </c>
      <c r="I86" s="63">
        <f>IFERROR(aurora_data!H1606,0)</f>
        <v>0</v>
      </c>
      <c r="J86" s="36">
        <f>IFERROR(aurora_data!I1606,0)</f>
        <v>0</v>
      </c>
      <c r="K86" s="62">
        <f>IFERROR(aurora_data!J1606,0)</f>
        <v>0</v>
      </c>
      <c r="L86" s="62">
        <f>IFERROR(aurora_data!K1606,0)</f>
        <v>0</v>
      </c>
      <c r="M86" s="62">
        <f>IFERROR(aurora_data!L1606,0)</f>
        <v>0</v>
      </c>
      <c r="N86" s="63">
        <f>IFERROR(aurora_data!M1606,0)</f>
        <v>0</v>
      </c>
      <c r="O86" s="36">
        <f>IFERROR(aurora_data!N1606,0)</f>
        <v>0</v>
      </c>
      <c r="P86" s="62">
        <f>IFERROR(aurora_data!O1606,0)</f>
        <v>0</v>
      </c>
      <c r="Q86" s="62">
        <f>IFERROR(aurora_data!P1606,0)</f>
        <v>0</v>
      </c>
      <c r="R86" s="63">
        <f>IFERROR(aurora_data!Q1606,0)</f>
        <v>0</v>
      </c>
      <c r="S86" s="62">
        <f>IFERROR(aurora_data!R1606,0)</f>
        <v>0</v>
      </c>
      <c r="T86" s="62">
        <f>IFERROR(aurora_data!S1606,0)</f>
        <v>0</v>
      </c>
      <c r="U86" s="63">
        <f>IFERROR(aurora_data!T1606,0)</f>
        <v>0</v>
      </c>
      <c r="V86" s="64" t="s">
        <v>95</v>
      </c>
      <c r="W86" s="36">
        <f>IFERROR(aurora_data!U1606,0)</f>
        <v>0</v>
      </c>
      <c r="X86" s="71">
        <f t="shared" si="9"/>
        <v>0</v>
      </c>
      <c r="Y86" s="2"/>
    </row>
    <row r="87" spans="1:25" customFormat="1">
      <c r="A87" s="2"/>
      <c r="B87" s="211"/>
      <c r="C87" s="213"/>
      <c r="D87" s="35" t="s">
        <v>97</v>
      </c>
      <c r="E87" s="36">
        <f>IFERROR(aurora_data!D1607,0)</f>
        <v>0</v>
      </c>
      <c r="F87" s="62">
        <f>IFERROR(aurora_data!E1607,0)</f>
        <v>0</v>
      </c>
      <c r="G87" s="62">
        <f>IFERROR(aurora_data!F1607,0)</f>
        <v>0</v>
      </c>
      <c r="H87" s="62">
        <f>IFERROR(aurora_data!G1607,0)</f>
        <v>0</v>
      </c>
      <c r="I87" s="63">
        <f>IFERROR(aurora_data!H1607,0)</f>
        <v>0</v>
      </c>
      <c r="J87" s="36">
        <f>IFERROR(aurora_data!I1607,0)</f>
        <v>0</v>
      </c>
      <c r="K87" s="62">
        <f>IFERROR(aurora_data!J1607,0)</f>
        <v>0</v>
      </c>
      <c r="L87" s="62">
        <f>IFERROR(aurora_data!K1607,0)</f>
        <v>0</v>
      </c>
      <c r="M87" s="62">
        <f>IFERROR(aurora_data!L1607,0)</f>
        <v>0</v>
      </c>
      <c r="N87" s="63">
        <f>IFERROR(aurora_data!M1607,0)</f>
        <v>0</v>
      </c>
      <c r="O87" s="36">
        <f>IFERROR(aurora_data!N1607,0)</f>
        <v>0</v>
      </c>
      <c r="P87" s="62">
        <f>IFERROR(aurora_data!O1607,0)</f>
        <v>0</v>
      </c>
      <c r="Q87" s="62">
        <f>IFERROR(aurora_data!P1607,0)</f>
        <v>0</v>
      </c>
      <c r="R87" s="63">
        <f>IFERROR(aurora_data!Q1607,0)</f>
        <v>0</v>
      </c>
      <c r="S87" s="62">
        <f>IFERROR(aurora_data!R1607,0)</f>
        <v>0</v>
      </c>
      <c r="T87" s="62">
        <f>IFERROR(aurora_data!S1607,0)</f>
        <v>0</v>
      </c>
      <c r="U87" s="63">
        <f>IFERROR(aurora_data!T1607,0)</f>
        <v>0</v>
      </c>
      <c r="V87" s="64" t="s">
        <v>95</v>
      </c>
      <c r="W87" s="36">
        <f>IFERROR(aurora_data!U1607,0)</f>
        <v>0</v>
      </c>
      <c r="X87" s="71">
        <f t="shared" si="9"/>
        <v>0</v>
      </c>
      <c r="Y87" s="2"/>
    </row>
    <row r="88" spans="1:25" customFormat="1">
      <c r="A88" s="2"/>
      <c r="B88" s="211"/>
      <c r="C88" s="213"/>
      <c r="D88" s="35" t="s">
        <v>98</v>
      </c>
      <c r="E88" s="36">
        <f>IFERROR(aurora_data!D1608,0)</f>
        <v>0</v>
      </c>
      <c r="F88" s="62">
        <f>IFERROR(aurora_data!E1608,0)</f>
        <v>0</v>
      </c>
      <c r="G88" s="62">
        <f>IFERROR(aurora_data!F1608,0)</f>
        <v>0</v>
      </c>
      <c r="H88" s="62">
        <f>IFERROR(aurora_data!G1608,0)</f>
        <v>0</v>
      </c>
      <c r="I88" s="63">
        <f>IFERROR(aurora_data!H1608,0)</f>
        <v>0</v>
      </c>
      <c r="J88" s="36">
        <f>IFERROR(aurora_data!I1608,0)</f>
        <v>0</v>
      </c>
      <c r="K88" s="62">
        <f>IFERROR(aurora_data!J1608,0)</f>
        <v>0</v>
      </c>
      <c r="L88" s="62">
        <f>IFERROR(aurora_data!K1608,0)</f>
        <v>0</v>
      </c>
      <c r="M88" s="62">
        <f>IFERROR(aurora_data!L1608,0)</f>
        <v>0</v>
      </c>
      <c r="N88" s="63">
        <f>IFERROR(aurora_data!M1608,0)</f>
        <v>0</v>
      </c>
      <c r="O88" s="36">
        <f>IFERROR(aurora_data!N1608,0)</f>
        <v>0</v>
      </c>
      <c r="P88" s="62">
        <f>IFERROR(aurora_data!O1608,0)</f>
        <v>0</v>
      </c>
      <c r="Q88" s="62">
        <f>IFERROR(aurora_data!P1608,0)</f>
        <v>0</v>
      </c>
      <c r="R88" s="63">
        <f>IFERROR(aurora_data!Q1608,0)</f>
        <v>0</v>
      </c>
      <c r="S88" s="62">
        <f>IFERROR(aurora_data!R1608,0)</f>
        <v>0</v>
      </c>
      <c r="T88" s="62">
        <f>IFERROR(aurora_data!S1608,0)</f>
        <v>0</v>
      </c>
      <c r="U88" s="63">
        <f>IFERROR(aurora_data!T1608,0)</f>
        <v>0</v>
      </c>
      <c r="V88" s="64" t="s">
        <v>95</v>
      </c>
      <c r="W88" s="36">
        <f>IFERROR(aurora_data!U1608,0)</f>
        <v>0</v>
      </c>
      <c r="X88" s="71">
        <f t="shared" si="9"/>
        <v>0</v>
      </c>
      <c r="Y88" s="2"/>
    </row>
    <row r="89" spans="1:25" customFormat="1" ht="16.5" thickBot="1">
      <c r="A89" s="2"/>
      <c r="B89" s="211"/>
      <c r="C89" s="213"/>
      <c r="D89" s="35" t="s">
        <v>99</v>
      </c>
      <c r="E89" s="36">
        <f>IFERROR(aurora_data!D1609,0)</f>
        <v>0</v>
      </c>
      <c r="F89" s="62">
        <f>IFERROR(aurora_data!E1609,0)</f>
        <v>0</v>
      </c>
      <c r="G89" s="62">
        <f>IFERROR(aurora_data!F1609,0)</f>
        <v>0</v>
      </c>
      <c r="H89" s="62">
        <f>IFERROR(aurora_data!G1609,0)</f>
        <v>0</v>
      </c>
      <c r="I89" s="63">
        <f>IFERROR(aurora_data!H1609,0)</f>
        <v>0</v>
      </c>
      <c r="J89" s="36">
        <f>IFERROR(aurora_data!I1609,0)</f>
        <v>0</v>
      </c>
      <c r="K89" s="62">
        <f>IFERROR(aurora_data!J1609,0)</f>
        <v>0</v>
      </c>
      <c r="L89" s="62">
        <f>IFERROR(aurora_data!K1609,0)</f>
        <v>0</v>
      </c>
      <c r="M89" s="62">
        <f>IFERROR(aurora_data!L1609,0)</f>
        <v>0</v>
      </c>
      <c r="N89" s="63">
        <f>IFERROR(aurora_data!M1609,0)</f>
        <v>0</v>
      </c>
      <c r="O89" s="36">
        <f>IFERROR(aurora_data!N1609,0)</f>
        <v>0</v>
      </c>
      <c r="P89" s="62">
        <f>IFERROR(aurora_data!O1609,0)</f>
        <v>0</v>
      </c>
      <c r="Q89" s="62">
        <f>IFERROR(aurora_data!P1609,0)</f>
        <v>0</v>
      </c>
      <c r="R89" s="63">
        <f>IFERROR(aurora_data!Q1609,0)</f>
        <v>0</v>
      </c>
      <c r="S89" s="62">
        <f>IFERROR(aurora_data!R1609,0)</f>
        <v>0</v>
      </c>
      <c r="T89" s="62">
        <f>IFERROR(aurora_data!S1609,0)</f>
        <v>0</v>
      </c>
      <c r="U89" s="63">
        <f>IFERROR(aurora_data!T1609,0)</f>
        <v>0</v>
      </c>
      <c r="V89" s="64" t="s">
        <v>95</v>
      </c>
      <c r="W89" s="36">
        <f>IFERROR(aurora_data!U1609,0)</f>
        <v>0</v>
      </c>
      <c r="X89" s="71">
        <f t="shared" si="9"/>
        <v>0</v>
      </c>
      <c r="Y89" s="2"/>
    </row>
    <row r="90" spans="1:25" customFormat="1" ht="16.5" thickBot="1">
      <c r="A90" s="2"/>
      <c r="B90" s="211"/>
      <c r="C90" s="213"/>
      <c r="D90" s="37" t="s">
        <v>64</v>
      </c>
      <c r="E90" s="59">
        <f>IFERROR(aurora_data!D1610,0)</f>
        <v>0</v>
      </c>
      <c r="F90" s="65">
        <f>IFERROR(aurora_data!E1610,0)</f>
        <v>0</v>
      </c>
      <c r="G90" s="65">
        <f>IFERROR(aurora_data!F1610,0)</f>
        <v>0</v>
      </c>
      <c r="H90" s="65">
        <f>IFERROR(aurora_data!G1610,0)</f>
        <v>0</v>
      </c>
      <c r="I90" s="66">
        <f>IFERROR(aurora_data!H1610,0)</f>
        <v>0</v>
      </c>
      <c r="J90" s="59">
        <f>IFERROR(aurora_data!I1610,0)</f>
        <v>0</v>
      </c>
      <c r="K90" s="65">
        <f>IFERROR(aurora_data!J1610,0)</f>
        <v>0</v>
      </c>
      <c r="L90" s="65">
        <f>IFERROR(aurora_data!K1610,0)</f>
        <v>0</v>
      </c>
      <c r="M90" s="65">
        <f>IFERROR(aurora_data!L1610,0)</f>
        <v>0</v>
      </c>
      <c r="N90" s="66">
        <f>IFERROR(aurora_data!M1610,0)</f>
        <v>0</v>
      </c>
      <c r="O90" s="59">
        <f>IFERROR(aurora_data!N1610,0)</f>
        <v>0</v>
      </c>
      <c r="P90" s="65">
        <f>IFERROR(aurora_data!O1610,0)</f>
        <v>0</v>
      </c>
      <c r="Q90" s="65">
        <f>IFERROR(aurora_data!P1610,0)</f>
        <v>0</v>
      </c>
      <c r="R90" s="66">
        <f>IFERROR(aurora_data!Q1610,0)</f>
        <v>0</v>
      </c>
      <c r="S90" s="65">
        <f>IFERROR(aurora_data!R1610,0)</f>
        <v>0</v>
      </c>
      <c r="T90" s="65">
        <f>IFERROR(aurora_data!S1610,0)</f>
        <v>0</v>
      </c>
      <c r="U90" s="66">
        <f>IFERROR(aurora_data!T1610,0)</f>
        <v>0</v>
      </c>
      <c r="V90" s="67" t="s">
        <v>95</v>
      </c>
      <c r="W90" s="59">
        <f>IFERROR(aurora_data!U1610,0)</f>
        <v>0</v>
      </c>
      <c r="X90" s="72">
        <f t="shared" si="9"/>
        <v>0</v>
      </c>
      <c r="Y90" s="2"/>
    </row>
    <row r="91" spans="1:25" customFormat="1" ht="16.5" thickBot="1">
      <c r="A91" s="2"/>
      <c r="B91" s="211"/>
      <c r="C91" s="213"/>
      <c r="D91" s="38" t="s">
        <v>100</v>
      </c>
      <c r="E91" s="60">
        <f>IFERROR(aurora_data!D1611,0)</f>
        <v>0</v>
      </c>
      <c r="F91" s="68">
        <f>IFERROR(aurora_data!E1611,0)</f>
        <v>0</v>
      </c>
      <c r="G91" s="68">
        <f>IFERROR(aurora_data!F1611,0)</f>
        <v>0</v>
      </c>
      <c r="H91" s="68">
        <f>IFERROR(aurora_data!G1611,0)</f>
        <v>0</v>
      </c>
      <c r="I91" s="69">
        <f>IFERROR(aurora_data!H1611,0)</f>
        <v>0</v>
      </c>
      <c r="J91" s="60">
        <f>IFERROR(aurora_data!I1611,0)</f>
        <v>0</v>
      </c>
      <c r="K91" s="68">
        <f>IFERROR(aurora_data!J1611,0)</f>
        <v>0</v>
      </c>
      <c r="L91" s="68">
        <f>IFERROR(aurora_data!K1611,0)</f>
        <v>0</v>
      </c>
      <c r="M91" s="68">
        <f>IFERROR(aurora_data!L1611,0)</f>
        <v>0</v>
      </c>
      <c r="N91" s="69">
        <f>IFERROR(aurora_data!M1611,0)</f>
        <v>0</v>
      </c>
      <c r="O91" s="60">
        <f>IFERROR(aurora_data!N1611,0)</f>
        <v>0</v>
      </c>
      <c r="P91" s="68">
        <f>IFERROR(aurora_data!O1611,0)</f>
        <v>0</v>
      </c>
      <c r="Q91" s="68">
        <f>IFERROR(aurora_data!P1611,0)</f>
        <v>0</v>
      </c>
      <c r="R91" s="69">
        <f>IFERROR(aurora_data!Q1611,0)</f>
        <v>0</v>
      </c>
      <c r="S91" s="68">
        <f>IFERROR(aurora_data!R1611,0)</f>
        <v>0</v>
      </c>
      <c r="T91" s="68">
        <f>IFERROR(aurora_data!S1611,0)</f>
        <v>0</v>
      </c>
      <c r="U91" s="74">
        <f>IFERROR(aurora_data!T1611,0)</f>
        <v>0</v>
      </c>
      <c r="V91" s="75" t="s">
        <v>95</v>
      </c>
      <c r="W91" s="60">
        <f>IFERROR(aurora_data!U1611,0)</f>
        <v>0</v>
      </c>
      <c r="X91" s="73">
        <f t="shared" si="9"/>
        <v>0</v>
      </c>
      <c r="Y91" s="2"/>
    </row>
    <row r="92" spans="1:25" customFormat="1">
      <c r="A92" s="2"/>
      <c r="B92" s="210" t="s">
        <v>94</v>
      </c>
      <c r="C92" s="212" t="str">
        <f>aurora_data!A1612</f>
        <v>16.00.00-16.11.30</v>
      </c>
      <c r="D92" s="34" t="s">
        <v>71</v>
      </c>
      <c r="E92" s="39">
        <f>IFERROR(aurora_data!D1612,0)</f>
        <v>0</v>
      </c>
      <c r="F92" s="40">
        <f>IFERROR(aurora_data!E1612,0)</f>
        <v>0</v>
      </c>
      <c r="G92" s="40">
        <f>IFERROR(aurora_data!F1612,0)</f>
        <v>0</v>
      </c>
      <c r="H92" s="40">
        <f>IFERROR(aurora_data!G1612,0)</f>
        <v>0</v>
      </c>
      <c r="I92" s="41">
        <f>IFERROR(aurora_data!H1612,0)</f>
        <v>0</v>
      </c>
      <c r="J92" s="39">
        <f>IFERROR(aurora_data!I1612,0)</f>
        <v>0</v>
      </c>
      <c r="K92" s="40">
        <f>IFERROR(aurora_data!J1612,0)</f>
        <v>0</v>
      </c>
      <c r="L92" s="40">
        <f>IFERROR(aurora_data!K1612,0)</f>
        <v>0</v>
      </c>
      <c r="M92" s="40">
        <f>IFERROR(aurora_data!L1612,0)</f>
        <v>0</v>
      </c>
      <c r="N92" s="41">
        <f>IFERROR(aurora_data!M1612,0)</f>
        <v>0</v>
      </c>
      <c r="O92" s="39">
        <f>IFERROR(aurora_data!N1612,0)</f>
        <v>0</v>
      </c>
      <c r="P92" s="40">
        <f>IFERROR(aurora_data!O1612,0)</f>
        <v>0</v>
      </c>
      <c r="Q92" s="40">
        <f>IFERROR(aurora_data!P1612,0)</f>
        <v>0</v>
      </c>
      <c r="R92" s="41">
        <f>IFERROR(aurora_data!Q1612,0)</f>
        <v>0</v>
      </c>
      <c r="S92" s="40">
        <f>IFERROR(aurora_data!R1612,0)</f>
        <v>0</v>
      </c>
      <c r="T92" s="40">
        <f>IFERROR(aurora_data!S1612,0)</f>
        <v>0</v>
      </c>
      <c r="U92" s="76">
        <f>IFERROR(aurora_data!T1612,0)</f>
        <v>0</v>
      </c>
      <c r="V92" s="61" t="s">
        <v>95</v>
      </c>
      <c r="W92" s="39">
        <f>IFERROR(aurora_data!U1612,0)</f>
        <v>5</v>
      </c>
      <c r="X92" s="70">
        <f>IFERROR(W92/$W$12,0)</f>
        <v>0.83333333333333337</v>
      </c>
      <c r="Y92" s="2"/>
    </row>
    <row r="93" spans="1:25" customFormat="1">
      <c r="A93" s="2"/>
      <c r="B93" s="211"/>
      <c r="C93" s="213"/>
      <c r="D93" s="35" t="s">
        <v>96</v>
      </c>
      <c r="E93" s="110">
        <f>IFERROR(aurora_data!D1613,0)</f>
        <v>0</v>
      </c>
      <c r="F93" s="62">
        <f>IFERROR(aurora_data!E1613,0)</f>
        <v>0</v>
      </c>
      <c r="G93" s="62">
        <f>IFERROR(aurora_data!F1613,0)</f>
        <v>0</v>
      </c>
      <c r="H93" s="62">
        <f>IFERROR(aurora_data!G1613,0)</f>
        <v>1</v>
      </c>
      <c r="I93" s="63">
        <f>IFERROR(aurora_data!H1613,0)</f>
        <v>0</v>
      </c>
      <c r="J93" s="36">
        <f>IFERROR(aurora_data!I1613,0)</f>
        <v>0</v>
      </c>
      <c r="K93" s="62">
        <f>IFERROR(aurora_data!J1613,0)</f>
        <v>1</v>
      </c>
      <c r="L93" s="62">
        <f>IFERROR(aurora_data!K1613,0)</f>
        <v>0</v>
      </c>
      <c r="M93" s="62">
        <f>IFERROR(aurora_data!L1613,0)</f>
        <v>0</v>
      </c>
      <c r="N93" s="63">
        <f>IFERROR(aurora_data!M1613,0)</f>
        <v>0</v>
      </c>
      <c r="O93" s="36">
        <f>IFERROR(aurora_data!N1613,0)</f>
        <v>0</v>
      </c>
      <c r="P93" s="62">
        <f>IFERROR(aurora_data!O1613,0)</f>
        <v>0</v>
      </c>
      <c r="Q93" s="62">
        <f>IFERROR(aurora_data!P1613,0)</f>
        <v>1</v>
      </c>
      <c r="R93" s="63">
        <f>IFERROR(aurora_data!Q1613,0)</f>
        <v>0</v>
      </c>
      <c r="S93" s="62">
        <f>IFERROR(aurora_data!R1613,0)</f>
        <v>0</v>
      </c>
      <c r="T93" s="62">
        <f>IFERROR(aurora_data!S1613,0)</f>
        <v>1</v>
      </c>
      <c r="U93" s="63">
        <f>IFERROR(aurora_data!T1613,0)</f>
        <v>0</v>
      </c>
      <c r="V93" s="64" t="s">
        <v>95</v>
      </c>
      <c r="W93" s="36">
        <f>IFERROR(aurora_data!U1613,0)</f>
        <v>1</v>
      </c>
      <c r="X93" s="71">
        <f t="shared" ref="X93:X99" si="10">IFERROR(W93/$W$12,0)</f>
        <v>0.16666666666666666</v>
      </c>
      <c r="Y93" s="2"/>
    </row>
    <row r="94" spans="1:25" customFormat="1">
      <c r="A94" s="2"/>
      <c r="B94" s="211"/>
      <c r="C94" s="213"/>
      <c r="D94" s="35" t="s">
        <v>60</v>
      </c>
      <c r="E94" s="110">
        <f>IFERROR(aurora_data!D1614,0)</f>
        <v>0</v>
      </c>
      <c r="F94" s="62">
        <f>IFERROR(aurora_data!E1614,0)</f>
        <v>0</v>
      </c>
      <c r="G94" s="62">
        <f>IFERROR(aurora_data!F1614,0)</f>
        <v>0</v>
      </c>
      <c r="H94" s="62">
        <f>IFERROR(aurora_data!G1614,0)</f>
        <v>0</v>
      </c>
      <c r="I94" s="63">
        <f>IFERROR(aurora_data!H1614,0)</f>
        <v>0</v>
      </c>
      <c r="J94" s="36">
        <f>IFERROR(aurora_data!I1614,0)</f>
        <v>0</v>
      </c>
      <c r="K94" s="62">
        <f>IFERROR(aurora_data!J1614,0)</f>
        <v>0</v>
      </c>
      <c r="L94" s="62">
        <f>IFERROR(aurora_data!K1614,0)</f>
        <v>0</v>
      </c>
      <c r="M94" s="62">
        <f>IFERROR(aurora_data!L1614,0)</f>
        <v>0</v>
      </c>
      <c r="N94" s="63">
        <f>IFERROR(aurora_data!M1614,0)</f>
        <v>0</v>
      </c>
      <c r="O94" s="36">
        <f>IFERROR(aurora_data!N1614,0)</f>
        <v>0</v>
      </c>
      <c r="P94" s="62">
        <f>IFERROR(aurora_data!O1614,0)</f>
        <v>0</v>
      </c>
      <c r="Q94" s="62">
        <f>IFERROR(aurora_data!P1614,0)</f>
        <v>0</v>
      </c>
      <c r="R94" s="63">
        <f>IFERROR(aurora_data!Q1614,0)</f>
        <v>0</v>
      </c>
      <c r="S94" s="62">
        <f>IFERROR(aurora_data!R1614,0)</f>
        <v>0</v>
      </c>
      <c r="T94" s="62">
        <f>IFERROR(aurora_data!S1614,0)</f>
        <v>0</v>
      </c>
      <c r="U94" s="63">
        <f>IFERROR(aurora_data!T1614,0)</f>
        <v>0</v>
      </c>
      <c r="V94" s="64" t="s">
        <v>95</v>
      </c>
      <c r="W94" s="36">
        <f>IFERROR(aurora_data!U1614,0)</f>
        <v>0</v>
      </c>
      <c r="X94" s="71">
        <f t="shared" si="10"/>
        <v>0</v>
      </c>
      <c r="Y94" s="2"/>
    </row>
    <row r="95" spans="1:25" customFormat="1">
      <c r="A95" s="2"/>
      <c r="B95" s="211"/>
      <c r="C95" s="213"/>
      <c r="D95" s="35" t="s">
        <v>97</v>
      </c>
      <c r="E95" s="36">
        <f>IFERROR(aurora_data!D1615,0)</f>
        <v>0</v>
      </c>
      <c r="F95" s="62">
        <f>IFERROR(aurora_data!E1615,0)</f>
        <v>0</v>
      </c>
      <c r="G95" s="62">
        <f>IFERROR(aurora_data!F1615,0)</f>
        <v>0</v>
      </c>
      <c r="H95" s="62">
        <f>IFERROR(aurora_data!G1615,0)</f>
        <v>0</v>
      </c>
      <c r="I95" s="63">
        <f>IFERROR(aurora_data!H1615,0)</f>
        <v>0</v>
      </c>
      <c r="J95" s="36">
        <f>IFERROR(aurora_data!I1615,0)</f>
        <v>0</v>
      </c>
      <c r="K95" s="62">
        <f>IFERROR(aurora_data!J1615,0)</f>
        <v>0</v>
      </c>
      <c r="L95" s="62">
        <f>IFERROR(aurora_data!K1615,0)</f>
        <v>0</v>
      </c>
      <c r="M95" s="62">
        <f>IFERROR(aurora_data!L1615,0)</f>
        <v>0</v>
      </c>
      <c r="N95" s="63">
        <f>IFERROR(aurora_data!M1615,0)</f>
        <v>0</v>
      </c>
      <c r="O95" s="36">
        <f>IFERROR(aurora_data!N1615,0)</f>
        <v>0</v>
      </c>
      <c r="P95" s="62">
        <f>IFERROR(aurora_data!O1615,0)</f>
        <v>0</v>
      </c>
      <c r="Q95" s="62">
        <f>IFERROR(aurora_data!P1615,0)</f>
        <v>0</v>
      </c>
      <c r="R95" s="63">
        <f>IFERROR(aurora_data!Q1615,0)</f>
        <v>0</v>
      </c>
      <c r="S95" s="62">
        <f>IFERROR(aurora_data!R1615,0)</f>
        <v>0</v>
      </c>
      <c r="T95" s="62">
        <f>IFERROR(aurora_data!S1615,0)</f>
        <v>0</v>
      </c>
      <c r="U95" s="63">
        <f>IFERROR(aurora_data!T1615,0)</f>
        <v>0</v>
      </c>
      <c r="V95" s="64" t="s">
        <v>95</v>
      </c>
      <c r="W95" s="36">
        <f>IFERROR(aurora_data!U1615,0)</f>
        <v>0</v>
      </c>
      <c r="X95" s="71">
        <f t="shared" si="10"/>
        <v>0</v>
      </c>
      <c r="Y95" s="2"/>
    </row>
    <row r="96" spans="1:25" customFormat="1">
      <c r="A96" s="2"/>
      <c r="B96" s="211"/>
      <c r="C96" s="213"/>
      <c r="D96" s="35" t="s">
        <v>98</v>
      </c>
      <c r="E96" s="36">
        <f>IFERROR(aurora_data!D1616,0)</f>
        <v>0</v>
      </c>
      <c r="F96" s="62">
        <f>IFERROR(aurora_data!E1616,0)</f>
        <v>0</v>
      </c>
      <c r="G96" s="62">
        <f>IFERROR(aurora_data!F1616,0)</f>
        <v>0</v>
      </c>
      <c r="H96" s="62">
        <f>IFERROR(aurora_data!G1616,0)</f>
        <v>0</v>
      </c>
      <c r="I96" s="63">
        <f>IFERROR(aurora_data!H1616,0)</f>
        <v>0</v>
      </c>
      <c r="J96" s="36">
        <f>IFERROR(aurora_data!I1616,0)</f>
        <v>0</v>
      </c>
      <c r="K96" s="62">
        <f>IFERROR(aurora_data!J1616,0)</f>
        <v>0</v>
      </c>
      <c r="L96" s="62">
        <f>IFERROR(aurora_data!K1616,0)</f>
        <v>0</v>
      </c>
      <c r="M96" s="62">
        <f>IFERROR(aurora_data!L1616,0)</f>
        <v>0</v>
      </c>
      <c r="N96" s="63">
        <f>IFERROR(aurora_data!M1616,0)</f>
        <v>0</v>
      </c>
      <c r="O96" s="36">
        <f>IFERROR(aurora_data!N1616,0)</f>
        <v>0</v>
      </c>
      <c r="P96" s="62">
        <f>IFERROR(aurora_data!O1616,0)</f>
        <v>0</v>
      </c>
      <c r="Q96" s="62">
        <f>IFERROR(aurora_data!P1616,0)</f>
        <v>0</v>
      </c>
      <c r="R96" s="63">
        <f>IFERROR(aurora_data!Q1616,0)</f>
        <v>0</v>
      </c>
      <c r="S96" s="62">
        <f>IFERROR(aurora_data!R1616,0)</f>
        <v>0</v>
      </c>
      <c r="T96" s="62">
        <f>IFERROR(aurora_data!S1616,0)</f>
        <v>0</v>
      </c>
      <c r="U96" s="63">
        <f>IFERROR(aurora_data!T1616,0)</f>
        <v>0</v>
      </c>
      <c r="V96" s="64" t="s">
        <v>95</v>
      </c>
      <c r="W96" s="36">
        <f>IFERROR(aurora_data!U1616,0)</f>
        <v>0</v>
      </c>
      <c r="X96" s="71">
        <f t="shared" si="10"/>
        <v>0</v>
      </c>
      <c r="Y96" s="2"/>
    </row>
    <row r="97" spans="1:25" customFormat="1" ht="16.5" thickBot="1">
      <c r="A97" s="2"/>
      <c r="B97" s="211"/>
      <c r="C97" s="213"/>
      <c r="D97" s="35" t="s">
        <v>99</v>
      </c>
      <c r="E97" s="36">
        <f>IFERROR(aurora_data!D1617,0)</f>
        <v>0</v>
      </c>
      <c r="F97" s="62">
        <f>IFERROR(aurora_data!E1617,0)</f>
        <v>0</v>
      </c>
      <c r="G97" s="62">
        <f>IFERROR(aurora_data!F1617,0)</f>
        <v>0</v>
      </c>
      <c r="H97" s="62">
        <f>IFERROR(aurora_data!G1617,0)</f>
        <v>0</v>
      </c>
      <c r="I97" s="63">
        <f>IFERROR(aurora_data!H1617,0)</f>
        <v>0</v>
      </c>
      <c r="J97" s="36">
        <f>IFERROR(aurora_data!I1617,0)</f>
        <v>0</v>
      </c>
      <c r="K97" s="62">
        <f>IFERROR(aurora_data!J1617,0)</f>
        <v>0</v>
      </c>
      <c r="L97" s="62">
        <f>IFERROR(aurora_data!K1617,0)</f>
        <v>0</v>
      </c>
      <c r="M97" s="62">
        <f>IFERROR(aurora_data!L1617,0)</f>
        <v>0</v>
      </c>
      <c r="N97" s="63">
        <f>IFERROR(aurora_data!M1617,0)</f>
        <v>0</v>
      </c>
      <c r="O97" s="36">
        <f>IFERROR(aurora_data!N1617,0)</f>
        <v>0</v>
      </c>
      <c r="P97" s="62">
        <f>IFERROR(aurora_data!O1617,0)</f>
        <v>0</v>
      </c>
      <c r="Q97" s="62">
        <f>IFERROR(aurora_data!P1617,0)</f>
        <v>0</v>
      </c>
      <c r="R97" s="63">
        <f>IFERROR(aurora_data!Q1617,0)</f>
        <v>0</v>
      </c>
      <c r="S97" s="62">
        <f>IFERROR(aurora_data!R1617,0)</f>
        <v>0</v>
      </c>
      <c r="T97" s="62">
        <f>IFERROR(aurora_data!S1617,0)</f>
        <v>0</v>
      </c>
      <c r="U97" s="63">
        <f>IFERROR(aurora_data!T1617,0)</f>
        <v>0</v>
      </c>
      <c r="V97" s="64" t="s">
        <v>95</v>
      </c>
      <c r="W97" s="36">
        <f>IFERROR(aurora_data!U1617,0)</f>
        <v>0</v>
      </c>
      <c r="X97" s="71">
        <f t="shared" si="10"/>
        <v>0</v>
      </c>
      <c r="Y97" s="2"/>
    </row>
    <row r="98" spans="1:25" customFormat="1" ht="16.5" thickBot="1">
      <c r="A98" s="2"/>
      <c r="B98" s="211"/>
      <c r="C98" s="213"/>
      <c r="D98" s="37" t="s">
        <v>64</v>
      </c>
      <c r="E98" s="59">
        <f>IFERROR(aurora_data!D1618,0)</f>
        <v>0</v>
      </c>
      <c r="F98" s="65">
        <f>IFERROR(aurora_data!E1618,0)</f>
        <v>0</v>
      </c>
      <c r="G98" s="65">
        <f>IFERROR(aurora_data!F1618,0)</f>
        <v>0</v>
      </c>
      <c r="H98" s="65">
        <f>IFERROR(aurora_data!G1618,0)</f>
        <v>1</v>
      </c>
      <c r="I98" s="66">
        <f>IFERROR(aurora_data!H1618,0)</f>
        <v>0</v>
      </c>
      <c r="J98" s="59">
        <f>IFERROR(aurora_data!I1618,0)</f>
        <v>0</v>
      </c>
      <c r="K98" s="65">
        <f>IFERROR(aurora_data!J1618,0)</f>
        <v>1</v>
      </c>
      <c r="L98" s="65">
        <f>IFERROR(aurora_data!K1618,0)</f>
        <v>0</v>
      </c>
      <c r="M98" s="65">
        <f>IFERROR(aurora_data!L1618,0)</f>
        <v>0</v>
      </c>
      <c r="N98" s="66">
        <f>IFERROR(aurora_data!M1618,0)</f>
        <v>0</v>
      </c>
      <c r="O98" s="59">
        <f>IFERROR(aurora_data!N1618,0)</f>
        <v>0</v>
      </c>
      <c r="P98" s="65">
        <f>IFERROR(aurora_data!O1618,0)</f>
        <v>0</v>
      </c>
      <c r="Q98" s="65">
        <f>IFERROR(aurora_data!P1618,0)</f>
        <v>1</v>
      </c>
      <c r="R98" s="66">
        <f>IFERROR(aurora_data!Q1618,0)</f>
        <v>0</v>
      </c>
      <c r="S98" s="65">
        <f>IFERROR(aurora_data!R1618,0)</f>
        <v>0</v>
      </c>
      <c r="T98" s="65">
        <f>IFERROR(aurora_data!S1618,0)</f>
        <v>1</v>
      </c>
      <c r="U98" s="66">
        <f>IFERROR(aurora_data!T1618,0)</f>
        <v>0</v>
      </c>
      <c r="V98" s="67" t="s">
        <v>95</v>
      </c>
      <c r="W98" s="59">
        <f>IFERROR(aurora_data!U1618,0)</f>
        <v>1</v>
      </c>
      <c r="X98" s="72">
        <f t="shared" si="10"/>
        <v>0.16666666666666666</v>
      </c>
      <c r="Y98" s="2"/>
    </row>
    <row r="99" spans="1:25" customFormat="1" ht="16.5" thickBot="1">
      <c r="A99" s="2"/>
      <c r="B99" s="211"/>
      <c r="C99" s="213"/>
      <c r="D99" s="38" t="s">
        <v>100</v>
      </c>
      <c r="E99" s="60">
        <f>IFERROR(aurora_data!D1619,0)</f>
        <v>0</v>
      </c>
      <c r="F99" s="68">
        <f>IFERROR(aurora_data!E1619,0)</f>
        <v>0</v>
      </c>
      <c r="G99" s="68">
        <f>IFERROR(aurora_data!F1619,0)</f>
        <v>0</v>
      </c>
      <c r="H99" s="68">
        <f>IFERROR(aurora_data!G1619,0)</f>
        <v>0</v>
      </c>
      <c r="I99" s="69">
        <f>IFERROR(aurora_data!H1619,0)</f>
        <v>0</v>
      </c>
      <c r="J99" s="60">
        <f>IFERROR(aurora_data!I1619,0)</f>
        <v>0</v>
      </c>
      <c r="K99" s="68">
        <f>IFERROR(aurora_data!J1619,0)</f>
        <v>0</v>
      </c>
      <c r="L99" s="68">
        <f>IFERROR(aurora_data!K1619,0)</f>
        <v>0</v>
      </c>
      <c r="M99" s="68">
        <f>IFERROR(aurora_data!L1619,0)</f>
        <v>0</v>
      </c>
      <c r="N99" s="69">
        <f>IFERROR(aurora_data!M1619,0)</f>
        <v>0</v>
      </c>
      <c r="O99" s="60">
        <f>IFERROR(aurora_data!N1619,0)</f>
        <v>0</v>
      </c>
      <c r="P99" s="68">
        <f>IFERROR(aurora_data!O1619,0)</f>
        <v>0</v>
      </c>
      <c r="Q99" s="68">
        <f>IFERROR(aurora_data!P1619,0)</f>
        <v>0</v>
      </c>
      <c r="R99" s="69">
        <f>IFERROR(aurora_data!Q1619,0)</f>
        <v>0</v>
      </c>
      <c r="S99" s="68">
        <f>IFERROR(aurora_data!R1619,0)</f>
        <v>0</v>
      </c>
      <c r="T99" s="68">
        <f>IFERROR(aurora_data!S1619,0)</f>
        <v>0</v>
      </c>
      <c r="U99" s="74">
        <f>IFERROR(aurora_data!T1619,0)</f>
        <v>0</v>
      </c>
      <c r="V99" s="75" t="s">
        <v>95</v>
      </c>
      <c r="W99" s="60">
        <f>IFERROR(aurora_data!U1619,0)</f>
        <v>0</v>
      </c>
      <c r="X99" s="73">
        <f t="shared" si="10"/>
        <v>0</v>
      </c>
      <c r="Y99" s="2"/>
    </row>
    <row r="100" spans="1:25" customFormat="1" ht="15.75" customHeight="1">
      <c r="A100" s="2"/>
      <c r="B100" s="206" t="s">
        <v>94</v>
      </c>
      <c r="C100" s="208" t="s">
        <v>55</v>
      </c>
      <c r="D100" s="34" t="s">
        <v>71</v>
      </c>
      <c r="E100" s="39">
        <f>IFERROR(aurora_data!D1620,0)</f>
        <v>0</v>
      </c>
      <c r="F100" s="40">
        <f>IFERROR(aurora_data!E1620,0)</f>
        <v>0</v>
      </c>
      <c r="G100" s="40">
        <f>IFERROR(aurora_data!F1620,0)</f>
        <v>0</v>
      </c>
      <c r="H100" s="40">
        <f>IFERROR(aurora_data!G1620,0)</f>
        <v>0</v>
      </c>
      <c r="I100" s="41">
        <f>IFERROR(aurora_data!H1620,0)</f>
        <v>0</v>
      </c>
      <c r="J100" s="39">
        <f>IFERROR(aurora_data!I1620,0)</f>
        <v>0</v>
      </c>
      <c r="K100" s="40">
        <f>IFERROR(aurora_data!J1620,0)</f>
        <v>0</v>
      </c>
      <c r="L100" s="40">
        <f>IFERROR(aurora_data!K1620,0)</f>
        <v>0</v>
      </c>
      <c r="M100" s="40">
        <f>IFERROR(aurora_data!L1620,0)</f>
        <v>0</v>
      </c>
      <c r="N100" s="41">
        <f>IFERROR(aurora_data!M1620,0)</f>
        <v>0</v>
      </c>
      <c r="O100" s="39">
        <f>IFERROR(aurora_data!N1620,0)</f>
        <v>0</v>
      </c>
      <c r="P100" s="40">
        <f>IFERROR(aurora_data!O1620,0)</f>
        <v>0</v>
      </c>
      <c r="Q100" s="40">
        <f>IFERROR(aurora_data!P1620,0)</f>
        <v>0</v>
      </c>
      <c r="R100" s="41">
        <f>IFERROR(aurora_data!Q1620,0)</f>
        <v>0</v>
      </c>
      <c r="S100" s="40">
        <f>IFERROR(aurora_data!R1620,0)</f>
        <v>0</v>
      </c>
      <c r="T100" s="40">
        <f>IFERROR(aurora_data!S1620,0)</f>
        <v>0</v>
      </c>
      <c r="U100" s="41">
        <f>IFERROR(aurora_data!T1620,0)</f>
        <v>0</v>
      </c>
      <c r="V100" s="61" t="s">
        <v>95</v>
      </c>
      <c r="W100" s="39">
        <f>IFERROR(aurora_data!U1620,0)</f>
        <v>64</v>
      </c>
      <c r="X100" s="70">
        <f>IFERROR(W100/$W$100,0)</f>
        <v>1</v>
      </c>
      <c r="Y100" s="2"/>
    </row>
    <row r="101" spans="1:25" customFormat="1" ht="15.75" customHeight="1">
      <c r="A101" s="2"/>
      <c r="B101" s="207"/>
      <c r="C101" s="209"/>
      <c r="D101" s="35" t="s">
        <v>96</v>
      </c>
      <c r="E101" s="36">
        <f>IFERROR(aurora_data!D1621,0)</f>
        <v>1</v>
      </c>
      <c r="F101" s="62">
        <f>IFERROR(aurora_data!E1621,0)</f>
        <v>1</v>
      </c>
      <c r="G101" s="62">
        <f>IFERROR(aurora_data!F1621,0)</f>
        <v>1</v>
      </c>
      <c r="H101" s="62">
        <f>IFERROR(aurora_data!G1621,0)</f>
        <v>1</v>
      </c>
      <c r="I101" s="63">
        <f>IFERROR(aurora_data!H1621,0)</f>
        <v>0</v>
      </c>
      <c r="J101" s="36">
        <f>IFERROR(aurora_data!I1621,0)</f>
        <v>0</v>
      </c>
      <c r="K101" s="62">
        <f>IFERROR(aurora_data!J1621,0)</f>
        <v>2</v>
      </c>
      <c r="L101" s="62">
        <f>IFERROR(aurora_data!K1621,0)</f>
        <v>0</v>
      </c>
      <c r="M101" s="62">
        <f>IFERROR(aurora_data!L1621,0)</f>
        <v>2</v>
      </c>
      <c r="N101" s="63">
        <f>IFERROR(aurora_data!M1621,0)</f>
        <v>0</v>
      </c>
      <c r="O101" s="36">
        <f>IFERROR(aurora_data!N1621,0)</f>
        <v>1</v>
      </c>
      <c r="P101" s="62">
        <f>IFERROR(aurora_data!O1621,0)</f>
        <v>1</v>
      </c>
      <c r="Q101" s="62">
        <f>IFERROR(aurora_data!P1621,0)</f>
        <v>1</v>
      </c>
      <c r="R101" s="63">
        <f>IFERROR(aurora_data!Q1621,0)</f>
        <v>1</v>
      </c>
      <c r="S101" s="62">
        <f>IFERROR(aurora_data!R1621,0)</f>
        <v>1</v>
      </c>
      <c r="T101" s="62">
        <f>IFERROR(aurora_data!S1621,0)</f>
        <v>3</v>
      </c>
      <c r="U101" s="63">
        <f>IFERROR(aurora_data!T1621,0)</f>
        <v>0</v>
      </c>
      <c r="V101" s="64" t="s">
        <v>95</v>
      </c>
      <c r="W101" s="36">
        <f>IFERROR(aurora_data!U1621,0)</f>
        <v>4</v>
      </c>
      <c r="X101" s="71">
        <f t="shared" ref="X101:X107" si="11">IFERROR(W101/$W$100,0)</f>
        <v>6.25E-2</v>
      </c>
      <c r="Y101" s="2"/>
    </row>
    <row r="102" spans="1:25" customFormat="1" ht="15.75" customHeight="1">
      <c r="A102" s="2"/>
      <c r="B102" s="207"/>
      <c r="C102" s="209"/>
      <c r="D102" s="35" t="s">
        <v>60</v>
      </c>
      <c r="E102" s="36">
        <f>IFERROR(aurora_data!D1622,0)</f>
        <v>0</v>
      </c>
      <c r="F102" s="62">
        <f>IFERROR(aurora_data!E1622,0)</f>
        <v>0</v>
      </c>
      <c r="G102" s="62">
        <f>IFERROR(aurora_data!F1622,0)</f>
        <v>0</v>
      </c>
      <c r="H102" s="62">
        <f>IFERROR(aurora_data!G1622,0)</f>
        <v>0</v>
      </c>
      <c r="I102" s="63">
        <f>IFERROR(aurora_data!H1622,0)</f>
        <v>0</v>
      </c>
      <c r="J102" s="36">
        <f>IFERROR(aurora_data!I1622,0)</f>
        <v>0</v>
      </c>
      <c r="K102" s="62">
        <f>IFERROR(aurora_data!J1622,0)</f>
        <v>0</v>
      </c>
      <c r="L102" s="62">
        <f>IFERROR(aurora_data!K1622,0)</f>
        <v>0</v>
      </c>
      <c r="M102" s="62">
        <f>IFERROR(aurora_data!L1622,0)</f>
        <v>0</v>
      </c>
      <c r="N102" s="63">
        <f>IFERROR(aurora_data!M1622,0)</f>
        <v>0</v>
      </c>
      <c r="O102" s="36">
        <f>IFERROR(aurora_data!N1622,0)</f>
        <v>0</v>
      </c>
      <c r="P102" s="62">
        <f>IFERROR(aurora_data!O1622,0)</f>
        <v>0</v>
      </c>
      <c r="Q102" s="62">
        <f>IFERROR(aurora_data!P1622,0)</f>
        <v>0</v>
      </c>
      <c r="R102" s="63">
        <f>IFERROR(aurora_data!Q1622,0)</f>
        <v>0</v>
      </c>
      <c r="S102" s="62">
        <f>IFERROR(aurora_data!R1622,0)</f>
        <v>0</v>
      </c>
      <c r="T102" s="62">
        <f>IFERROR(aurora_data!S1622,0)</f>
        <v>0</v>
      </c>
      <c r="U102" s="63">
        <f>IFERROR(aurora_data!T1622,0)</f>
        <v>0</v>
      </c>
      <c r="V102" s="64" t="s">
        <v>95</v>
      </c>
      <c r="W102" s="36">
        <f>IFERROR(aurora_data!U1622,0)</f>
        <v>0</v>
      </c>
      <c r="X102" s="71">
        <f t="shared" si="11"/>
        <v>0</v>
      </c>
      <c r="Y102" s="2"/>
    </row>
    <row r="103" spans="1:25" customFormat="1" ht="15.75" customHeight="1">
      <c r="A103" s="2"/>
      <c r="B103" s="207"/>
      <c r="C103" s="209"/>
      <c r="D103" s="35" t="s">
        <v>97</v>
      </c>
      <c r="E103" s="36">
        <f>IFERROR(aurora_data!D1623,0)</f>
        <v>0</v>
      </c>
      <c r="F103" s="62">
        <f>IFERROR(aurora_data!E1623,0)</f>
        <v>0</v>
      </c>
      <c r="G103" s="62">
        <f>IFERROR(aurora_data!F1623,0)</f>
        <v>0</v>
      </c>
      <c r="H103" s="62">
        <f>IFERROR(aurora_data!G1623,0)</f>
        <v>0</v>
      </c>
      <c r="I103" s="63">
        <f>IFERROR(aurora_data!H1623,0)</f>
        <v>0</v>
      </c>
      <c r="J103" s="36">
        <f>IFERROR(aurora_data!I1623,0)</f>
        <v>0</v>
      </c>
      <c r="K103" s="62">
        <f>IFERROR(aurora_data!J1623,0)</f>
        <v>0</v>
      </c>
      <c r="L103" s="62">
        <f>IFERROR(aurora_data!K1623,0)</f>
        <v>0</v>
      </c>
      <c r="M103" s="62">
        <f>IFERROR(aurora_data!L1623,0)</f>
        <v>0</v>
      </c>
      <c r="N103" s="63">
        <f>IFERROR(aurora_data!M1623,0)</f>
        <v>0</v>
      </c>
      <c r="O103" s="36">
        <f>IFERROR(aurora_data!N1623,0)</f>
        <v>0</v>
      </c>
      <c r="P103" s="62">
        <f>IFERROR(aurora_data!O1623,0)</f>
        <v>0</v>
      </c>
      <c r="Q103" s="62">
        <f>IFERROR(aurora_data!P1623,0)</f>
        <v>0</v>
      </c>
      <c r="R103" s="63">
        <f>IFERROR(aurora_data!Q1623,0)</f>
        <v>0</v>
      </c>
      <c r="S103" s="62">
        <f>IFERROR(aurora_data!R1623,0)</f>
        <v>0</v>
      </c>
      <c r="T103" s="62">
        <f>IFERROR(aurora_data!S1623,0)</f>
        <v>0</v>
      </c>
      <c r="U103" s="63">
        <f>IFERROR(aurora_data!T1623,0)</f>
        <v>0</v>
      </c>
      <c r="V103" s="64" t="s">
        <v>95</v>
      </c>
      <c r="W103" s="36">
        <f>IFERROR(aurora_data!U1623,0)</f>
        <v>0</v>
      </c>
      <c r="X103" s="71">
        <f t="shared" si="11"/>
        <v>0</v>
      </c>
      <c r="Y103" s="2"/>
    </row>
    <row r="104" spans="1:25" customFormat="1" ht="16.5" customHeight="1">
      <c r="A104" s="2"/>
      <c r="B104" s="207"/>
      <c r="C104" s="209"/>
      <c r="D104" s="35" t="s">
        <v>98</v>
      </c>
      <c r="E104" s="36">
        <f>IFERROR(aurora_data!D1624,0)</f>
        <v>0</v>
      </c>
      <c r="F104" s="62">
        <f>IFERROR(aurora_data!E1624,0)</f>
        <v>0</v>
      </c>
      <c r="G104" s="62">
        <f>IFERROR(aurora_data!F1624,0)</f>
        <v>0</v>
      </c>
      <c r="H104" s="62">
        <f>IFERROR(aurora_data!G1624,0)</f>
        <v>0</v>
      </c>
      <c r="I104" s="63">
        <f>IFERROR(aurora_data!H1624,0)</f>
        <v>0</v>
      </c>
      <c r="J104" s="36">
        <f>IFERROR(aurora_data!I1624,0)</f>
        <v>0</v>
      </c>
      <c r="K104" s="62">
        <f>IFERROR(aurora_data!J1624,0)</f>
        <v>0</v>
      </c>
      <c r="L104" s="62">
        <f>IFERROR(aurora_data!K1624,0)</f>
        <v>0</v>
      </c>
      <c r="M104" s="62">
        <f>IFERROR(aurora_data!L1624,0)</f>
        <v>0</v>
      </c>
      <c r="N104" s="63">
        <f>IFERROR(aurora_data!M1624,0)</f>
        <v>0</v>
      </c>
      <c r="O104" s="36">
        <f>IFERROR(aurora_data!N1624,0)</f>
        <v>0</v>
      </c>
      <c r="P104" s="62">
        <f>IFERROR(aurora_data!O1624,0)</f>
        <v>0</v>
      </c>
      <c r="Q104" s="62">
        <f>IFERROR(aurora_data!P1624,0)</f>
        <v>0</v>
      </c>
      <c r="R104" s="63">
        <f>IFERROR(aurora_data!Q1624,0)</f>
        <v>0</v>
      </c>
      <c r="S104" s="62">
        <f>IFERROR(aurora_data!R1624,0)</f>
        <v>0</v>
      </c>
      <c r="T104" s="62">
        <f>IFERROR(aurora_data!S1624,0)</f>
        <v>0</v>
      </c>
      <c r="U104" s="63">
        <f>IFERROR(aurora_data!T1624,0)</f>
        <v>0</v>
      </c>
      <c r="V104" s="64" t="s">
        <v>95</v>
      </c>
      <c r="W104" s="36">
        <f>IFERROR(aurora_data!U1624,0)</f>
        <v>0</v>
      </c>
      <c r="X104" s="71">
        <f t="shared" si="11"/>
        <v>0</v>
      </c>
      <c r="Y104" s="2"/>
    </row>
    <row r="105" spans="1:25" customFormat="1" ht="16.5" customHeight="1" thickBot="1">
      <c r="A105" s="2"/>
      <c r="B105" s="207"/>
      <c r="C105" s="209"/>
      <c r="D105" s="35" t="s">
        <v>99</v>
      </c>
      <c r="E105" s="36">
        <f>IFERROR(aurora_data!D1625,0)</f>
        <v>0</v>
      </c>
      <c r="F105" s="62">
        <f>IFERROR(aurora_data!E1625,0)</f>
        <v>0</v>
      </c>
      <c r="G105" s="62">
        <f>IFERROR(aurora_data!F1625,0)</f>
        <v>0</v>
      </c>
      <c r="H105" s="62">
        <f>IFERROR(aurora_data!G1625,0)</f>
        <v>0</v>
      </c>
      <c r="I105" s="63">
        <f>IFERROR(aurora_data!H1625,0)</f>
        <v>0</v>
      </c>
      <c r="J105" s="36">
        <f>IFERROR(aurora_data!I1625,0)</f>
        <v>0</v>
      </c>
      <c r="K105" s="62">
        <f>IFERROR(aurora_data!J1625,0)</f>
        <v>0</v>
      </c>
      <c r="L105" s="62">
        <f>IFERROR(aurora_data!K1625,0)</f>
        <v>0</v>
      </c>
      <c r="M105" s="62">
        <f>IFERROR(aurora_data!L1625,0)</f>
        <v>0</v>
      </c>
      <c r="N105" s="63">
        <f>IFERROR(aurora_data!M1625,0)</f>
        <v>0</v>
      </c>
      <c r="O105" s="36">
        <f>IFERROR(aurora_data!N1625,0)</f>
        <v>0</v>
      </c>
      <c r="P105" s="62">
        <f>IFERROR(aurora_data!O1625,0)</f>
        <v>0</v>
      </c>
      <c r="Q105" s="62">
        <f>IFERROR(aurora_data!P1625,0)</f>
        <v>0</v>
      </c>
      <c r="R105" s="63">
        <f>IFERROR(aurora_data!Q1625,0)</f>
        <v>0</v>
      </c>
      <c r="S105" s="62">
        <f>IFERROR(aurora_data!R1625,0)</f>
        <v>0</v>
      </c>
      <c r="T105" s="62">
        <f>IFERROR(aurora_data!S1625,0)</f>
        <v>0</v>
      </c>
      <c r="U105" s="63">
        <f>IFERROR(aurora_data!T1625,0)</f>
        <v>0</v>
      </c>
      <c r="V105" s="64" t="s">
        <v>95</v>
      </c>
      <c r="W105" s="36">
        <f>IFERROR(aurora_data!U1625,0)</f>
        <v>0</v>
      </c>
      <c r="X105" s="71">
        <f t="shared" si="11"/>
        <v>0</v>
      </c>
      <c r="Y105" s="2"/>
    </row>
    <row r="106" spans="1:25" customFormat="1" ht="16.5" customHeight="1" thickBot="1">
      <c r="A106" s="2"/>
      <c r="B106" s="207"/>
      <c r="C106" s="209"/>
      <c r="D106" s="37" t="s">
        <v>64</v>
      </c>
      <c r="E106" s="59">
        <f>IFERROR(aurora_data!D1626,0)</f>
        <v>1</v>
      </c>
      <c r="F106" s="65">
        <f>IFERROR(aurora_data!E1626,0)</f>
        <v>1</v>
      </c>
      <c r="G106" s="65">
        <f>IFERROR(aurora_data!F1626,0)</f>
        <v>1</v>
      </c>
      <c r="H106" s="65">
        <f>IFERROR(aurora_data!G1626,0)</f>
        <v>1</v>
      </c>
      <c r="I106" s="66">
        <f>IFERROR(aurora_data!H1626,0)</f>
        <v>0</v>
      </c>
      <c r="J106" s="59">
        <f>IFERROR(aurora_data!I1626,0)</f>
        <v>0</v>
      </c>
      <c r="K106" s="65">
        <f>IFERROR(aurora_data!J1626,0)</f>
        <v>2</v>
      </c>
      <c r="L106" s="65">
        <f>IFERROR(aurora_data!K1626,0)</f>
        <v>0</v>
      </c>
      <c r="M106" s="65">
        <f>IFERROR(aurora_data!L1626,0)</f>
        <v>2</v>
      </c>
      <c r="N106" s="66">
        <f>IFERROR(aurora_data!M1626,0)</f>
        <v>0</v>
      </c>
      <c r="O106" s="59">
        <f>IFERROR(aurora_data!N1626,0)</f>
        <v>1</v>
      </c>
      <c r="P106" s="65">
        <f>IFERROR(aurora_data!O1626,0)</f>
        <v>1</v>
      </c>
      <c r="Q106" s="65">
        <f>IFERROR(aurora_data!P1626,0)</f>
        <v>1</v>
      </c>
      <c r="R106" s="66">
        <f>IFERROR(aurora_data!Q1626,0)</f>
        <v>1</v>
      </c>
      <c r="S106" s="65">
        <f>IFERROR(aurora_data!R1626,0)</f>
        <v>1</v>
      </c>
      <c r="T106" s="65">
        <f>IFERROR(aurora_data!S1626,0)</f>
        <v>3</v>
      </c>
      <c r="U106" s="66">
        <f>IFERROR(aurora_data!T1626,0)</f>
        <v>0</v>
      </c>
      <c r="V106" s="67" t="s">
        <v>95</v>
      </c>
      <c r="W106" s="59">
        <f>IFERROR(aurora_data!U1626,0)</f>
        <v>4</v>
      </c>
      <c r="X106" s="72">
        <f t="shared" si="11"/>
        <v>6.25E-2</v>
      </c>
      <c r="Y106" s="2"/>
    </row>
    <row r="107" spans="1:25" customFormat="1" ht="16.5" customHeight="1" thickBot="1">
      <c r="A107" s="2"/>
      <c r="B107" s="207"/>
      <c r="C107" s="209"/>
      <c r="D107" s="38" t="s">
        <v>100</v>
      </c>
      <c r="E107" s="60">
        <f>IFERROR(aurora_data!D1627,0)</f>
        <v>0</v>
      </c>
      <c r="F107" s="68">
        <f>IFERROR(aurora_data!E1627,0)</f>
        <v>0</v>
      </c>
      <c r="G107" s="68">
        <f>IFERROR(aurora_data!F1627,0)</f>
        <v>0</v>
      </c>
      <c r="H107" s="68">
        <f>IFERROR(aurora_data!G1627,0)</f>
        <v>0</v>
      </c>
      <c r="I107" s="69">
        <f>IFERROR(aurora_data!H1627,0)</f>
        <v>0</v>
      </c>
      <c r="J107" s="60">
        <f>IFERROR(aurora_data!I1627,0)</f>
        <v>0</v>
      </c>
      <c r="K107" s="68">
        <f>IFERROR(aurora_data!J1627,0)</f>
        <v>0</v>
      </c>
      <c r="L107" s="68">
        <f>IFERROR(aurora_data!K1627,0)</f>
        <v>0</v>
      </c>
      <c r="M107" s="68">
        <f>IFERROR(aurora_data!L1627,0)</f>
        <v>0</v>
      </c>
      <c r="N107" s="69">
        <f>IFERROR(aurora_data!M1627,0)</f>
        <v>0</v>
      </c>
      <c r="O107" s="60">
        <f>IFERROR(aurora_data!N1627,0)</f>
        <v>0</v>
      </c>
      <c r="P107" s="68">
        <f>IFERROR(aurora_data!O1627,0)</f>
        <v>0</v>
      </c>
      <c r="Q107" s="68">
        <f>IFERROR(aurora_data!P1627,0)</f>
        <v>0</v>
      </c>
      <c r="R107" s="69">
        <f>IFERROR(aurora_data!Q1627,0)</f>
        <v>0</v>
      </c>
      <c r="S107" s="68">
        <f>IFERROR(aurora_data!R1627,0)</f>
        <v>0</v>
      </c>
      <c r="T107" s="68">
        <f>IFERROR(aurora_data!S1627,0)</f>
        <v>0</v>
      </c>
      <c r="U107" s="74">
        <f>IFERROR(aurora_data!T1627,0)</f>
        <v>0</v>
      </c>
      <c r="V107" s="75" t="s">
        <v>95</v>
      </c>
      <c r="W107" s="60">
        <f>IFERROR(aurora_data!U1627,0)</f>
        <v>0</v>
      </c>
      <c r="X107" s="73">
        <f t="shared" si="11"/>
        <v>0</v>
      </c>
      <c r="Y107" s="2"/>
    </row>
    <row r="108" spans="1:25" ht="16.5" customHeight="1">
      <c r="B108" s="97"/>
      <c r="C108" s="97"/>
    </row>
  </sheetData>
  <mergeCells count="46">
    <mergeCell ref="B68:B75"/>
    <mergeCell ref="C68:C75"/>
    <mergeCell ref="B100:B107"/>
    <mergeCell ref="C100:C107"/>
    <mergeCell ref="B76:B83"/>
    <mergeCell ref="C76:C83"/>
    <mergeCell ref="B84:B91"/>
    <mergeCell ref="C84:C91"/>
    <mergeCell ref="B92:B99"/>
    <mergeCell ref="C92:C99"/>
    <mergeCell ref="B44:B51"/>
    <mergeCell ref="C44:C51"/>
    <mergeCell ref="B52:B59"/>
    <mergeCell ref="C52:C59"/>
    <mergeCell ref="B60:B67"/>
    <mergeCell ref="C60:C67"/>
    <mergeCell ref="C12:C19"/>
    <mergeCell ref="B28:B35"/>
    <mergeCell ref="C28:C35"/>
    <mergeCell ref="B36:B43"/>
    <mergeCell ref="C36:C43"/>
    <mergeCell ref="B20:B27"/>
    <mergeCell ref="C20:C27"/>
    <mergeCell ref="B12:B19"/>
    <mergeCell ref="B8:D8"/>
    <mergeCell ref="E8:U8"/>
    <mergeCell ref="W8:X11"/>
    <mergeCell ref="B9:C9"/>
    <mergeCell ref="E9:I9"/>
    <mergeCell ref="J9:N9"/>
    <mergeCell ref="O9:R9"/>
    <mergeCell ref="S9:U9"/>
    <mergeCell ref="B10:B11"/>
    <mergeCell ref="E10:I10"/>
    <mergeCell ref="J10:N10"/>
    <mergeCell ref="O10:R10"/>
    <mergeCell ref="S10:U10"/>
    <mergeCell ref="A1:C1"/>
    <mergeCell ref="D1:H1"/>
    <mergeCell ref="A2:C2"/>
    <mergeCell ref="D2:H2"/>
    <mergeCell ref="K2:X6"/>
    <mergeCell ref="D3:E3"/>
    <mergeCell ref="F3:H3"/>
    <mergeCell ref="D5:G5"/>
    <mergeCell ref="D6:H6"/>
  </mergeCells>
  <conditionalFormatting sqref="E13:W13">
    <cfRule type="expression" dxfId="103" priority="22">
      <formula>ROUND(E$13,0) &gt;= ROUND(E$12,0)</formula>
    </cfRule>
  </conditionalFormatting>
  <conditionalFormatting sqref="E18:W18">
    <cfRule type="expression" dxfId="102" priority="23">
      <formula>ROUND(E$18,0) &lt; ROUND(E$12,0)</formula>
    </cfRule>
  </conditionalFormatting>
  <conditionalFormatting sqref="E21:W21">
    <cfRule type="expression" dxfId="101" priority="19">
      <formula>ROUND(E$13,0) &gt;= ROUND(E$12,0)</formula>
    </cfRule>
  </conditionalFormatting>
  <conditionalFormatting sqref="E26:W26">
    <cfRule type="expression" dxfId="100" priority="20">
      <formula>ROUND(E$18,0) &lt; ROUND(E$12,0)</formula>
    </cfRule>
  </conditionalFormatting>
  <conditionalFormatting sqref="E29:W29">
    <cfRule type="expression" dxfId="99" priority="17">
      <formula>ROUND(E$13,0) &gt;= ROUND(E$12,0)</formula>
    </cfRule>
  </conditionalFormatting>
  <conditionalFormatting sqref="E34:W34">
    <cfRule type="expression" dxfId="98" priority="18">
      <formula>ROUND(E$18,0) &lt; ROUND(E$12,0)</formula>
    </cfRule>
  </conditionalFormatting>
  <conditionalFormatting sqref="E37:W37">
    <cfRule type="expression" dxfId="97" priority="15">
      <formula>ROUND(E$13,0) &gt;= ROUND(E$12,0)</formula>
    </cfRule>
  </conditionalFormatting>
  <conditionalFormatting sqref="E42:W42">
    <cfRule type="expression" dxfId="96" priority="16">
      <formula>ROUND(E$18,0) &lt; ROUND(E$12,0)</formula>
    </cfRule>
  </conditionalFormatting>
  <conditionalFormatting sqref="E45:W45">
    <cfRule type="expression" dxfId="95" priority="13">
      <formula>ROUND(E$13,0) &gt;= ROUND(E$12,0)</formula>
    </cfRule>
  </conditionalFormatting>
  <conditionalFormatting sqref="E50:W50">
    <cfRule type="expression" dxfId="94" priority="14">
      <formula>ROUND(E$18,0) &lt; ROUND(E$12,0)</formula>
    </cfRule>
  </conditionalFormatting>
  <conditionalFormatting sqref="E53:W53">
    <cfRule type="expression" dxfId="93" priority="11">
      <formula>ROUND(E$13,0) &gt;= ROUND(E$12,0)</formula>
    </cfRule>
  </conditionalFormatting>
  <conditionalFormatting sqref="E58:W58">
    <cfRule type="expression" dxfId="92" priority="12">
      <formula>ROUND(E$18,0) &lt; ROUND(E$12,0)</formula>
    </cfRule>
  </conditionalFormatting>
  <conditionalFormatting sqref="E61:W61">
    <cfRule type="expression" dxfId="91" priority="9">
      <formula>ROUND(E$13,0) &gt;= ROUND(E$12,0)</formula>
    </cfRule>
  </conditionalFormatting>
  <conditionalFormatting sqref="E66:W66">
    <cfRule type="expression" dxfId="90" priority="10">
      <formula>ROUND(E$18,0) &lt; ROUND(E$12,0)</formula>
    </cfRule>
  </conditionalFormatting>
  <conditionalFormatting sqref="E69:W69">
    <cfRule type="expression" dxfId="89" priority="7">
      <formula>ROUND(E$13,0) &gt;= ROUND(E$12,0)</formula>
    </cfRule>
  </conditionalFormatting>
  <conditionalFormatting sqref="E74:W74">
    <cfRule type="expression" dxfId="88" priority="8">
      <formula>ROUND(E$18,0) &lt; ROUND(E$12,0)</formula>
    </cfRule>
  </conditionalFormatting>
  <conditionalFormatting sqref="E77:W77">
    <cfRule type="expression" dxfId="87" priority="5">
      <formula>ROUND(E$13,0) &gt;= ROUND(E$12,0)</formula>
    </cfRule>
  </conditionalFormatting>
  <conditionalFormatting sqref="E82:W82">
    <cfRule type="expression" dxfId="86" priority="6">
      <formula>ROUND(E$18,0) &lt; ROUND(E$12,0)</formula>
    </cfRule>
  </conditionalFormatting>
  <conditionalFormatting sqref="E85:W85">
    <cfRule type="expression" dxfId="85" priority="3">
      <formula>ROUND(E$13,0) &gt;= ROUND(E$12,0)</formula>
    </cfRule>
  </conditionalFormatting>
  <conditionalFormatting sqref="E90:W90">
    <cfRule type="expression" dxfId="84" priority="4">
      <formula>ROUND(E$18,0) &lt; ROUND(E$12,0)</formula>
    </cfRule>
  </conditionalFormatting>
  <conditionalFormatting sqref="E93:W93">
    <cfRule type="expression" dxfId="83" priority="1">
      <formula>ROUND(E$13,0) &gt;= ROUND(E$12,0)</formula>
    </cfRule>
  </conditionalFormatting>
  <conditionalFormatting sqref="E98:W98">
    <cfRule type="expression" dxfId="82" priority="2">
      <formula>ROUND(E$18,0) &lt; ROUND(E$12,0)</formula>
    </cfRule>
  </conditionalFormatting>
  <conditionalFormatting sqref="E101:W101">
    <cfRule type="expression" dxfId="81" priority="21">
      <formula>ROUND(E$101,0) &gt;= ROUND(E$100,0)</formula>
    </cfRule>
  </conditionalFormatting>
  <conditionalFormatting sqref="E106:W106">
    <cfRule type="expression" dxfId="80" priority="24">
      <formula>ROUND(E$106,0) &lt; ROUND(E$100,0)</formula>
    </cfRule>
  </conditionalFormatting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FBF1CF-62EA-457A-87E7-8C47A1053B13}">
  <sheetPr>
    <tabColor rgb="FFFF40FF"/>
  </sheetPr>
  <dimension ref="A1:Y108"/>
  <sheetViews>
    <sheetView zoomScale="85" zoomScaleNormal="85" workbookViewId="0">
      <selection sqref="A1:C1"/>
    </sheetView>
  </sheetViews>
  <sheetFormatPr defaultColWidth="2.625" defaultRowHeight="15.75"/>
  <cols>
    <col min="1" max="1" width="1.375" style="2" customWidth="1"/>
    <col min="2" max="2" width="10.875" style="2" customWidth="1"/>
    <col min="3" max="3" width="15.625" style="2" customWidth="1"/>
    <col min="4" max="4" width="22.625" style="4" customWidth="1"/>
    <col min="5" max="8" width="7.625" style="4" customWidth="1"/>
    <col min="9" max="9" width="6.625" style="4" hidden="1" customWidth="1"/>
    <col min="10" max="21" width="7.625" style="4" customWidth="1"/>
    <col min="22" max="22" width="0.625" style="2" customWidth="1"/>
    <col min="23" max="24" width="5.875" style="2" customWidth="1"/>
    <col min="25" max="25" width="12.5" style="2" customWidth="1"/>
    <col min="26" max="26" width="2.625" style="2" customWidth="1"/>
    <col min="27" max="64" width="7.625" style="2" customWidth="1"/>
    <col min="65" max="16323" width="2.625" style="2"/>
    <col min="16324" max="16324" width="1.375" style="2" customWidth="1"/>
    <col min="16325" max="16325" width="2.625" style="2" customWidth="1"/>
    <col min="16326" max="16326" width="3.5" style="2" customWidth="1"/>
    <col min="16327" max="16327" width="1" style="2" customWidth="1"/>
    <col min="16328" max="16328" width="0.875" style="2" customWidth="1"/>
    <col min="16329" max="16329" width="2.375" style="2" customWidth="1"/>
    <col min="16330" max="16384" width="20.375" style="2" customWidth="1"/>
  </cols>
  <sheetData>
    <row r="1" spans="1:25" customFormat="1" ht="25.5" customHeight="1">
      <c r="A1" s="151" t="s">
        <v>77</v>
      </c>
      <c r="B1" s="152"/>
      <c r="C1" s="153"/>
      <c r="D1" s="154" t="s">
        <v>78</v>
      </c>
      <c r="E1" s="155"/>
      <c r="F1" s="155"/>
      <c r="G1" s="155"/>
      <c r="H1" s="156"/>
      <c r="I1" s="98"/>
      <c r="J1" s="88"/>
      <c r="K1" s="100"/>
      <c r="L1" s="100"/>
      <c r="M1" s="100"/>
      <c r="N1" s="100" t="s">
        <v>79</v>
      </c>
      <c r="O1" s="100"/>
      <c r="P1" s="100"/>
      <c r="Q1" s="100"/>
      <c r="R1" s="100"/>
      <c r="S1" s="100"/>
      <c r="T1" s="100"/>
      <c r="U1" s="100"/>
      <c r="V1" s="100"/>
      <c r="W1" s="100"/>
      <c r="X1" s="106"/>
      <c r="Y1" s="108"/>
    </row>
    <row r="2" spans="1:25" customFormat="1" ht="31.5" customHeight="1">
      <c r="A2" s="157" t="s">
        <v>80</v>
      </c>
      <c r="B2" s="157"/>
      <c r="C2" s="158"/>
      <c r="D2" s="217" t="str">
        <f>_xlfn.CONCAT("Study Name: ","
OSEP – Speech Impairment - Digital")</f>
        <v>Study Name: 
OSEP – Speech Impairment - Digital</v>
      </c>
      <c r="E2" s="218"/>
      <c r="F2" s="218"/>
      <c r="G2" s="218"/>
      <c r="H2" s="219"/>
      <c r="I2" s="4"/>
      <c r="J2" s="4"/>
      <c r="K2" s="162" t="s">
        <v>81</v>
      </c>
      <c r="L2" s="163"/>
      <c r="M2" s="163"/>
      <c r="N2" s="163"/>
      <c r="O2" s="163"/>
      <c r="P2" s="163"/>
      <c r="Q2" s="163"/>
      <c r="R2" s="163"/>
      <c r="S2" s="163"/>
      <c r="T2" s="163"/>
      <c r="U2" s="163"/>
      <c r="V2" s="163"/>
      <c r="W2" s="163"/>
      <c r="X2" s="164"/>
      <c r="Y2" s="103"/>
    </row>
    <row r="3" spans="1:25" customFormat="1" ht="30.75" customHeight="1" thickBot="1">
      <c r="A3" s="2"/>
      <c r="B3" s="2"/>
      <c r="C3" s="2"/>
      <c r="D3" s="169" t="str">
        <f>_xlfn.CONCAT("Study Acronym: ","
OSEP_SI_D")</f>
        <v>Study Acronym: 
OSEP_SI_D</v>
      </c>
      <c r="E3" s="170"/>
      <c r="F3" s="171" t="s">
        <v>276</v>
      </c>
      <c r="G3" s="172"/>
      <c r="H3" s="173"/>
      <c r="I3" s="4"/>
      <c r="J3" s="4"/>
      <c r="K3" s="165"/>
      <c r="L3" s="163"/>
      <c r="M3" s="163"/>
      <c r="N3" s="163"/>
      <c r="O3" s="163"/>
      <c r="P3" s="163"/>
      <c r="Q3" s="163"/>
      <c r="R3" s="163"/>
      <c r="S3" s="163"/>
      <c r="T3" s="163"/>
      <c r="U3" s="163"/>
      <c r="V3" s="163"/>
      <c r="W3" s="163"/>
      <c r="X3" s="164"/>
      <c r="Y3" s="103"/>
    </row>
    <row r="4" spans="1:25" customFormat="1" ht="16.5" customHeight="1">
      <c r="A4" s="2"/>
      <c r="B4" s="24"/>
      <c r="C4" s="2"/>
      <c r="D4" s="2"/>
      <c r="E4" s="25"/>
      <c r="F4" s="25"/>
      <c r="G4" s="25"/>
      <c r="H4" s="25"/>
      <c r="I4" s="25"/>
      <c r="J4" s="25"/>
      <c r="K4" s="165"/>
      <c r="L4" s="163"/>
      <c r="M4" s="163"/>
      <c r="N4" s="163"/>
      <c r="O4" s="163"/>
      <c r="P4" s="163"/>
      <c r="Q4" s="163"/>
      <c r="R4" s="163"/>
      <c r="S4" s="163"/>
      <c r="T4" s="163"/>
      <c r="U4" s="163"/>
      <c r="V4" s="163"/>
      <c r="W4" s="163"/>
      <c r="X4" s="164"/>
      <c r="Y4" s="104"/>
    </row>
    <row r="5" spans="1:25" customFormat="1" ht="21.95" customHeight="1" thickBot="1">
      <c r="A5" s="2"/>
      <c r="B5" s="2"/>
      <c r="C5" s="102"/>
      <c r="D5" s="154" t="s">
        <v>82</v>
      </c>
      <c r="E5" s="155"/>
      <c r="F5" s="155"/>
      <c r="G5" s="155"/>
      <c r="H5" s="101"/>
      <c r="I5" s="98"/>
      <c r="J5" s="98"/>
      <c r="K5" s="165"/>
      <c r="L5" s="163"/>
      <c r="M5" s="163"/>
      <c r="N5" s="163"/>
      <c r="O5" s="163"/>
      <c r="P5" s="163"/>
      <c r="Q5" s="163"/>
      <c r="R5" s="163"/>
      <c r="S5" s="163"/>
      <c r="T5" s="163"/>
      <c r="U5" s="163"/>
      <c r="V5" s="163"/>
      <c r="W5" s="163"/>
      <c r="X5" s="164"/>
      <c r="Y5" s="105"/>
    </row>
    <row r="6" spans="1:25" customFormat="1" ht="60.95" customHeight="1" thickBot="1">
      <c r="A6" s="2"/>
      <c r="B6" s="2"/>
      <c r="C6" s="99"/>
      <c r="D6" s="214" t="s">
        <v>101</v>
      </c>
      <c r="E6" s="215"/>
      <c r="F6" s="215"/>
      <c r="G6" s="215"/>
      <c r="H6" s="216"/>
      <c r="I6" s="124"/>
      <c r="J6" s="125"/>
      <c r="K6" s="166"/>
      <c r="L6" s="167"/>
      <c r="M6" s="167"/>
      <c r="N6" s="167"/>
      <c r="O6" s="167"/>
      <c r="P6" s="167"/>
      <c r="Q6" s="167"/>
      <c r="R6" s="167"/>
      <c r="S6" s="167"/>
      <c r="T6" s="167"/>
      <c r="U6" s="167"/>
      <c r="V6" s="167"/>
      <c r="W6" s="167"/>
      <c r="X6" s="168"/>
      <c r="Y6" s="107"/>
    </row>
    <row r="7" spans="1:25" customFormat="1" ht="16.5" customHeight="1" thickBot="1">
      <c r="A7" s="2"/>
      <c r="B7" s="3"/>
      <c r="C7" s="26"/>
      <c r="D7" s="27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8"/>
      <c r="W7" s="3"/>
      <c r="X7" s="3"/>
      <c r="Y7" s="2"/>
    </row>
    <row r="8" spans="1:25" customFormat="1">
      <c r="A8" s="2"/>
      <c r="B8" s="177" t="str">
        <f>_xlfn.CONCAT("Last Refreshed at: ",aurora_data!V1632)</f>
        <v>Last Refreshed at: 09/17/2026 @ 7:20 AM</v>
      </c>
      <c r="C8" s="178"/>
      <c r="D8" s="178"/>
      <c r="E8" s="179" t="s">
        <v>83</v>
      </c>
      <c r="F8" s="180"/>
      <c r="G8" s="180"/>
      <c r="H8" s="180"/>
      <c r="I8" s="180"/>
      <c r="J8" s="180"/>
      <c r="K8" s="180"/>
      <c r="L8" s="180"/>
      <c r="M8" s="180"/>
      <c r="N8" s="180"/>
      <c r="O8" s="180"/>
      <c r="P8" s="180"/>
      <c r="Q8" s="180"/>
      <c r="R8" s="180"/>
      <c r="S8" s="180"/>
      <c r="T8" s="180"/>
      <c r="U8" s="181"/>
      <c r="V8" s="44"/>
      <c r="W8" s="182" t="s">
        <v>84</v>
      </c>
      <c r="X8" s="183"/>
      <c r="Y8" s="2"/>
    </row>
    <row r="9" spans="1:25" customFormat="1" ht="16.5" customHeight="1" thickBot="1">
      <c r="A9" s="2"/>
      <c r="B9" s="188"/>
      <c r="C9" s="189"/>
      <c r="D9" s="29" t="s">
        <v>85</v>
      </c>
      <c r="E9" s="190" t="s">
        <v>86</v>
      </c>
      <c r="F9" s="191"/>
      <c r="G9" s="191"/>
      <c r="H9" s="191"/>
      <c r="I9" s="191"/>
      <c r="J9" s="192" t="s">
        <v>86</v>
      </c>
      <c r="K9" s="193"/>
      <c r="L9" s="193"/>
      <c r="M9" s="193"/>
      <c r="N9" s="193"/>
      <c r="O9" s="194" t="s">
        <v>86</v>
      </c>
      <c r="P9" s="195"/>
      <c r="Q9" s="195"/>
      <c r="R9" s="195"/>
      <c r="S9" s="196" t="s">
        <v>86</v>
      </c>
      <c r="T9" s="197"/>
      <c r="U9" s="197"/>
      <c r="V9" s="28"/>
      <c r="W9" s="184"/>
      <c r="X9" s="185"/>
      <c r="Y9" s="2"/>
    </row>
    <row r="10" spans="1:25" customFormat="1" ht="17.25" thickTop="1" thickBot="1">
      <c r="A10" s="2"/>
      <c r="B10" s="198" t="s">
        <v>87</v>
      </c>
      <c r="C10" s="30"/>
      <c r="D10" s="31"/>
      <c r="E10" s="199" t="s">
        <v>88</v>
      </c>
      <c r="F10" s="200"/>
      <c r="G10" s="200"/>
      <c r="H10" s="200"/>
      <c r="I10" s="201"/>
      <c r="J10" s="200" t="s">
        <v>89</v>
      </c>
      <c r="K10" s="200"/>
      <c r="L10" s="200"/>
      <c r="M10" s="200"/>
      <c r="N10" s="201"/>
      <c r="O10" s="202" t="s">
        <v>90</v>
      </c>
      <c r="P10" s="202"/>
      <c r="Q10" s="202"/>
      <c r="R10" s="202"/>
      <c r="S10" s="203" t="s">
        <v>91</v>
      </c>
      <c r="T10" s="204"/>
      <c r="U10" s="205"/>
      <c r="V10" s="32"/>
      <c r="W10" s="184"/>
      <c r="X10" s="185"/>
      <c r="Y10" s="2"/>
    </row>
    <row r="11" spans="1:25" customFormat="1" ht="17.25" thickTop="1" thickBot="1">
      <c r="A11" s="2"/>
      <c r="B11" s="198"/>
      <c r="C11" s="30" t="s">
        <v>35</v>
      </c>
      <c r="D11" s="33" t="s">
        <v>37</v>
      </c>
      <c r="E11" s="96">
        <v>1</v>
      </c>
      <c r="F11" s="94">
        <v>2</v>
      </c>
      <c r="G11" s="95" t="s">
        <v>40</v>
      </c>
      <c r="H11" s="95">
        <v>4</v>
      </c>
      <c r="I11" s="95">
        <v>5</v>
      </c>
      <c r="J11" s="89" t="s">
        <v>43</v>
      </c>
      <c r="K11" s="89" t="s">
        <v>44</v>
      </c>
      <c r="L11" s="89" t="s">
        <v>45</v>
      </c>
      <c r="M11" s="93" t="s">
        <v>92</v>
      </c>
      <c r="N11" s="93" t="s">
        <v>47</v>
      </c>
      <c r="O11" s="89" t="s">
        <v>48</v>
      </c>
      <c r="P11" s="89" t="s">
        <v>49</v>
      </c>
      <c r="Q11" s="89" t="s">
        <v>50</v>
      </c>
      <c r="R11" s="89" t="s">
        <v>51</v>
      </c>
      <c r="S11" s="90" t="s">
        <v>52</v>
      </c>
      <c r="T11" s="91" t="s">
        <v>53</v>
      </c>
      <c r="U11" s="92" t="s">
        <v>93</v>
      </c>
      <c r="V11" s="28"/>
      <c r="W11" s="186"/>
      <c r="X11" s="187"/>
      <c r="Y11" s="2"/>
    </row>
    <row r="12" spans="1:25" customFormat="1">
      <c r="A12" s="2"/>
      <c r="B12" s="210" t="s">
        <v>94</v>
      </c>
      <c r="C12" s="212" t="str">
        <f>aurora_data!A1632</f>
        <v>06.00.00-06.11.30</v>
      </c>
      <c r="D12" s="34" t="s">
        <v>71</v>
      </c>
      <c r="E12" s="39">
        <f>IFERROR(aurora_data!D1632,0)</f>
        <v>0</v>
      </c>
      <c r="F12" s="40">
        <f>IFERROR(aurora_data!E1632,0)</f>
        <v>0</v>
      </c>
      <c r="G12" s="40">
        <f>IFERROR(aurora_data!F1632,0)</f>
        <v>0</v>
      </c>
      <c r="H12" s="40">
        <f>IFERROR(aurora_data!G1632,0)</f>
        <v>0</v>
      </c>
      <c r="I12" s="41">
        <f>IFERROR(aurora_data!H1632,0)</f>
        <v>0</v>
      </c>
      <c r="J12" s="39">
        <f>IFERROR(aurora_data!I1632,0)</f>
        <v>0</v>
      </c>
      <c r="K12" s="40">
        <f>IFERROR(aurora_data!J1632,0)</f>
        <v>0</v>
      </c>
      <c r="L12" s="40">
        <f>IFERROR(aurora_data!K1632,0)</f>
        <v>0</v>
      </c>
      <c r="M12" s="40">
        <f>IFERROR(aurora_data!L1632,0)</f>
        <v>0</v>
      </c>
      <c r="N12" s="41">
        <f>IFERROR(aurora_data!M1632,0)</f>
        <v>0</v>
      </c>
      <c r="O12" s="39">
        <f>IFERROR(aurora_data!N1632,0)</f>
        <v>0</v>
      </c>
      <c r="P12" s="40">
        <f>IFERROR(aurora_data!O1632,0)</f>
        <v>0</v>
      </c>
      <c r="Q12" s="40">
        <f>IFERROR(aurora_data!P1632,0)</f>
        <v>0</v>
      </c>
      <c r="R12" s="41">
        <f>IFERROR(aurora_data!Q1632,0)</f>
        <v>0</v>
      </c>
      <c r="S12" s="40">
        <f>IFERROR(aurora_data!R1632,0)</f>
        <v>0</v>
      </c>
      <c r="T12" s="40">
        <f>IFERROR(aurora_data!S1632,0)</f>
        <v>0</v>
      </c>
      <c r="U12" s="76">
        <f>IFERROR(aurora_data!T1632,0)</f>
        <v>0</v>
      </c>
      <c r="V12" s="61" t="s">
        <v>95</v>
      </c>
      <c r="W12" s="39">
        <f>IFERROR(aurora_data!U1632,0)</f>
        <v>2</v>
      </c>
      <c r="X12" s="70">
        <f>IFERROR(W12/$W$12,0)</f>
        <v>1</v>
      </c>
      <c r="Y12" s="2"/>
    </row>
    <row r="13" spans="1:25" customFormat="1">
      <c r="A13" s="2"/>
      <c r="B13" s="211"/>
      <c r="C13" s="213"/>
      <c r="D13" s="35" t="s">
        <v>96</v>
      </c>
      <c r="E13" s="110">
        <f>IFERROR(aurora_data!D1633,0)</f>
        <v>0</v>
      </c>
      <c r="F13" s="62">
        <f>IFERROR(aurora_data!E1633,0)</f>
        <v>0</v>
      </c>
      <c r="G13" s="62">
        <f>IFERROR(aurora_data!F1633,0)</f>
        <v>0</v>
      </c>
      <c r="H13" s="62">
        <f>IFERROR(aurora_data!G1633,0)</f>
        <v>0</v>
      </c>
      <c r="I13" s="63">
        <f>IFERROR(aurora_data!H1633,0)</f>
        <v>0</v>
      </c>
      <c r="J13" s="36">
        <f>IFERROR(aurora_data!I1633,0)</f>
        <v>0</v>
      </c>
      <c r="K13" s="62">
        <f>IFERROR(aurora_data!J1633,0)</f>
        <v>0</v>
      </c>
      <c r="L13" s="62">
        <f>IFERROR(aurora_data!K1633,0)</f>
        <v>0</v>
      </c>
      <c r="M13" s="62">
        <f>IFERROR(aurora_data!L1633,0)</f>
        <v>0</v>
      </c>
      <c r="N13" s="63">
        <f>IFERROR(aurora_data!M1633,0)</f>
        <v>0</v>
      </c>
      <c r="O13" s="36">
        <f>IFERROR(aurora_data!N1633,0)</f>
        <v>0</v>
      </c>
      <c r="P13" s="62">
        <f>IFERROR(aurora_data!O1633,0)</f>
        <v>0</v>
      </c>
      <c r="Q13" s="62">
        <f>IFERROR(aurora_data!P1633,0)</f>
        <v>0</v>
      </c>
      <c r="R13" s="63">
        <f>IFERROR(aurora_data!Q1633,0)</f>
        <v>0</v>
      </c>
      <c r="S13" s="62">
        <f>IFERROR(aurora_data!R1633,0)</f>
        <v>0</v>
      </c>
      <c r="T13" s="62">
        <f>IFERROR(aurora_data!S1633,0)</f>
        <v>0</v>
      </c>
      <c r="U13" s="63">
        <f>IFERROR(aurora_data!T1633,0)</f>
        <v>0</v>
      </c>
      <c r="V13" s="64" t="s">
        <v>95</v>
      </c>
      <c r="W13" s="36">
        <f>IFERROR(aurora_data!U1633,0)</f>
        <v>0</v>
      </c>
      <c r="X13" s="71">
        <f t="shared" ref="X13:X19" si="0">IFERROR(W13/$W$12,0)</f>
        <v>0</v>
      </c>
      <c r="Y13" s="2"/>
    </row>
    <row r="14" spans="1:25" customFormat="1">
      <c r="A14" s="2"/>
      <c r="B14" s="211"/>
      <c r="C14" s="213"/>
      <c r="D14" s="35" t="s">
        <v>60</v>
      </c>
      <c r="E14" s="110">
        <f>IFERROR(aurora_data!D1634,0)</f>
        <v>0</v>
      </c>
      <c r="F14" s="62">
        <f>IFERROR(aurora_data!E1634,0)</f>
        <v>0</v>
      </c>
      <c r="G14" s="62">
        <f>IFERROR(aurora_data!F1634,0)</f>
        <v>0</v>
      </c>
      <c r="H14" s="62">
        <f>IFERROR(aurora_data!G1634,0)</f>
        <v>0</v>
      </c>
      <c r="I14" s="63">
        <f>IFERROR(aurora_data!H1634,0)</f>
        <v>0</v>
      </c>
      <c r="J14" s="36">
        <f>IFERROR(aurora_data!I1634,0)</f>
        <v>0</v>
      </c>
      <c r="K14" s="62">
        <f>IFERROR(aurora_data!J1634,0)</f>
        <v>0</v>
      </c>
      <c r="L14" s="62">
        <f>IFERROR(aurora_data!K1634,0)</f>
        <v>0</v>
      </c>
      <c r="M14" s="62">
        <f>IFERROR(aurora_data!L1634,0)</f>
        <v>0</v>
      </c>
      <c r="N14" s="63">
        <f>IFERROR(aurora_data!M1634,0)</f>
        <v>0</v>
      </c>
      <c r="O14" s="36">
        <f>IFERROR(aurora_data!N1634,0)</f>
        <v>0</v>
      </c>
      <c r="P14" s="62">
        <f>IFERROR(aurora_data!O1634,0)</f>
        <v>0</v>
      </c>
      <c r="Q14" s="62">
        <f>IFERROR(aurora_data!P1634,0)</f>
        <v>0</v>
      </c>
      <c r="R14" s="63">
        <f>IFERROR(aurora_data!Q1634,0)</f>
        <v>0</v>
      </c>
      <c r="S14" s="62">
        <f>IFERROR(aurora_data!R1634,0)</f>
        <v>0</v>
      </c>
      <c r="T14" s="62">
        <f>IFERROR(aurora_data!S1634,0)</f>
        <v>0</v>
      </c>
      <c r="U14" s="63">
        <f>IFERROR(aurora_data!T1634,0)</f>
        <v>0</v>
      </c>
      <c r="V14" s="64" t="s">
        <v>95</v>
      </c>
      <c r="W14" s="36">
        <f>IFERROR(aurora_data!U1634,0)</f>
        <v>0</v>
      </c>
      <c r="X14" s="71">
        <f t="shared" si="0"/>
        <v>0</v>
      </c>
      <c r="Y14" s="2"/>
    </row>
    <row r="15" spans="1:25" customFormat="1">
      <c r="A15" s="2"/>
      <c r="B15" s="211"/>
      <c r="C15" s="213"/>
      <c r="D15" s="35" t="s">
        <v>97</v>
      </c>
      <c r="E15" s="36">
        <f>IFERROR(aurora_data!D1635,0)</f>
        <v>0</v>
      </c>
      <c r="F15" s="62">
        <f>IFERROR(aurora_data!E1635,0)</f>
        <v>0</v>
      </c>
      <c r="G15" s="62">
        <f>IFERROR(aurora_data!F1635,0)</f>
        <v>0</v>
      </c>
      <c r="H15" s="62">
        <f>IFERROR(aurora_data!G1635,0)</f>
        <v>0</v>
      </c>
      <c r="I15" s="63">
        <f>IFERROR(aurora_data!H1635,0)</f>
        <v>0</v>
      </c>
      <c r="J15" s="36">
        <f>IFERROR(aurora_data!I1635,0)</f>
        <v>0</v>
      </c>
      <c r="K15" s="62">
        <f>IFERROR(aurora_data!J1635,0)</f>
        <v>0</v>
      </c>
      <c r="L15" s="62">
        <f>IFERROR(aurora_data!K1635,0)</f>
        <v>0</v>
      </c>
      <c r="M15" s="62">
        <f>IFERROR(aurora_data!L1635,0)</f>
        <v>0</v>
      </c>
      <c r="N15" s="63">
        <f>IFERROR(aurora_data!M1635,0)</f>
        <v>0</v>
      </c>
      <c r="O15" s="36">
        <f>IFERROR(aurora_data!N1635,0)</f>
        <v>0</v>
      </c>
      <c r="P15" s="62">
        <f>IFERROR(aurora_data!O1635,0)</f>
        <v>0</v>
      </c>
      <c r="Q15" s="62">
        <f>IFERROR(aurora_data!P1635,0)</f>
        <v>0</v>
      </c>
      <c r="R15" s="63">
        <f>IFERROR(aurora_data!Q1635,0)</f>
        <v>0</v>
      </c>
      <c r="S15" s="62">
        <f>IFERROR(aurora_data!R1635,0)</f>
        <v>0</v>
      </c>
      <c r="T15" s="62">
        <f>IFERROR(aurora_data!S1635,0)</f>
        <v>0</v>
      </c>
      <c r="U15" s="63">
        <f>IFERROR(aurora_data!T1635,0)</f>
        <v>0</v>
      </c>
      <c r="V15" s="64" t="s">
        <v>95</v>
      </c>
      <c r="W15" s="36">
        <f>IFERROR(aurora_data!U1635,0)</f>
        <v>0</v>
      </c>
      <c r="X15" s="71">
        <f t="shared" si="0"/>
        <v>0</v>
      </c>
      <c r="Y15" s="2"/>
    </row>
    <row r="16" spans="1:25" customFormat="1">
      <c r="A16" s="2"/>
      <c r="B16" s="211"/>
      <c r="C16" s="213"/>
      <c r="D16" s="35" t="s">
        <v>98</v>
      </c>
      <c r="E16" s="36">
        <f>IFERROR(aurora_data!D1636,0)</f>
        <v>0</v>
      </c>
      <c r="F16" s="62">
        <f>IFERROR(aurora_data!E1636,0)</f>
        <v>0</v>
      </c>
      <c r="G16" s="62">
        <f>IFERROR(aurora_data!F1636,0)</f>
        <v>0</v>
      </c>
      <c r="H16" s="62">
        <f>IFERROR(aurora_data!G1636,0)</f>
        <v>0</v>
      </c>
      <c r="I16" s="63">
        <f>IFERROR(aurora_data!H1636,0)</f>
        <v>0</v>
      </c>
      <c r="J16" s="36">
        <f>IFERROR(aurora_data!I1636,0)</f>
        <v>0</v>
      </c>
      <c r="K16" s="62">
        <f>IFERROR(aurora_data!J1636,0)</f>
        <v>0</v>
      </c>
      <c r="L16" s="62">
        <f>IFERROR(aurora_data!K1636,0)</f>
        <v>0</v>
      </c>
      <c r="M16" s="62">
        <f>IFERROR(aurora_data!L1636,0)</f>
        <v>0</v>
      </c>
      <c r="N16" s="63">
        <f>IFERROR(aurora_data!M1636,0)</f>
        <v>0</v>
      </c>
      <c r="O16" s="36">
        <f>IFERROR(aurora_data!N1636,0)</f>
        <v>0</v>
      </c>
      <c r="P16" s="62">
        <f>IFERROR(aurora_data!O1636,0)</f>
        <v>0</v>
      </c>
      <c r="Q16" s="62">
        <f>IFERROR(aurora_data!P1636,0)</f>
        <v>0</v>
      </c>
      <c r="R16" s="63">
        <f>IFERROR(aurora_data!Q1636,0)</f>
        <v>0</v>
      </c>
      <c r="S16" s="62">
        <f>IFERROR(aurora_data!R1636,0)</f>
        <v>0</v>
      </c>
      <c r="T16" s="62">
        <f>IFERROR(aurora_data!S1636,0)</f>
        <v>0</v>
      </c>
      <c r="U16" s="63">
        <f>IFERROR(aurora_data!T1636,0)</f>
        <v>0</v>
      </c>
      <c r="V16" s="64" t="s">
        <v>95</v>
      </c>
      <c r="W16" s="36">
        <f>IFERROR(aurora_data!U1636,0)</f>
        <v>0</v>
      </c>
      <c r="X16" s="71">
        <f t="shared" si="0"/>
        <v>0</v>
      </c>
      <c r="Y16" s="2"/>
    </row>
    <row r="17" spans="1:25" customFormat="1" ht="16.5" thickBot="1">
      <c r="A17" s="2"/>
      <c r="B17" s="211"/>
      <c r="C17" s="213"/>
      <c r="D17" s="35" t="s">
        <v>99</v>
      </c>
      <c r="E17" s="36">
        <f>IFERROR(aurora_data!D1637,0)</f>
        <v>0</v>
      </c>
      <c r="F17" s="62">
        <f>IFERROR(aurora_data!E1637,0)</f>
        <v>0</v>
      </c>
      <c r="G17" s="62">
        <f>IFERROR(aurora_data!F1637,0)</f>
        <v>0</v>
      </c>
      <c r="H17" s="62">
        <f>IFERROR(aurora_data!G1637,0)</f>
        <v>0</v>
      </c>
      <c r="I17" s="63">
        <f>IFERROR(aurora_data!H1637,0)</f>
        <v>0</v>
      </c>
      <c r="J17" s="36">
        <f>IFERROR(aurora_data!I1637,0)</f>
        <v>0</v>
      </c>
      <c r="K17" s="62">
        <f>IFERROR(aurora_data!J1637,0)</f>
        <v>0</v>
      </c>
      <c r="L17" s="62">
        <f>IFERROR(aurora_data!K1637,0)</f>
        <v>0</v>
      </c>
      <c r="M17" s="62">
        <f>IFERROR(aurora_data!L1637,0)</f>
        <v>0</v>
      </c>
      <c r="N17" s="63">
        <f>IFERROR(aurora_data!M1637,0)</f>
        <v>0</v>
      </c>
      <c r="O17" s="36">
        <f>IFERROR(aurora_data!N1637,0)</f>
        <v>0</v>
      </c>
      <c r="P17" s="62">
        <f>IFERROR(aurora_data!O1637,0)</f>
        <v>0</v>
      </c>
      <c r="Q17" s="62">
        <f>IFERROR(aurora_data!P1637,0)</f>
        <v>0</v>
      </c>
      <c r="R17" s="63">
        <f>IFERROR(aurora_data!Q1637,0)</f>
        <v>0</v>
      </c>
      <c r="S17" s="62">
        <f>IFERROR(aurora_data!R1637,0)</f>
        <v>0</v>
      </c>
      <c r="T17" s="62">
        <f>IFERROR(aurora_data!S1637,0)</f>
        <v>0</v>
      </c>
      <c r="U17" s="63">
        <f>IFERROR(aurora_data!T1637,0)</f>
        <v>0</v>
      </c>
      <c r="V17" s="64" t="s">
        <v>95</v>
      </c>
      <c r="W17" s="36">
        <f>IFERROR(aurora_data!U1637,0)</f>
        <v>0</v>
      </c>
      <c r="X17" s="71">
        <f t="shared" si="0"/>
        <v>0</v>
      </c>
      <c r="Y17" s="2"/>
    </row>
    <row r="18" spans="1:25" customFormat="1" ht="16.5" thickBot="1">
      <c r="A18" s="2"/>
      <c r="B18" s="211"/>
      <c r="C18" s="213"/>
      <c r="D18" s="37" t="s">
        <v>64</v>
      </c>
      <c r="E18" s="59">
        <f>IFERROR(aurora_data!D1638,0)</f>
        <v>0</v>
      </c>
      <c r="F18" s="65">
        <f>IFERROR(aurora_data!E1638,0)</f>
        <v>0</v>
      </c>
      <c r="G18" s="65">
        <f>IFERROR(aurora_data!F1638,0)</f>
        <v>0</v>
      </c>
      <c r="H18" s="65">
        <f>IFERROR(aurora_data!G1638,0)</f>
        <v>0</v>
      </c>
      <c r="I18" s="66">
        <f>IFERROR(aurora_data!H1638,0)</f>
        <v>0</v>
      </c>
      <c r="J18" s="59">
        <f>IFERROR(aurora_data!I1638,0)</f>
        <v>0</v>
      </c>
      <c r="K18" s="65">
        <f>IFERROR(aurora_data!J1638,0)</f>
        <v>0</v>
      </c>
      <c r="L18" s="65">
        <f>IFERROR(aurora_data!K1638,0)</f>
        <v>0</v>
      </c>
      <c r="M18" s="65">
        <f>IFERROR(aurora_data!L1638,0)</f>
        <v>0</v>
      </c>
      <c r="N18" s="66">
        <f>IFERROR(aurora_data!M1638,0)</f>
        <v>0</v>
      </c>
      <c r="O18" s="59">
        <f>IFERROR(aurora_data!N1638,0)</f>
        <v>0</v>
      </c>
      <c r="P18" s="65">
        <f>IFERROR(aurora_data!O1638,0)</f>
        <v>0</v>
      </c>
      <c r="Q18" s="65">
        <f>IFERROR(aurora_data!P1638,0)</f>
        <v>0</v>
      </c>
      <c r="R18" s="66">
        <f>IFERROR(aurora_data!Q1638,0)</f>
        <v>0</v>
      </c>
      <c r="S18" s="65">
        <f>IFERROR(aurora_data!R1638,0)</f>
        <v>0</v>
      </c>
      <c r="T18" s="65">
        <f>IFERROR(aurora_data!S1638,0)</f>
        <v>0</v>
      </c>
      <c r="U18" s="66">
        <f>IFERROR(aurora_data!T1638,0)</f>
        <v>0</v>
      </c>
      <c r="V18" s="67" t="s">
        <v>95</v>
      </c>
      <c r="W18" s="59">
        <f>IFERROR(aurora_data!U1638,0)</f>
        <v>0</v>
      </c>
      <c r="X18" s="72">
        <f t="shared" si="0"/>
        <v>0</v>
      </c>
      <c r="Y18" s="2"/>
    </row>
    <row r="19" spans="1:25" customFormat="1" ht="16.5" thickBot="1">
      <c r="A19" s="2"/>
      <c r="B19" s="211"/>
      <c r="C19" s="213"/>
      <c r="D19" s="38" t="s">
        <v>100</v>
      </c>
      <c r="E19" s="60">
        <f>IFERROR(aurora_data!D1639,0)</f>
        <v>0</v>
      </c>
      <c r="F19" s="68">
        <f>IFERROR(aurora_data!E1639,0)</f>
        <v>0</v>
      </c>
      <c r="G19" s="68">
        <f>IFERROR(aurora_data!F1639,0)</f>
        <v>0</v>
      </c>
      <c r="H19" s="68">
        <f>IFERROR(aurora_data!G1639,0)</f>
        <v>0</v>
      </c>
      <c r="I19" s="69">
        <f>IFERROR(aurora_data!H1639,0)</f>
        <v>0</v>
      </c>
      <c r="J19" s="60">
        <f>IFERROR(aurora_data!I1639,0)</f>
        <v>0</v>
      </c>
      <c r="K19" s="68">
        <f>IFERROR(aurora_data!J1639,0)</f>
        <v>0</v>
      </c>
      <c r="L19" s="68">
        <f>IFERROR(aurora_data!K1639,0)</f>
        <v>0</v>
      </c>
      <c r="M19" s="68">
        <f>IFERROR(aurora_data!L1639,0)</f>
        <v>0</v>
      </c>
      <c r="N19" s="69">
        <f>IFERROR(aurora_data!M1639,0)</f>
        <v>0</v>
      </c>
      <c r="O19" s="60">
        <f>IFERROR(aurora_data!N1639,0)</f>
        <v>0</v>
      </c>
      <c r="P19" s="68">
        <f>IFERROR(aurora_data!O1639,0)</f>
        <v>0</v>
      </c>
      <c r="Q19" s="68">
        <f>IFERROR(aurora_data!P1639,0)</f>
        <v>0</v>
      </c>
      <c r="R19" s="69">
        <f>IFERROR(aurora_data!Q1639,0)</f>
        <v>0</v>
      </c>
      <c r="S19" s="68">
        <f>IFERROR(aurora_data!R1639,0)</f>
        <v>0</v>
      </c>
      <c r="T19" s="68">
        <f>IFERROR(aurora_data!S1639,0)</f>
        <v>0</v>
      </c>
      <c r="U19" s="74">
        <f>IFERROR(aurora_data!T1639,0)</f>
        <v>0</v>
      </c>
      <c r="V19" s="75" t="s">
        <v>95</v>
      </c>
      <c r="W19" s="60">
        <f>IFERROR(aurora_data!U1639,0)</f>
        <v>0</v>
      </c>
      <c r="X19" s="73">
        <f t="shared" si="0"/>
        <v>0</v>
      </c>
      <c r="Y19" s="2"/>
    </row>
    <row r="20" spans="1:25" customFormat="1">
      <c r="A20" s="2"/>
      <c r="B20" s="210" t="s">
        <v>94</v>
      </c>
      <c r="C20" s="212" t="str">
        <f>aurora_data!A1640</f>
        <v>07.00.00-07.11.30</v>
      </c>
      <c r="D20" s="34" t="s">
        <v>71</v>
      </c>
      <c r="E20" s="39">
        <f>IFERROR(aurora_data!D1640,0)</f>
        <v>0</v>
      </c>
      <c r="F20" s="40">
        <f>IFERROR(aurora_data!E1640,0)</f>
        <v>0</v>
      </c>
      <c r="G20" s="40">
        <f>IFERROR(aurora_data!F1640,0)</f>
        <v>0</v>
      </c>
      <c r="H20" s="40">
        <f>IFERROR(aurora_data!G1640,0)</f>
        <v>0</v>
      </c>
      <c r="I20" s="41">
        <f>IFERROR(aurora_data!H1640,0)</f>
        <v>0</v>
      </c>
      <c r="J20" s="39">
        <f>IFERROR(aurora_data!I1640,0)</f>
        <v>0</v>
      </c>
      <c r="K20" s="40">
        <f>IFERROR(aurora_data!J1640,0)</f>
        <v>0</v>
      </c>
      <c r="L20" s="40">
        <f>IFERROR(aurora_data!K1640,0)</f>
        <v>0</v>
      </c>
      <c r="M20" s="40">
        <f>IFERROR(aurora_data!L1640,0)</f>
        <v>0</v>
      </c>
      <c r="N20" s="41">
        <f>IFERROR(aurora_data!M1640,0)</f>
        <v>0</v>
      </c>
      <c r="O20" s="39">
        <f>IFERROR(aurora_data!N1640,0)</f>
        <v>0</v>
      </c>
      <c r="P20" s="40">
        <f>IFERROR(aurora_data!O1640,0)</f>
        <v>0</v>
      </c>
      <c r="Q20" s="40">
        <f>IFERROR(aurora_data!P1640,0)</f>
        <v>0</v>
      </c>
      <c r="R20" s="41">
        <f>IFERROR(aurora_data!Q1640,0)</f>
        <v>0</v>
      </c>
      <c r="S20" s="40">
        <f>IFERROR(aurora_data!R1640,0)</f>
        <v>0</v>
      </c>
      <c r="T20" s="40">
        <f>IFERROR(aurora_data!S1640,0)</f>
        <v>0</v>
      </c>
      <c r="U20" s="76">
        <f>IFERROR(aurora_data!T1640,0)</f>
        <v>0</v>
      </c>
      <c r="V20" s="61" t="s">
        <v>95</v>
      </c>
      <c r="W20" s="39">
        <f>IFERROR(aurora_data!U1640,0)</f>
        <v>2</v>
      </c>
      <c r="X20" s="70">
        <f>IFERROR(W20/$W$12,0)</f>
        <v>1</v>
      </c>
      <c r="Y20" s="2"/>
    </row>
    <row r="21" spans="1:25" customFormat="1">
      <c r="A21" s="2"/>
      <c r="B21" s="211"/>
      <c r="C21" s="213"/>
      <c r="D21" s="35" t="s">
        <v>96</v>
      </c>
      <c r="E21" s="110">
        <f>IFERROR(aurora_data!D1641,0)</f>
        <v>0</v>
      </c>
      <c r="F21" s="62">
        <f>IFERROR(aurora_data!E1641,0)</f>
        <v>0</v>
      </c>
      <c r="G21" s="62">
        <f>IFERROR(aurora_data!F1641,0)</f>
        <v>0</v>
      </c>
      <c r="H21" s="62">
        <f>IFERROR(aurora_data!G1641,0)</f>
        <v>0</v>
      </c>
      <c r="I21" s="63">
        <f>IFERROR(aurora_data!H1641,0)</f>
        <v>0</v>
      </c>
      <c r="J21" s="36">
        <f>IFERROR(aurora_data!I1641,0)</f>
        <v>0</v>
      </c>
      <c r="K21" s="62">
        <f>IFERROR(aurora_data!J1641,0)</f>
        <v>0</v>
      </c>
      <c r="L21" s="62">
        <f>IFERROR(aurora_data!K1641,0)</f>
        <v>0</v>
      </c>
      <c r="M21" s="62">
        <f>IFERROR(aurora_data!L1641,0)</f>
        <v>0</v>
      </c>
      <c r="N21" s="63">
        <f>IFERROR(aurora_data!M1641,0)</f>
        <v>0</v>
      </c>
      <c r="O21" s="36">
        <f>IFERROR(aurora_data!N1641,0)</f>
        <v>0</v>
      </c>
      <c r="P21" s="62">
        <f>IFERROR(aurora_data!O1641,0)</f>
        <v>0</v>
      </c>
      <c r="Q21" s="62">
        <f>IFERROR(aurora_data!P1641,0)</f>
        <v>0</v>
      </c>
      <c r="R21" s="63">
        <f>IFERROR(aurora_data!Q1641,0)</f>
        <v>0</v>
      </c>
      <c r="S21" s="62">
        <f>IFERROR(aurora_data!R1641,0)</f>
        <v>0</v>
      </c>
      <c r="T21" s="62">
        <f>IFERROR(aurora_data!S1641,0)</f>
        <v>0</v>
      </c>
      <c r="U21" s="63">
        <f>IFERROR(aurora_data!T1641,0)</f>
        <v>0</v>
      </c>
      <c r="V21" s="64" t="s">
        <v>95</v>
      </c>
      <c r="W21" s="36">
        <f>IFERROR(aurora_data!U1641,0)</f>
        <v>0</v>
      </c>
      <c r="X21" s="71">
        <f t="shared" ref="X21:X27" si="1">IFERROR(W21/$W$12,0)</f>
        <v>0</v>
      </c>
      <c r="Y21" s="2"/>
    </row>
    <row r="22" spans="1:25" customFormat="1">
      <c r="A22" s="2"/>
      <c r="B22" s="211"/>
      <c r="C22" s="213"/>
      <c r="D22" s="35" t="s">
        <v>60</v>
      </c>
      <c r="E22" s="110">
        <f>IFERROR(aurora_data!D1642,0)</f>
        <v>0</v>
      </c>
      <c r="F22" s="62">
        <f>IFERROR(aurora_data!E1642,0)</f>
        <v>0</v>
      </c>
      <c r="G22" s="62">
        <f>IFERROR(aurora_data!F1642,0)</f>
        <v>0</v>
      </c>
      <c r="H22" s="62">
        <f>IFERROR(aurora_data!G1642,0)</f>
        <v>0</v>
      </c>
      <c r="I22" s="63">
        <f>IFERROR(aurora_data!H1642,0)</f>
        <v>0</v>
      </c>
      <c r="J22" s="36">
        <f>IFERROR(aurora_data!I1642,0)</f>
        <v>0</v>
      </c>
      <c r="K22" s="62">
        <f>IFERROR(aurora_data!J1642,0)</f>
        <v>0</v>
      </c>
      <c r="L22" s="62">
        <f>IFERROR(aurora_data!K1642,0)</f>
        <v>0</v>
      </c>
      <c r="M22" s="62">
        <f>IFERROR(aurora_data!L1642,0)</f>
        <v>0</v>
      </c>
      <c r="N22" s="63">
        <f>IFERROR(aurora_data!M1642,0)</f>
        <v>0</v>
      </c>
      <c r="O22" s="36">
        <f>IFERROR(aurora_data!N1642,0)</f>
        <v>0</v>
      </c>
      <c r="P22" s="62">
        <f>IFERROR(aurora_data!O1642,0)</f>
        <v>0</v>
      </c>
      <c r="Q22" s="62">
        <f>IFERROR(aurora_data!P1642,0)</f>
        <v>0</v>
      </c>
      <c r="R22" s="63">
        <f>IFERROR(aurora_data!Q1642,0)</f>
        <v>0</v>
      </c>
      <c r="S22" s="62">
        <f>IFERROR(aurora_data!R1642,0)</f>
        <v>0</v>
      </c>
      <c r="T22" s="62">
        <f>IFERROR(aurora_data!S1642,0)</f>
        <v>0</v>
      </c>
      <c r="U22" s="63">
        <f>IFERROR(aurora_data!T1642,0)</f>
        <v>0</v>
      </c>
      <c r="V22" s="64" t="s">
        <v>95</v>
      </c>
      <c r="W22" s="36">
        <f>IFERROR(aurora_data!U1642,0)</f>
        <v>0</v>
      </c>
      <c r="X22" s="71">
        <f t="shared" si="1"/>
        <v>0</v>
      </c>
      <c r="Y22" s="2"/>
    </row>
    <row r="23" spans="1:25" customFormat="1">
      <c r="A23" s="2"/>
      <c r="B23" s="211"/>
      <c r="C23" s="213"/>
      <c r="D23" s="35" t="s">
        <v>97</v>
      </c>
      <c r="E23" s="36">
        <f>IFERROR(aurora_data!D1643,0)</f>
        <v>0</v>
      </c>
      <c r="F23" s="62">
        <f>IFERROR(aurora_data!E1643,0)</f>
        <v>0</v>
      </c>
      <c r="G23" s="62">
        <f>IFERROR(aurora_data!F1643,0)</f>
        <v>0</v>
      </c>
      <c r="H23" s="62">
        <f>IFERROR(aurora_data!G1643,0)</f>
        <v>0</v>
      </c>
      <c r="I23" s="63">
        <f>IFERROR(aurora_data!H1643,0)</f>
        <v>0</v>
      </c>
      <c r="J23" s="36">
        <f>IFERROR(aurora_data!I1643,0)</f>
        <v>0</v>
      </c>
      <c r="K23" s="62">
        <f>IFERROR(aurora_data!J1643,0)</f>
        <v>0</v>
      </c>
      <c r="L23" s="62">
        <f>IFERROR(aurora_data!K1643,0)</f>
        <v>0</v>
      </c>
      <c r="M23" s="62">
        <f>IFERROR(aurora_data!L1643,0)</f>
        <v>0</v>
      </c>
      <c r="N23" s="63">
        <f>IFERROR(aurora_data!M1643,0)</f>
        <v>0</v>
      </c>
      <c r="O23" s="36">
        <f>IFERROR(aurora_data!N1643,0)</f>
        <v>0</v>
      </c>
      <c r="P23" s="62">
        <f>IFERROR(aurora_data!O1643,0)</f>
        <v>0</v>
      </c>
      <c r="Q23" s="62">
        <f>IFERROR(aurora_data!P1643,0)</f>
        <v>0</v>
      </c>
      <c r="R23" s="63">
        <f>IFERROR(aurora_data!Q1643,0)</f>
        <v>0</v>
      </c>
      <c r="S23" s="62">
        <f>IFERROR(aurora_data!R1643,0)</f>
        <v>0</v>
      </c>
      <c r="T23" s="62">
        <f>IFERROR(aurora_data!S1643,0)</f>
        <v>0</v>
      </c>
      <c r="U23" s="63">
        <f>IFERROR(aurora_data!T1643,0)</f>
        <v>0</v>
      </c>
      <c r="V23" s="64" t="s">
        <v>95</v>
      </c>
      <c r="W23" s="36">
        <f>IFERROR(aurora_data!U1643,0)</f>
        <v>0</v>
      </c>
      <c r="X23" s="71">
        <f t="shared" si="1"/>
        <v>0</v>
      </c>
      <c r="Y23" s="2"/>
    </row>
    <row r="24" spans="1:25" customFormat="1">
      <c r="A24" s="2"/>
      <c r="B24" s="211"/>
      <c r="C24" s="213"/>
      <c r="D24" s="35" t="s">
        <v>98</v>
      </c>
      <c r="E24" s="36">
        <f>IFERROR(aurora_data!D1644,0)</f>
        <v>0</v>
      </c>
      <c r="F24" s="62">
        <f>IFERROR(aurora_data!E1644,0)</f>
        <v>0</v>
      </c>
      <c r="G24" s="62">
        <f>IFERROR(aurora_data!F1644,0)</f>
        <v>0</v>
      </c>
      <c r="H24" s="62">
        <f>IFERROR(aurora_data!G1644,0)</f>
        <v>0</v>
      </c>
      <c r="I24" s="63">
        <f>IFERROR(aurora_data!H1644,0)</f>
        <v>0</v>
      </c>
      <c r="J24" s="36">
        <f>IFERROR(aurora_data!I1644,0)</f>
        <v>0</v>
      </c>
      <c r="K24" s="62">
        <f>IFERROR(aurora_data!J1644,0)</f>
        <v>0</v>
      </c>
      <c r="L24" s="62">
        <f>IFERROR(aurora_data!K1644,0)</f>
        <v>0</v>
      </c>
      <c r="M24" s="62">
        <f>IFERROR(aurora_data!L1644,0)</f>
        <v>0</v>
      </c>
      <c r="N24" s="63">
        <f>IFERROR(aurora_data!M1644,0)</f>
        <v>0</v>
      </c>
      <c r="O24" s="36">
        <f>IFERROR(aurora_data!N1644,0)</f>
        <v>0</v>
      </c>
      <c r="P24" s="62">
        <f>IFERROR(aurora_data!O1644,0)</f>
        <v>0</v>
      </c>
      <c r="Q24" s="62">
        <f>IFERROR(aurora_data!P1644,0)</f>
        <v>0</v>
      </c>
      <c r="R24" s="63">
        <f>IFERROR(aurora_data!Q1644,0)</f>
        <v>0</v>
      </c>
      <c r="S24" s="62">
        <f>IFERROR(aurora_data!R1644,0)</f>
        <v>0</v>
      </c>
      <c r="T24" s="62">
        <f>IFERROR(aurora_data!S1644,0)</f>
        <v>0</v>
      </c>
      <c r="U24" s="63">
        <f>IFERROR(aurora_data!T1644,0)</f>
        <v>0</v>
      </c>
      <c r="V24" s="64" t="s">
        <v>95</v>
      </c>
      <c r="W24" s="36">
        <f>IFERROR(aurora_data!U1644,0)</f>
        <v>0</v>
      </c>
      <c r="X24" s="71">
        <f t="shared" si="1"/>
        <v>0</v>
      </c>
      <c r="Y24" s="2"/>
    </row>
    <row r="25" spans="1:25" customFormat="1" ht="16.5" thickBot="1">
      <c r="A25" s="2"/>
      <c r="B25" s="211"/>
      <c r="C25" s="213"/>
      <c r="D25" s="35" t="s">
        <v>99</v>
      </c>
      <c r="E25" s="36">
        <f>IFERROR(aurora_data!D1645,0)</f>
        <v>0</v>
      </c>
      <c r="F25" s="62">
        <f>IFERROR(aurora_data!E1645,0)</f>
        <v>0</v>
      </c>
      <c r="G25" s="62">
        <f>IFERROR(aurora_data!F1645,0)</f>
        <v>0</v>
      </c>
      <c r="H25" s="62">
        <f>IFERROR(aurora_data!G1645,0)</f>
        <v>0</v>
      </c>
      <c r="I25" s="63">
        <f>IFERROR(aurora_data!H1645,0)</f>
        <v>0</v>
      </c>
      <c r="J25" s="36">
        <f>IFERROR(aurora_data!I1645,0)</f>
        <v>0</v>
      </c>
      <c r="K25" s="62">
        <f>IFERROR(aurora_data!J1645,0)</f>
        <v>0</v>
      </c>
      <c r="L25" s="62">
        <f>IFERROR(aurora_data!K1645,0)</f>
        <v>0</v>
      </c>
      <c r="M25" s="62">
        <f>IFERROR(aurora_data!L1645,0)</f>
        <v>0</v>
      </c>
      <c r="N25" s="63">
        <f>IFERROR(aurora_data!M1645,0)</f>
        <v>0</v>
      </c>
      <c r="O25" s="36">
        <f>IFERROR(aurora_data!N1645,0)</f>
        <v>0</v>
      </c>
      <c r="P25" s="62">
        <f>IFERROR(aurora_data!O1645,0)</f>
        <v>0</v>
      </c>
      <c r="Q25" s="62">
        <f>IFERROR(aurora_data!P1645,0)</f>
        <v>0</v>
      </c>
      <c r="R25" s="63">
        <f>IFERROR(aurora_data!Q1645,0)</f>
        <v>0</v>
      </c>
      <c r="S25" s="62">
        <f>IFERROR(aurora_data!R1645,0)</f>
        <v>0</v>
      </c>
      <c r="T25" s="62">
        <f>IFERROR(aurora_data!S1645,0)</f>
        <v>0</v>
      </c>
      <c r="U25" s="63">
        <f>IFERROR(aurora_data!T1645,0)</f>
        <v>0</v>
      </c>
      <c r="V25" s="64" t="s">
        <v>95</v>
      </c>
      <c r="W25" s="36">
        <f>IFERROR(aurora_data!U1645,0)</f>
        <v>0</v>
      </c>
      <c r="X25" s="71">
        <f t="shared" si="1"/>
        <v>0</v>
      </c>
      <c r="Y25" s="2"/>
    </row>
    <row r="26" spans="1:25" customFormat="1" ht="16.5" thickBot="1">
      <c r="A26" s="2"/>
      <c r="B26" s="211"/>
      <c r="C26" s="213"/>
      <c r="D26" s="37" t="s">
        <v>64</v>
      </c>
      <c r="E26" s="59">
        <f>IFERROR(aurora_data!D1646,0)</f>
        <v>0</v>
      </c>
      <c r="F26" s="65">
        <f>IFERROR(aurora_data!E1646,0)</f>
        <v>0</v>
      </c>
      <c r="G26" s="65">
        <f>IFERROR(aurora_data!F1646,0)</f>
        <v>0</v>
      </c>
      <c r="H26" s="65">
        <f>IFERROR(aurora_data!G1646,0)</f>
        <v>0</v>
      </c>
      <c r="I26" s="66">
        <f>IFERROR(aurora_data!H1646,0)</f>
        <v>0</v>
      </c>
      <c r="J26" s="59">
        <f>IFERROR(aurora_data!I1646,0)</f>
        <v>0</v>
      </c>
      <c r="K26" s="65">
        <f>IFERROR(aurora_data!J1646,0)</f>
        <v>0</v>
      </c>
      <c r="L26" s="65">
        <f>IFERROR(aurora_data!K1646,0)</f>
        <v>0</v>
      </c>
      <c r="M26" s="65">
        <f>IFERROR(aurora_data!L1646,0)</f>
        <v>0</v>
      </c>
      <c r="N26" s="66">
        <f>IFERROR(aurora_data!M1646,0)</f>
        <v>0</v>
      </c>
      <c r="O26" s="59">
        <f>IFERROR(aurora_data!N1646,0)</f>
        <v>0</v>
      </c>
      <c r="P26" s="65">
        <f>IFERROR(aurora_data!O1646,0)</f>
        <v>0</v>
      </c>
      <c r="Q26" s="65">
        <f>IFERROR(aurora_data!P1646,0)</f>
        <v>0</v>
      </c>
      <c r="R26" s="66">
        <f>IFERROR(aurora_data!Q1646,0)</f>
        <v>0</v>
      </c>
      <c r="S26" s="65">
        <f>IFERROR(aurora_data!R1646,0)</f>
        <v>0</v>
      </c>
      <c r="T26" s="65">
        <f>IFERROR(aurora_data!S1646,0)</f>
        <v>0</v>
      </c>
      <c r="U26" s="66">
        <f>IFERROR(aurora_data!T1646,0)</f>
        <v>0</v>
      </c>
      <c r="V26" s="67" t="s">
        <v>95</v>
      </c>
      <c r="W26" s="59">
        <f>IFERROR(aurora_data!U1646,0)</f>
        <v>0</v>
      </c>
      <c r="X26" s="72">
        <f t="shared" si="1"/>
        <v>0</v>
      </c>
      <c r="Y26" s="2"/>
    </row>
    <row r="27" spans="1:25" customFormat="1" ht="16.5" thickBot="1">
      <c r="A27" s="2"/>
      <c r="B27" s="211"/>
      <c r="C27" s="213"/>
      <c r="D27" s="38" t="s">
        <v>100</v>
      </c>
      <c r="E27" s="60">
        <f>IFERROR(aurora_data!D1647,0)</f>
        <v>0</v>
      </c>
      <c r="F27" s="68">
        <f>IFERROR(aurora_data!E1647,0)</f>
        <v>0</v>
      </c>
      <c r="G27" s="68">
        <f>IFERROR(aurora_data!F1647,0)</f>
        <v>0</v>
      </c>
      <c r="H27" s="68">
        <f>IFERROR(aurora_data!G1647,0)</f>
        <v>0</v>
      </c>
      <c r="I27" s="69">
        <f>IFERROR(aurora_data!H1647,0)</f>
        <v>0</v>
      </c>
      <c r="J27" s="60">
        <f>IFERROR(aurora_data!I1647,0)</f>
        <v>0</v>
      </c>
      <c r="K27" s="68">
        <f>IFERROR(aurora_data!J1647,0)</f>
        <v>0</v>
      </c>
      <c r="L27" s="68">
        <f>IFERROR(aurora_data!K1647,0)</f>
        <v>0</v>
      </c>
      <c r="M27" s="68">
        <f>IFERROR(aurora_data!L1647,0)</f>
        <v>0</v>
      </c>
      <c r="N27" s="69">
        <f>IFERROR(aurora_data!M1647,0)</f>
        <v>0</v>
      </c>
      <c r="O27" s="60">
        <f>IFERROR(aurora_data!N1647,0)</f>
        <v>0</v>
      </c>
      <c r="P27" s="68">
        <f>IFERROR(aurora_data!O1647,0)</f>
        <v>0</v>
      </c>
      <c r="Q27" s="68">
        <f>IFERROR(aurora_data!P1647,0)</f>
        <v>0</v>
      </c>
      <c r="R27" s="69">
        <f>IFERROR(aurora_data!Q1647,0)</f>
        <v>0</v>
      </c>
      <c r="S27" s="68">
        <f>IFERROR(aurora_data!R1647,0)</f>
        <v>0</v>
      </c>
      <c r="T27" s="68">
        <f>IFERROR(aurora_data!S1647,0)</f>
        <v>0</v>
      </c>
      <c r="U27" s="74">
        <f>IFERROR(aurora_data!T1647,0)</f>
        <v>0</v>
      </c>
      <c r="V27" s="75" t="s">
        <v>95</v>
      </c>
      <c r="W27" s="60">
        <f>IFERROR(aurora_data!U1647,0)</f>
        <v>0</v>
      </c>
      <c r="X27" s="73">
        <f t="shared" si="1"/>
        <v>0</v>
      </c>
      <c r="Y27" s="2"/>
    </row>
    <row r="28" spans="1:25" customFormat="1">
      <c r="A28" s="2"/>
      <c r="B28" s="210" t="s">
        <v>94</v>
      </c>
      <c r="C28" s="212" t="str">
        <f>aurora_data!A1648</f>
        <v>08.00.00-08.11.30</v>
      </c>
      <c r="D28" s="34" t="s">
        <v>71</v>
      </c>
      <c r="E28" s="39">
        <f>IFERROR(aurora_data!D1648,0)</f>
        <v>0</v>
      </c>
      <c r="F28" s="40">
        <f>IFERROR(aurora_data!E1648,0)</f>
        <v>0</v>
      </c>
      <c r="G28" s="40">
        <f>IFERROR(aurora_data!F1648,0)</f>
        <v>0</v>
      </c>
      <c r="H28" s="40">
        <f>IFERROR(aurora_data!G1648,0)</f>
        <v>0</v>
      </c>
      <c r="I28" s="41">
        <f>IFERROR(aurora_data!H1648,0)</f>
        <v>0</v>
      </c>
      <c r="J28" s="39">
        <f>IFERROR(aurora_data!I1648,0)</f>
        <v>0</v>
      </c>
      <c r="K28" s="40">
        <f>IFERROR(aurora_data!J1648,0)</f>
        <v>0</v>
      </c>
      <c r="L28" s="40">
        <f>IFERROR(aurora_data!K1648,0)</f>
        <v>0</v>
      </c>
      <c r="M28" s="40">
        <f>IFERROR(aurora_data!L1648,0)</f>
        <v>0</v>
      </c>
      <c r="N28" s="41">
        <f>IFERROR(aurora_data!M1648,0)</f>
        <v>0</v>
      </c>
      <c r="O28" s="39">
        <f>IFERROR(aurora_data!N1648,0)</f>
        <v>0</v>
      </c>
      <c r="P28" s="40">
        <f>IFERROR(aurora_data!O1648,0)</f>
        <v>0</v>
      </c>
      <c r="Q28" s="40">
        <f>IFERROR(aurora_data!P1648,0)</f>
        <v>0</v>
      </c>
      <c r="R28" s="41">
        <f>IFERROR(aurora_data!Q1648,0)</f>
        <v>0</v>
      </c>
      <c r="S28" s="40">
        <f>IFERROR(aurora_data!R1648,0)</f>
        <v>0</v>
      </c>
      <c r="T28" s="40">
        <f>IFERROR(aurora_data!S1648,0)</f>
        <v>0</v>
      </c>
      <c r="U28" s="76">
        <f>IFERROR(aurora_data!T1648,0)</f>
        <v>0</v>
      </c>
      <c r="V28" s="61" t="s">
        <v>95</v>
      </c>
      <c r="W28" s="39">
        <f>IFERROR(aurora_data!U1648,0)</f>
        <v>2</v>
      </c>
      <c r="X28" s="70">
        <f>IFERROR(W28/$W$12,0)</f>
        <v>1</v>
      </c>
      <c r="Y28" s="2"/>
    </row>
    <row r="29" spans="1:25" customFormat="1">
      <c r="A29" s="2"/>
      <c r="B29" s="211"/>
      <c r="C29" s="213"/>
      <c r="D29" s="35" t="s">
        <v>96</v>
      </c>
      <c r="E29" s="110">
        <f>IFERROR(aurora_data!D1649,0)</f>
        <v>0</v>
      </c>
      <c r="F29" s="62">
        <f>IFERROR(aurora_data!E1649,0)</f>
        <v>0</v>
      </c>
      <c r="G29" s="62">
        <f>IFERROR(aurora_data!F1649,0)</f>
        <v>0</v>
      </c>
      <c r="H29" s="62">
        <f>IFERROR(aurora_data!G1649,0)</f>
        <v>0</v>
      </c>
      <c r="I29" s="63">
        <f>IFERROR(aurora_data!H1649,0)</f>
        <v>0</v>
      </c>
      <c r="J29" s="36">
        <f>IFERROR(aurora_data!I1649,0)</f>
        <v>0</v>
      </c>
      <c r="K29" s="62">
        <f>IFERROR(aurora_data!J1649,0)</f>
        <v>0</v>
      </c>
      <c r="L29" s="62">
        <f>IFERROR(aurora_data!K1649,0)</f>
        <v>0</v>
      </c>
      <c r="M29" s="62">
        <f>IFERROR(aurora_data!L1649,0)</f>
        <v>0</v>
      </c>
      <c r="N29" s="63">
        <f>IFERROR(aurora_data!M1649,0)</f>
        <v>0</v>
      </c>
      <c r="O29" s="36">
        <f>IFERROR(aurora_data!N1649,0)</f>
        <v>0</v>
      </c>
      <c r="P29" s="62">
        <f>IFERROR(aurora_data!O1649,0)</f>
        <v>0</v>
      </c>
      <c r="Q29" s="62">
        <f>IFERROR(aurora_data!P1649,0)</f>
        <v>0</v>
      </c>
      <c r="R29" s="63">
        <f>IFERROR(aurora_data!Q1649,0)</f>
        <v>0</v>
      </c>
      <c r="S29" s="62">
        <f>IFERROR(aurora_data!R1649,0)</f>
        <v>0</v>
      </c>
      <c r="T29" s="62">
        <f>IFERROR(aurora_data!S1649,0)</f>
        <v>0</v>
      </c>
      <c r="U29" s="63">
        <f>IFERROR(aurora_data!T1649,0)</f>
        <v>0</v>
      </c>
      <c r="V29" s="64" t="s">
        <v>95</v>
      </c>
      <c r="W29" s="36">
        <f>IFERROR(aurora_data!U1649,0)</f>
        <v>0</v>
      </c>
      <c r="X29" s="71">
        <f t="shared" ref="X29:X35" si="2">IFERROR(W29/$W$12,0)</f>
        <v>0</v>
      </c>
      <c r="Y29" s="2"/>
    </row>
    <row r="30" spans="1:25" customFormat="1">
      <c r="A30" s="2"/>
      <c r="B30" s="211"/>
      <c r="C30" s="213"/>
      <c r="D30" s="35" t="s">
        <v>60</v>
      </c>
      <c r="E30" s="110">
        <f>IFERROR(aurora_data!D1650,0)</f>
        <v>0</v>
      </c>
      <c r="F30" s="62">
        <f>IFERROR(aurora_data!E1650,0)</f>
        <v>0</v>
      </c>
      <c r="G30" s="62">
        <f>IFERROR(aurora_data!F1650,0)</f>
        <v>0</v>
      </c>
      <c r="H30" s="62">
        <f>IFERROR(aurora_data!G1650,0)</f>
        <v>0</v>
      </c>
      <c r="I30" s="63">
        <f>IFERROR(aurora_data!H1650,0)</f>
        <v>0</v>
      </c>
      <c r="J30" s="36">
        <f>IFERROR(aurora_data!I1650,0)</f>
        <v>0</v>
      </c>
      <c r="K30" s="62">
        <f>IFERROR(aurora_data!J1650,0)</f>
        <v>0</v>
      </c>
      <c r="L30" s="62">
        <f>IFERROR(aurora_data!K1650,0)</f>
        <v>0</v>
      </c>
      <c r="M30" s="62">
        <f>IFERROR(aurora_data!L1650,0)</f>
        <v>0</v>
      </c>
      <c r="N30" s="63">
        <f>IFERROR(aurora_data!M1650,0)</f>
        <v>0</v>
      </c>
      <c r="O30" s="36">
        <f>IFERROR(aurora_data!N1650,0)</f>
        <v>0</v>
      </c>
      <c r="P30" s="62">
        <f>IFERROR(aurora_data!O1650,0)</f>
        <v>0</v>
      </c>
      <c r="Q30" s="62">
        <f>IFERROR(aurora_data!P1650,0)</f>
        <v>0</v>
      </c>
      <c r="R30" s="63">
        <f>IFERROR(aurora_data!Q1650,0)</f>
        <v>0</v>
      </c>
      <c r="S30" s="62">
        <f>IFERROR(aurora_data!R1650,0)</f>
        <v>0</v>
      </c>
      <c r="T30" s="62">
        <f>IFERROR(aurora_data!S1650,0)</f>
        <v>0</v>
      </c>
      <c r="U30" s="63">
        <f>IFERROR(aurora_data!T1650,0)</f>
        <v>0</v>
      </c>
      <c r="V30" s="64" t="s">
        <v>95</v>
      </c>
      <c r="W30" s="36">
        <f>IFERROR(aurora_data!U1650,0)</f>
        <v>0</v>
      </c>
      <c r="X30" s="71">
        <f t="shared" si="2"/>
        <v>0</v>
      </c>
      <c r="Y30" s="2"/>
    </row>
    <row r="31" spans="1:25" customFormat="1">
      <c r="A31" s="2"/>
      <c r="B31" s="211"/>
      <c r="C31" s="213"/>
      <c r="D31" s="35" t="s">
        <v>97</v>
      </c>
      <c r="E31" s="36">
        <f>IFERROR(aurora_data!D1651,0)</f>
        <v>0</v>
      </c>
      <c r="F31" s="62">
        <f>IFERROR(aurora_data!E1651,0)</f>
        <v>0</v>
      </c>
      <c r="G31" s="62">
        <f>IFERROR(aurora_data!F1651,0)</f>
        <v>0</v>
      </c>
      <c r="H31" s="62">
        <f>IFERROR(aurora_data!G1651,0)</f>
        <v>0</v>
      </c>
      <c r="I31" s="63">
        <f>IFERROR(aurora_data!H1651,0)</f>
        <v>0</v>
      </c>
      <c r="J31" s="36">
        <f>IFERROR(aurora_data!I1651,0)</f>
        <v>0</v>
      </c>
      <c r="K31" s="62">
        <f>IFERROR(aurora_data!J1651,0)</f>
        <v>0</v>
      </c>
      <c r="L31" s="62">
        <f>IFERROR(aurora_data!K1651,0)</f>
        <v>0</v>
      </c>
      <c r="M31" s="62">
        <f>IFERROR(aurora_data!L1651,0)</f>
        <v>0</v>
      </c>
      <c r="N31" s="63">
        <f>IFERROR(aurora_data!M1651,0)</f>
        <v>0</v>
      </c>
      <c r="O31" s="36">
        <f>IFERROR(aurora_data!N1651,0)</f>
        <v>0</v>
      </c>
      <c r="P31" s="62">
        <f>IFERROR(aurora_data!O1651,0)</f>
        <v>0</v>
      </c>
      <c r="Q31" s="62">
        <f>IFERROR(aurora_data!P1651,0)</f>
        <v>0</v>
      </c>
      <c r="R31" s="63">
        <f>IFERROR(aurora_data!Q1651,0)</f>
        <v>0</v>
      </c>
      <c r="S31" s="62">
        <f>IFERROR(aurora_data!R1651,0)</f>
        <v>0</v>
      </c>
      <c r="T31" s="62">
        <f>IFERROR(aurora_data!S1651,0)</f>
        <v>0</v>
      </c>
      <c r="U31" s="63">
        <f>IFERROR(aurora_data!T1651,0)</f>
        <v>0</v>
      </c>
      <c r="V31" s="64" t="s">
        <v>95</v>
      </c>
      <c r="W31" s="36">
        <f>IFERROR(aurora_data!U1651,0)</f>
        <v>0</v>
      </c>
      <c r="X31" s="71">
        <f t="shared" si="2"/>
        <v>0</v>
      </c>
      <c r="Y31" s="2"/>
    </row>
    <row r="32" spans="1:25" customFormat="1">
      <c r="A32" s="2"/>
      <c r="B32" s="211"/>
      <c r="C32" s="213"/>
      <c r="D32" s="35" t="s">
        <v>98</v>
      </c>
      <c r="E32" s="36">
        <f>IFERROR(aurora_data!D1652,0)</f>
        <v>0</v>
      </c>
      <c r="F32" s="62">
        <f>IFERROR(aurora_data!E1652,0)</f>
        <v>0</v>
      </c>
      <c r="G32" s="62">
        <f>IFERROR(aurora_data!F1652,0)</f>
        <v>0</v>
      </c>
      <c r="H32" s="62">
        <f>IFERROR(aurora_data!G1652,0)</f>
        <v>0</v>
      </c>
      <c r="I32" s="63">
        <f>IFERROR(aurora_data!H1652,0)</f>
        <v>0</v>
      </c>
      <c r="J32" s="36">
        <f>IFERROR(aurora_data!I1652,0)</f>
        <v>0</v>
      </c>
      <c r="K32" s="62">
        <f>IFERROR(aurora_data!J1652,0)</f>
        <v>0</v>
      </c>
      <c r="L32" s="62">
        <f>IFERROR(aurora_data!K1652,0)</f>
        <v>0</v>
      </c>
      <c r="M32" s="62">
        <f>IFERROR(aurora_data!L1652,0)</f>
        <v>0</v>
      </c>
      <c r="N32" s="63">
        <f>IFERROR(aurora_data!M1652,0)</f>
        <v>0</v>
      </c>
      <c r="O32" s="36">
        <f>IFERROR(aurora_data!N1652,0)</f>
        <v>0</v>
      </c>
      <c r="P32" s="62">
        <f>IFERROR(aurora_data!O1652,0)</f>
        <v>0</v>
      </c>
      <c r="Q32" s="62">
        <f>IFERROR(aurora_data!P1652,0)</f>
        <v>0</v>
      </c>
      <c r="R32" s="63">
        <f>IFERROR(aurora_data!Q1652,0)</f>
        <v>0</v>
      </c>
      <c r="S32" s="62">
        <f>IFERROR(aurora_data!R1652,0)</f>
        <v>0</v>
      </c>
      <c r="T32" s="62">
        <f>IFERROR(aurora_data!S1652,0)</f>
        <v>0</v>
      </c>
      <c r="U32" s="63">
        <f>IFERROR(aurora_data!T1652,0)</f>
        <v>0</v>
      </c>
      <c r="V32" s="64" t="s">
        <v>95</v>
      </c>
      <c r="W32" s="36">
        <f>IFERROR(aurora_data!U1652,0)</f>
        <v>0</v>
      </c>
      <c r="X32" s="71">
        <f t="shared" si="2"/>
        <v>0</v>
      </c>
      <c r="Y32" s="2"/>
    </row>
    <row r="33" spans="1:25" customFormat="1" ht="16.5" thickBot="1">
      <c r="A33" s="2"/>
      <c r="B33" s="211"/>
      <c r="C33" s="213"/>
      <c r="D33" s="35" t="s">
        <v>99</v>
      </c>
      <c r="E33" s="36">
        <f>IFERROR(aurora_data!D1653,0)</f>
        <v>0</v>
      </c>
      <c r="F33" s="62">
        <f>IFERROR(aurora_data!E1653,0)</f>
        <v>0</v>
      </c>
      <c r="G33" s="62">
        <f>IFERROR(aurora_data!F1653,0)</f>
        <v>0</v>
      </c>
      <c r="H33" s="62">
        <f>IFERROR(aurora_data!G1653,0)</f>
        <v>0</v>
      </c>
      <c r="I33" s="63">
        <f>IFERROR(aurora_data!H1653,0)</f>
        <v>0</v>
      </c>
      <c r="J33" s="36">
        <f>IFERROR(aurora_data!I1653,0)</f>
        <v>0</v>
      </c>
      <c r="K33" s="62">
        <f>IFERROR(aurora_data!J1653,0)</f>
        <v>0</v>
      </c>
      <c r="L33" s="62">
        <f>IFERROR(aurora_data!K1653,0)</f>
        <v>0</v>
      </c>
      <c r="M33" s="62">
        <f>IFERROR(aurora_data!L1653,0)</f>
        <v>0</v>
      </c>
      <c r="N33" s="63">
        <f>IFERROR(aurora_data!M1653,0)</f>
        <v>0</v>
      </c>
      <c r="O33" s="36">
        <f>IFERROR(aurora_data!N1653,0)</f>
        <v>0</v>
      </c>
      <c r="P33" s="62">
        <f>IFERROR(aurora_data!O1653,0)</f>
        <v>0</v>
      </c>
      <c r="Q33" s="62">
        <f>IFERROR(aurora_data!P1653,0)</f>
        <v>0</v>
      </c>
      <c r="R33" s="63">
        <f>IFERROR(aurora_data!Q1653,0)</f>
        <v>0</v>
      </c>
      <c r="S33" s="62">
        <f>IFERROR(aurora_data!R1653,0)</f>
        <v>0</v>
      </c>
      <c r="T33" s="62">
        <f>IFERROR(aurora_data!S1653,0)</f>
        <v>0</v>
      </c>
      <c r="U33" s="63">
        <f>IFERROR(aurora_data!T1653,0)</f>
        <v>0</v>
      </c>
      <c r="V33" s="64" t="s">
        <v>95</v>
      </c>
      <c r="W33" s="36">
        <f>IFERROR(aurora_data!U1653,0)</f>
        <v>0</v>
      </c>
      <c r="X33" s="71">
        <f t="shared" si="2"/>
        <v>0</v>
      </c>
      <c r="Y33" s="2"/>
    </row>
    <row r="34" spans="1:25" customFormat="1" ht="16.5" thickBot="1">
      <c r="A34" s="2"/>
      <c r="B34" s="211"/>
      <c r="C34" s="213"/>
      <c r="D34" s="37" t="s">
        <v>64</v>
      </c>
      <c r="E34" s="59">
        <f>IFERROR(aurora_data!D1654,0)</f>
        <v>0</v>
      </c>
      <c r="F34" s="65">
        <f>IFERROR(aurora_data!E1654,0)</f>
        <v>0</v>
      </c>
      <c r="G34" s="65">
        <f>IFERROR(aurora_data!F1654,0)</f>
        <v>0</v>
      </c>
      <c r="H34" s="65">
        <f>IFERROR(aurora_data!G1654,0)</f>
        <v>0</v>
      </c>
      <c r="I34" s="66">
        <f>IFERROR(aurora_data!H1654,0)</f>
        <v>0</v>
      </c>
      <c r="J34" s="59">
        <f>IFERROR(aurora_data!I1654,0)</f>
        <v>0</v>
      </c>
      <c r="K34" s="65">
        <f>IFERROR(aurora_data!J1654,0)</f>
        <v>0</v>
      </c>
      <c r="L34" s="65">
        <f>IFERROR(aurora_data!K1654,0)</f>
        <v>0</v>
      </c>
      <c r="M34" s="65">
        <f>IFERROR(aurora_data!L1654,0)</f>
        <v>0</v>
      </c>
      <c r="N34" s="66">
        <f>IFERROR(aurora_data!M1654,0)</f>
        <v>0</v>
      </c>
      <c r="O34" s="59">
        <f>IFERROR(aurora_data!N1654,0)</f>
        <v>0</v>
      </c>
      <c r="P34" s="65">
        <f>IFERROR(aurora_data!O1654,0)</f>
        <v>0</v>
      </c>
      <c r="Q34" s="65">
        <f>IFERROR(aurora_data!P1654,0)</f>
        <v>0</v>
      </c>
      <c r="R34" s="66">
        <f>IFERROR(aurora_data!Q1654,0)</f>
        <v>0</v>
      </c>
      <c r="S34" s="65">
        <f>IFERROR(aurora_data!R1654,0)</f>
        <v>0</v>
      </c>
      <c r="T34" s="65">
        <f>IFERROR(aurora_data!S1654,0)</f>
        <v>0</v>
      </c>
      <c r="U34" s="66">
        <f>IFERROR(aurora_data!T1654,0)</f>
        <v>0</v>
      </c>
      <c r="V34" s="67" t="s">
        <v>95</v>
      </c>
      <c r="W34" s="59">
        <f>IFERROR(aurora_data!U1654,0)</f>
        <v>0</v>
      </c>
      <c r="X34" s="72">
        <f t="shared" si="2"/>
        <v>0</v>
      </c>
      <c r="Y34" s="2"/>
    </row>
    <row r="35" spans="1:25" customFormat="1" ht="16.5" thickBot="1">
      <c r="A35" s="2"/>
      <c r="B35" s="211"/>
      <c r="C35" s="213"/>
      <c r="D35" s="38" t="s">
        <v>100</v>
      </c>
      <c r="E35" s="60">
        <f>IFERROR(aurora_data!D1655,0)</f>
        <v>0</v>
      </c>
      <c r="F35" s="68">
        <f>IFERROR(aurora_data!E1655,0)</f>
        <v>0</v>
      </c>
      <c r="G35" s="68">
        <f>IFERROR(aurora_data!F1655,0)</f>
        <v>0</v>
      </c>
      <c r="H35" s="68">
        <f>IFERROR(aurora_data!G1655,0)</f>
        <v>0</v>
      </c>
      <c r="I35" s="69">
        <f>IFERROR(aurora_data!H1655,0)</f>
        <v>0</v>
      </c>
      <c r="J35" s="60">
        <f>IFERROR(aurora_data!I1655,0)</f>
        <v>0</v>
      </c>
      <c r="K35" s="68">
        <f>IFERROR(aurora_data!J1655,0)</f>
        <v>0</v>
      </c>
      <c r="L35" s="68">
        <f>IFERROR(aurora_data!K1655,0)</f>
        <v>0</v>
      </c>
      <c r="M35" s="68">
        <f>IFERROR(aurora_data!L1655,0)</f>
        <v>0</v>
      </c>
      <c r="N35" s="69">
        <f>IFERROR(aurora_data!M1655,0)</f>
        <v>0</v>
      </c>
      <c r="O35" s="60">
        <f>IFERROR(aurora_data!N1655,0)</f>
        <v>0</v>
      </c>
      <c r="P35" s="68">
        <f>IFERROR(aurora_data!O1655,0)</f>
        <v>0</v>
      </c>
      <c r="Q35" s="68">
        <f>IFERROR(aurora_data!P1655,0)</f>
        <v>0</v>
      </c>
      <c r="R35" s="69">
        <f>IFERROR(aurora_data!Q1655,0)</f>
        <v>0</v>
      </c>
      <c r="S35" s="68">
        <f>IFERROR(aurora_data!R1655,0)</f>
        <v>0</v>
      </c>
      <c r="T35" s="68">
        <f>IFERROR(aurora_data!S1655,0)</f>
        <v>0</v>
      </c>
      <c r="U35" s="74">
        <f>IFERROR(aurora_data!T1655,0)</f>
        <v>0</v>
      </c>
      <c r="V35" s="75" t="s">
        <v>95</v>
      </c>
      <c r="W35" s="60">
        <f>IFERROR(aurora_data!U1655,0)</f>
        <v>0</v>
      </c>
      <c r="X35" s="73">
        <f t="shared" si="2"/>
        <v>0</v>
      </c>
      <c r="Y35" s="2"/>
    </row>
    <row r="36" spans="1:25" customFormat="1">
      <c r="A36" s="2"/>
      <c r="B36" s="210" t="s">
        <v>94</v>
      </c>
      <c r="C36" s="212" t="str">
        <f>aurora_data!A1656</f>
        <v>09.00.00-09.11.30</v>
      </c>
      <c r="D36" s="34" t="s">
        <v>71</v>
      </c>
      <c r="E36" s="39">
        <f>IFERROR(aurora_data!D1656,0)</f>
        <v>0</v>
      </c>
      <c r="F36" s="40">
        <f>IFERROR(aurora_data!E1656,0)</f>
        <v>0</v>
      </c>
      <c r="G36" s="40">
        <f>IFERROR(aurora_data!F1656,0)</f>
        <v>0</v>
      </c>
      <c r="H36" s="40">
        <f>IFERROR(aurora_data!G1656,0)</f>
        <v>0</v>
      </c>
      <c r="I36" s="41">
        <f>IFERROR(aurora_data!H1656,0)</f>
        <v>0</v>
      </c>
      <c r="J36" s="39">
        <f>IFERROR(aurora_data!I1656,0)</f>
        <v>0</v>
      </c>
      <c r="K36" s="40">
        <f>IFERROR(aurora_data!J1656,0)</f>
        <v>0</v>
      </c>
      <c r="L36" s="40">
        <f>IFERROR(aurora_data!K1656,0)</f>
        <v>0</v>
      </c>
      <c r="M36" s="40">
        <f>IFERROR(aurora_data!L1656,0)</f>
        <v>0</v>
      </c>
      <c r="N36" s="41">
        <f>IFERROR(aurora_data!M1656,0)</f>
        <v>0</v>
      </c>
      <c r="O36" s="39">
        <f>IFERROR(aurora_data!N1656,0)</f>
        <v>0</v>
      </c>
      <c r="P36" s="40">
        <f>IFERROR(aurora_data!O1656,0)</f>
        <v>0</v>
      </c>
      <c r="Q36" s="40">
        <f>IFERROR(aurora_data!P1656,0)</f>
        <v>0</v>
      </c>
      <c r="R36" s="41">
        <f>IFERROR(aurora_data!Q1656,0)</f>
        <v>0</v>
      </c>
      <c r="S36" s="40">
        <f>IFERROR(aurora_data!R1656,0)</f>
        <v>0</v>
      </c>
      <c r="T36" s="40">
        <f>IFERROR(aurora_data!S1656,0)</f>
        <v>0</v>
      </c>
      <c r="U36" s="76">
        <f>IFERROR(aurora_data!T1656,0)</f>
        <v>0</v>
      </c>
      <c r="V36" s="61" t="s">
        <v>95</v>
      </c>
      <c r="W36" s="39">
        <f>IFERROR(aurora_data!U1656,0)</f>
        <v>2</v>
      </c>
      <c r="X36" s="70">
        <f>IFERROR(W36/$W$12,0)</f>
        <v>1</v>
      </c>
      <c r="Y36" s="2"/>
    </row>
    <row r="37" spans="1:25" customFormat="1">
      <c r="A37" s="2"/>
      <c r="B37" s="211"/>
      <c r="C37" s="213"/>
      <c r="D37" s="35" t="s">
        <v>96</v>
      </c>
      <c r="E37" s="110">
        <f>IFERROR(aurora_data!D1657,0)</f>
        <v>0</v>
      </c>
      <c r="F37" s="62">
        <f>IFERROR(aurora_data!E1657,0)</f>
        <v>0</v>
      </c>
      <c r="G37" s="62">
        <f>IFERROR(aurora_data!F1657,0)</f>
        <v>0</v>
      </c>
      <c r="H37" s="62">
        <f>IFERROR(aurora_data!G1657,0)</f>
        <v>0</v>
      </c>
      <c r="I37" s="63">
        <f>IFERROR(aurora_data!H1657,0)</f>
        <v>0</v>
      </c>
      <c r="J37" s="36">
        <f>IFERROR(aurora_data!I1657,0)</f>
        <v>0</v>
      </c>
      <c r="K37" s="62">
        <f>IFERROR(aurora_data!J1657,0)</f>
        <v>0</v>
      </c>
      <c r="L37" s="62">
        <f>IFERROR(aurora_data!K1657,0)</f>
        <v>0</v>
      </c>
      <c r="M37" s="62">
        <f>IFERROR(aurora_data!L1657,0)</f>
        <v>0</v>
      </c>
      <c r="N37" s="63">
        <f>IFERROR(aurora_data!M1657,0)</f>
        <v>0</v>
      </c>
      <c r="O37" s="36">
        <f>IFERROR(aurora_data!N1657,0)</f>
        <v>0</v>
      </c>
      <c r="P37" s="62">
        <f>IFERROR(aurora_data!O1657,0)</f>
        <v>0</v>
      </c>
      <c r="Q37" s="62">
        <f>IFERROR(aurora_data!P1657,0)</f>
        <v>0</v>
      </c>
      <c r="R37" s="63">
        <f>IFERROR(aurora_data!Q1657,0)</f>
        <v>0</v>
      </c>
      <c r="S37" s="62">
        <f>IFERROR(aurora_data!R1657,0)</f>
        <v>0</v>
      </c>
      <c r="T37" s="62">
        <f>IFERROR(aurora_data!S1657,0)</f>
        <v>0</v>
      </c>
      <c r="U37" s="63">
        <f>IFERROR(aurora_data!T1657,0)</f>
        <v>0</v>
      </c>
      <c r="V37" s="64" t="s">
        <v>95</v>
      </c>
      <c r="W37" s="36">
        <f>IFERROR(aurora_data!U1657,0)</f>
        <v>0</v>
      </c>
      <c r="X37" s="71">
        <f t="shared" ref="X37:X43" si="3">IFERROR(W37/$W$12,0)</f>
        <v>0</v>
      </c>
      <c r="Y37" s="2"/>
    </row>
    <row r="38" spans="1:25" customFormat="1">
      <c r="A38" s="2"/>
      <c r="B38" s="211"/>
      <c r="C38" s="213"/>
      <c r="D38" s="35" t="s">
        <v>60</v>
      </c>
      <c r="E38" s="110">
        <f>IFERROR(aurora_data!D1658,0)</f>
        <v>0</v>
      </c>
      <c r="F38" s="62">
        <f>IFERROR(aurora_data!E1658,0)</f>
        <v>0</v>
      </c>
      <c r="G38" s="62">
        <f>IFERROR(aurora_data!F1658,0)</f>
        <v>0</v>
      </c>
      <c r="H38" s="62">
        <f>IFERROR(aurora_data!G1658,0)</f>
        <v>0</v>
      </c>
      <c r="I38" s="63">
        <f>IFERROR(aurora_data!H1658,0)</f>
        <v>0</v>
      </c>
      <c r="J38" s="36">
        <f>IFERROR(aurora_data!I1658,0)</f>
        <v>0</v>
      </c>
      <c r="K38" s="62">
        <f>IFERROR(aurora_data!J1658,0)</f>
        <v>0</v>
      </c>
      <c r="L38" s="62">
        <f>IFERROR(aurora_data!K1658,0)</f>
        <v>0</v>
      </c>
      <c r="M38" s="62">
        <f>IFERROR(aurora_data!L1658,0)</f>
        <v>0</v>
      </c>
      <c r="N38" s="63">
        <f>IFERROR(aurora_data!M1658,0)</f>
        <v>0</v>
      </c>
      <c r="O38" s="36">
        <f>IFERROR(aurora_data!N1658,0)</f>
        <v>0</v>
      </c>
      <c r="P38" s="62">
        <f>IFERROR(aurora_data!O1658,0)</f>
        <v>0</v>
      </c>
      <c r="Q38" s="62">
        <f>IFERROR(aurora_data!P1658,0)</f>
        <v>0</v>
      </c>
      <c r="R38" s="63">
        <f>IFERROR(aurora_data!Q1658,0)</f>
        <v>0</v>
      </c>
      <c r="S38" s="62">
        <f>IFERROR(aurora_data!R1658,0)</f>
        <v>0</v>
      </c>
      <c r="T38" s="62">
        <f>IFERROR(aurora_data!S1658,0)</f>
        <v>0</v>
      </c>
      <c r="U38" s="63">
        <f>IFERROR(aurora_data!T1658,0)</f>
        <v>0</v>
      </c>
      <c r="V38" s="64" t="s">
        <v>95</v>
      </c>
      <c r="W38" s="36">
        <f>IFERROR(aurora_data!U1658,0)</f>
        <v>0</v>
      </c>
      <c r="X38" s="71">
        <f t="shared" si="3"/>
        <v>0</v>
      </c>
      <c r="Y38" s="2"/>
    </row>
    <row r="39" spans="1:25" customFormat="1">
      <c r="A39" s="2"/>
      <c r="B39" s="211"/>
      <c r="C39" s="213"/>
      <c r="D39" s="35" t="s">
        <v>97</v>
      </c>
      <c r="E39" s="36">
        <f>IFERROR(aurora_data!D1659,0)</f>
        <v>0</v>
      </c>
      <c r="F39" s="62">
        <f>IFERROR(aurora_data!E1659,0)</f>
        <v>0</v>
      </c>
      <c r="G39" s="62">
        <f>IFERROR(aurora_data!F1659,0)</f>
        <v>0</v>
      </c>
      <c r="H39" s="62">
        <f>IFERROR(aurora_data!G1659,0)</f>
        <v>0</v>
      </c>
      <c r="I39" s="63">
        <f>IFERROR(aurora_data!H1659,0)</f>
        <v>0</v>
      </c>
      <c r="J39" s="36">
        <f>IFERROR(aurora_data!I1659,0)</f>
        <v>0</v>
      </c>
      <c r="K39" s="62">
        <f>IFERROR(aurora_data!J1659,0)</f>
        <v>0</v>
      </c>
      <c r="L39" s="62">
        <f>IFERROR(aurora_data!K1659,0)</f>
        <v>0</v>
      </c>
      <c r="M39" s="62">
        <f>IFERROR(aurora_data!L1659,0)</f>
        <v>0</v>
      </c>
      <c r="N39" s="63">
        <f>IFERROR(aurora_data!M1659,0)</f>
        <v>0</v>
      </c>
      <c r="O39" s="36">
        <f>IFERROR(aurora_data!N1659,0)</f>
        <v>0</v>
      </c>
      <c r="P39" s="62">
        <f>IFERROR(aurora_data!O1659,0)</f>
        <v>0</v>
      </c>
      <c r="Q39" s="62">
        <f>IFERROR(aurora_data!P1659,0)</f>
        <v>0</v>
      </c>
      <c r="R39" s="63">
        <f>IFERROR(aurora_data!Q1659,0)</f>
        <v>0</v>
      </c>
      <c r="S39" s="62">
        <f>IFERROR(aurora_data!R1659,0)</f>
        <v>0</v>
      </c>
      <c r="T39" s="62">
        <f>IFERROR(aurora_data!S1659,0)</f>
        <v>0</v>
      </c>
      <c r="U39" s="63">
        <f>IFERROR(aurora_data!T1659,0)</f>
        <v>0</v>
      </c>
      <c r="V39" s="64" t="s">
        <v>95</v>
      </c>
      <c r="W39" s="36">
        <f>IFERROR(aurora_data!U1659,0)</f>
        <v>0</v>
      </c>
      <c r="X39" s="71">
        <f t="shared" si="3"/>
        <v>0</v>
      </c>
      <c r="Y39" s="2"/>
    </row>
    <row r="40" spans="1:25" customFormat="1">
      <c r="A40" s="2"/>
      <c r="B40" s="211"/>
      <c r="C40" s="213"/>
      <c r="D40" s="35" t="s">
        <v>98</v>
      </c>
      <c r="E40" s="36">
        <f>IFERROR(aurora_data!D1660,0)</f>
        <v>0</v>
      </c>
      <c r="F40" s="62">
        <f>IFERROR(aurora_data!E1660,0)</f>
        <v>0</v>
      </c>
      <c r="G40" s="62">
        <f>IFERROR(aurora_data!F1660,0)</f>
        <v>0</v>
      </c>
      <c r="H40" s="62">
        <f>IFERROR(aurora_data!G1660,0)</f>
        <v>0</v>
      </c>
      <c r="I40" s="63">
        <f>IFERROR(aurora_data!H1660,0)</f>
        <v>0</v>
      </c>
      <c r="J40" s="36">
        <f>IFERROR(aurora_data!I1660,0)</f>
        <v>0</v>
      </c>
      <c r="K40" s="62">
        <f>IFERROR(aurora_data!J1660,0)</f>
        <v>0</v>
      </c>
      <c r="L40" s="62">
        <f>IFERROR(aurora_data!K1660,0)</f>
        <v>0</v>
      </c>
      <c r="M40" s="62">
        <f>IFERROR(aurora_data!L1660,0)</f>
        <v>0</v>
      </c>
      <c r="N40" s="63">
        <f>IFERROR(aurora_data!M1660,0)</f>
        <v>0</v>
      </c>
      <c r="O40" s="36">
        <f>IFERROR(aurora_data!N1660,0)</f>
        <v>0</v>
      </c>
      <c r="P40" s="62">
        <f>IFERROR(aurora_data!O1660,0)</f>
        <v>0</v>
      </c>
      <c r="Q40" s="62">
        <f>IFERROR(aurora_data!P1660,0)</f>
        <v>0</v>
      </c>
      <c r="R40" s="63">
        <f>IFERROR(aurora_data!Q1660,0)</f>
        <v>0</v>
      </c>
      <c r="S40" s="62">
        <f>IFERROR(aurora_data!R1660,0)</f>
        <v>0</v>
      </c>
      <c r="T40" s="62">
        <f>IFERROR(aurora_data!S1660,0)</f>
        <v>0</v>
      </c>
      <c r="U40" s="63">
        <f>IFERROR(aurora_data!T1660,0)</f>
        <v>0</v>
      </c>
      <c r="V40" s="64" t="s">
        <v>95</v>
      </c>
      <c r="W40" s="36">
        <f>IFERROR(aurora_data!U1660,0)</f>
        <v>0</v>
      </c>
      <c r="X40" s="71">
        <f t="shared" si="3"/>
        <v>0</v>
      </c>
      <c r="Y40" s="2"/>
    </row>
    <row r="41" spans="1:25" customFormat="1" ht="16.5" thickBot="1">
      <c r="A41" s="2"/>
      <c r="B41" s="211"/>
      <c r="C41" s="213"/>
      <c r="D41" s="35" t="s">
        <v>99</v>
      </c>
      <c r="E41" s="36">
        <f>IFERROR(aurora_data!D1661,0)</f>
        <v>0</v>
      </c>
      <c r="F41" s="62">
        <f>IFERROR(aurora_data!E1661,0)</f>
        <v>0</v>
      </c>
      <c r="G41" s="62">
        <f>IFERROR(aurora_data!F1661,0)</f>
        <v>0</v>
      </c>
      <c r="H41" s="62">
        <f>IFERROR(aurora_data!G1661,0)</f>
        <v>0</v>
      </c>
      <c r="I41" s="63">
        <f>IFERROR(aurora_data!H1661,0)</f>
        <v>0</v>
      </c>
      <c r="J41" s="36">
        <f>IFERROR(aurora_data!I1661,0)</f>
        <v>0</v>
      </c>
      <c r="K41" s="62">
        <f>IFERROR(aurora_data!J1661,0)</f>
        <v>0</v>
      </c>
      <c r="L41" s="62">
        <f>IFERROR(aurora_data!K1661,0)</f>
        <v>0</v>
      </c>
      <c r="M41" s="62">
        <f>IFERROR(aurora_data!L1661,0)</f>
        <v>0</v>
      </c>
      <c r="N41" s="63">
        <f>IFERROR(aurora_data!M1661,0)</f>
        <v>0</v>
      </c>
      <c r="O41" s="36">
        <f>IFERROR(aurora_data!N1661,0)</f>
        <v>0</v>
      </c>
      <c r="P41" s="62">
        <f>IFERROR(aurora_data!O1661,0)</f>
        <v>0</v>
      </c>
      <c r="Q41" s="62">
        <f>IFERROR(aurora_data!P1661,0)</f>
        <v>0</v>
      </c>
      <c r="R41" s="63">
        <f>IFERROR(aurora_data!Q1661,0)</f>
        <v>0</v>
      </c>
      <c r="S41" s="62">
        <f>IFERROR(aurora_data!R1661,0)</f>
        <v>0</v>
      </c>
      <c r="T41" s="62">
        <f>IFERROR(aurora_data!S1661,0)</f>
        <v>0</v>
      </c>
      <c r="U41" s="63">
        <f>IFERROR(aurora_data!T1661,0)</f>
        <v>0</v>
      </c>
      <c r="V41" s="64" t="s">
        <v>95</v>
      </c>
      <c r="W41" s="36">
        <f>IFERROR(aurora_data!U1661,0)</f>
        <v>0</v>
      </c>
      <c r="X41" s="71">
        <f t="shared" si="3"/>
        <v>0</v>
      </c>
      <c r="Y41" s="2"/>
    </row>
    <row r="42" spans="1:25" customFormat="1" ht="16.5" thickBot="1">
      <c r="A42" s="2"/>
      <c r="B42" s="211"/>
      <c r="C42" s="213"/>
      <c r="D42" s="37" t="s">
        <v>64</v>
      </c>
      <c r="E42" s="59">
        <f>IFERROR(aurora_data!D1662,0)</f>
        <v>0</v>
      </c>
      <c r="F42" s="65">
        <f>IFERROR(aurora_data!E1662,0)</f>
        <v>0</v>
      </c>
      <c r="G42" s="65">
        <f>IFERROR(aurora_data!F1662,0)</f>
        <v>0</v>
      </c>
      <c r="H42" s="65">
        <f>IFERROR(aurora_data!G1662,0)</f>
        <v>0</v>
      </c>
      <c r="I42" s="66">
        <f>IFERROR(aurora_data!H1662,0)</f>
        <v>0</v>
      </c>
      <c r="J42" s="59">
        <f>IFERROR(aurora_data!I1662,0)</f>
        <v>0</v>
      </c>
      <c r="K42" s="65">
        <f>IFERROR(aurora_data!J1662,0)</f>
        <v>0</v>
      </c>
      <c r="L42" s="65">
        <f>IFERROR(aurora_data!K1662,0)</f>
        <v>0</v>
      </c>
      <c r="M42" s="65">
        <f>IFERROR(aurora_data!L1662,0)</f>
        <v>0</v>
      </c>
      <c r="N42" s="66">
        <f>IFERROR(aurora_data!M1662,0)</f>
        <v>0</v>
      </c>
      <c r="O42" s="59">
        <f>IFERROR(aurora_data!N1662,0)</f>
        <v>0</v>
      </c>
      <c r="P42" s="65">
        <f>IFERROR(aurora_data!O1662,0)</f>
        <v>0</v>
      </c>
      <c r="Q42" s="65">
        <f>IFERROR(aurora_data!P1662,0)</f>
        <v>0</v>
      </c>
      <c r="R42" s="66">
        <f>IFERROR(aurora_data!Q1662,0)</f>
        <v>0</v>
      </c>
      <c r="S42" s="65">
        <f>IFERROR(aurora_data!R1662,0)</f>
        <v>0</v>
      </c>
      <c r="T42" s="65">
        <f>IFERROR(aurora_data!S1662,0)</f>
        <v>0</v>
      </c>
      <c r="U42" s="66">
        <f>IFERROR(aurora_data!T1662,0)</f>
        <v>0</v>
      </c>
      <c r="V42" s="67" t="s">
        <v>95</v>
      </c>
      <c r="W42" s="59">
        <f>IFERROR(aurora_data!U1662,0)</f>
        <v>0</v>
      </c>
      <c r="X42" s="72">
        <f t="shared" si="3"/>
        <v>0</v>
      </c>
      <c r="Y42" s="2"/>
    </row>
    <row r="43" spans="1:25" customFormat="1" ht="16.5" thickBot="1">
      <c r="A43" s="2"/>
      <c r="B43" s="211"/>
      <c r="C43" s="213"/>
      <c r="D43" s="38" t="s">
        <v>100</v>
      </c>
      <c r="E43" s="60">
        <f>IFERROR(aurora_data!D1663,0)</f>
        <v>0</v>
      </c>
      <c r="F43" s="68">
        <f>IFERROR(aurora_data!E1663,0)</f>
        <v>0</v>
      </c>
      <c r="G43" s="68">
        <f>IFERROR(aurora_data!F1663,0)</f>
        <v>0</v>
      </c>
      <c r="H43" s="68">
        <f>IFERROR(aurora_data!G1663,0)</f>
        <v>0</v>
      </c>
      <c r="I43" s="69">
        <f>IFERROR(aurora_data!H1663,0)</f>
        <v>0</v>
      </c>
      <c r="J43" s="60">
        <f>IFERROR(aurora_data!I1663,0)</f>
        <v>0</v>
      </c>
      <c r="K43" s="68">
        <f>IFERROR(aurora_data!J1663,0)</f>
        <v>0</v>
      </c>
      <c r="L43" s="68">
        <f>IFERROR(aurora_data!K1663,0)</f>
        <v>0</v>
      </c>
      <c r="M43" s="68">
        <f>IFERROR(aurora_data!L1663,0)</f>
        <v>0</v>
      </c>
      <c r="N43" s="69">
        <f>IFERROR(aurora_data!M1663,0)</f>
        <v>0</v>
      </c>
      <c r="O43" s="60">
        <f>IFERROR(aurora_data!N1663,0)</f>
        <v>0</v>
      </c>
      <c r="P43" s="68">
        <f>IFERROR(aurora_data!O1663,0)</f>
        <v>0</v>
      </c>
      <c r="Q43" s="68">
        <f>IFERROR(aurora_data!P1663,0)</f>
        <v>0</v>
      </c>
      <c r="R43" s="69">
        <f>IFERROR(aurora_data!Q1663,0)</f>
        <v>0</v>
      </c>
      <c r="S43" s="68">
        <f>IFERROR(aurora_data!R1663,0)</f>
        <v>0</v>
      </c>
      <c r="T43" s="68">
        <f>IFERROR(aurora_data!S1663,0)</f>
        <v>0</v>
      </c>
      <c r="U43" s="74">
        <f>IFERROR(aurora_data!T1663,0)</f>
        <v>0</v>
      </c>
      <c r="V43" s="75" t="s">
        <v>95</v>
      </c>
      <c r="W43" s="60">
        <f>IFERROR(aurora_data!U1663,0)</f>
        <v>0</v>
      </c>
      <c r="X43" s="73">
        <f t="shared" si="3"/>
        <v>0</v>
      </c>
      <c r="Y43" s="2"/>
    </row>
    <row r="44" spans="1:25" customFormat="1">
      <c r="A44" s="2"/>
      <c r="B44" s="210" t="s">
        <v>94</v>
      </c>
      <c r="C44" s="212" t="str">
        <f>aurora_data!A1664</f>
        <v>10.00.00-10.11.30</v>
      </c>
      <c r="D44" s="34" t="s">
        <v>71</v>
      </c>
      <c r="E44" s="39">
        <f>IFERROR(aurora_data!D1664,0)</f>
        <v>0</v>
      </c>
      <c r="F44" s="40">
        <f>IFERROR(aurora_data!E1664,0)</f>
        <v>0</v>
      </c>
      <c r="G44" s="40">
        <f>IFERROR(aurora_data!F1664,0)</f>
        <v>0</v>
      </c>
      <c r="H44" s="40">
        <f>IFERROR(aurora_data!G1664,0)</f>
        <v>0</v>
      </c>
      <c r="I44" s="41">
        <f>IFERROR(aurora_data!H1664,0)</f>
        <v>0</v>
      </c>
      <c r="J44" s="39">
        <f>IFERROR(aurora_data!I1664,0)</f>
        <v>0</v>
      </c>
      <c r="K44" s="40">
        <f>IFERROR(aurora_data!J1664,0)</f>
        <v>0</v>
      </c>
      <c r="L44" s="40">
        <f>IFERROR(aurora_data!K1664,0)</f>
        <v>0</v>
      </c>
      <c r="M44" s="40">
        <f>IFERROR(aurora_data!L1664,0)</f>
        <v>0</v>
      </c>
      <c r="N44" s="41">
        <f>IFERROR(aurora_data!M1664,0)</f>
        <v>0</v>
      </c>
      <c r="O44" s="39">
        <f>IFERROR(aurora_data!N1664,0)</f>
        <v>0</v>
      </c>
      <c r="P44" s="40">
        <f>IFERROR(aurora_data!O1664,0)</f>
        <v>0</v>
      </c>
      <c r="Q44" s="40">
        <f>IFERROR(aurora_data!P1664,0)</f>
        <v>0</v>
      </c>
      <c r="R44" s="41">
        <f>IFERROR(aurora_data!Q1664,0)</f>
        <v>0</v>
      </c>
      <c r="S44" s="40">
        <f>IFERROR(aurora_data!R1664,0)</f>
        <v>0</v>
      </c>
      <c r="T44" s="40">
        <f>IFERROR(aurora_data!S1664,0)</f>
        <v>0</v>
      </c>
      <c r="U44" s="76">
        <f>IFERROR(aurora_data!T1664,0)</f>
        <v>0</v>
      </c>
      <c r="V44" s="61" t="s">
        <v>95</v>
      </c>
      <c r="W44" s="39">
        <f>IFERROR(aurora_data!U1664,0)</f>
        <v>2</v>
      </c>
      <c r="X44" s="70">
        <f>IFERROR(W44/$W$12,0)</f>
        <v>1</v>
      </c>
      <c r="Y44" s="2"/>
    </row>
    <row r="45" spans="1:25" customFormat="1">
      <c r="A45" s="2"/>
      <c r="B45" s="211"/>
      <c r="C45" s="213"/>
      <c r="D45" s="35" t="s">
        <v>96</v>
      </c>
      <c r="E45" s="110">
        <f>IFERROR(aurora_data!D1665,0)</f>
        <v>0</v>
      </c>
      <c r="F45" s="62">
        <f>IFERROR(aurora_data!E1665,0)</f>
        <v>0</v>
      </c>
      <c r="G45" s="62">
        <f>IFERROR(aurora_data!F1665,0)</f>
        <v>0</v>
      </c>
      <c r="H45" s="62">
        <f>IFERROR(aurora_data!G1665,0)</f>
        <v>0</v>
      </c>
      <c r="I45" s="63">
        <f>IFERROR(aurora_data!H1665,0)</f>
        <v>0</v>
      </c>
      <c r="J45" s="36">
        <f>IFERROR(aurora_data!I1665,0)</f>
        <v>0</v>
      </c>
      <c r="K45" s="62">
        <f>IFERROR(aurora_data!J1665,0)</f>
        <v>0</v>
      </c>
      <c r="L45" s="62">
        <f>IFERROR(aurora_data!K1665,0)</f>
        <v>0</v>
      </c>
      <c r="M45" s="62">
        <f>IFERROR(aurora_data!L1665,0)</f>
        <v>0</v>
      </c>
      <c r="N45" s="63">
        <f>IFERROR(aurora_data!M1665,0)</f>
        <v>0</v>
      </c>
      <c r="O45" s="36">
        <f>IFERROR(aurora_data!N1665,0)</f>
        <v>0</v>
      </c>
      <c r="P45" s="62">
        <f>IFERROR(aurora_data!O1665,0)</f>
        <v>0</v>
      </c>
      <c r="Q45" s="62">
        <f>IFERROR(aurora_data!P1665,0)</f>
        <v>0</v>
      </c>
      <c r="R45" s="63">
        <f>IFERROR(aurora_data!Q1665,0)</f>
        <v>0</v>
      </c>
      <c r="S45" s="62">
        <f>IFERROR(aurora_data!R1665,0)</f>
        <v>0</v>
      </c>
      <c r="T45" s="62">
        <f>IFERROR(aurora_data!S1665,0)</f>
        <v>0</v>
      </c>
      <c r="U45" s="63">
        <f>IFERROR(aurora_data!T1665,0)</f>
        <v>0</v>
      </c>
      <c r="V45" s="64" t="s">
        <v>95</v>
      </c>
      <c r="W45" s="36">
        <f>IFERROR(aurora_data!U1665,0)</f>
        <v>0</v>
      </c>
      <c r="X45" s="71">
        <f t="shared" ref="X45:X51" si="4">IFERROR(W45/$W$12,0)</f>
        <v>0</v>
      </c>
      <c r="Y45" s="2"/>
    </row>
    <row r="46" spans="1:25" customFormat="1">
      <c r="A46" s="2"/>
      <c r="B46" s="211"/>
      <c r="C46" s="213"/>
      <c r="D46" s="35" t="s">
        <v>60</v>
      </c>
      <c r="E46" s="110">
        <f>IFERROR(aurora_data!D1666,0)</f>
        <v>0</v>
      </c>
      <c r="F46" s="62">
        <f>IFERROR(aurora_data!E1666,0)</f>
        <v>0</v>
      </c>
      <c r="G46" s="62">
        <f>IFERROR(aurora_data!F1666,0)</f>
        <v>0</v>
      </c>
      <c r="H46" s="62">
        <f>IFERROR(aurora_data!G1666,0)</f>
        <v>0</v>
      </c>
      <c r="I46" s="63">
        <f>IFERROR(aurora_data!H1666,0)</f>
        <v>0</v>
      </c>
      <c r="J46" s="36">
        <f>IFERROR(aurora_data!I1666,0)</f>
        <v>0</v>
      </c>
      <c r="K46" s="62">
        <f>IFERROR(aurora_data!J1666,0)</f>
        <v>0</v>
      </c>
      <c r="L46" s="62">
        <f>IFERROR(aurora_data!K1666,0)</f>
        <v>0</v>
      </c>
      <c r="M46" s="62">
        <f>IFERROR(aurora_data!L1666,0)</f>
        <v>0</v>
      </c>
      <c r="N46" s="63">
        <f>IFERROR(aurora_data!M1666,0)</f>
        <v>0</v>
      </c>
      <c r="O46" s="36">
        <f>IFERROR(aurora_data!N1666,0)</f>
        <v>0</v>
      </c>
      <c r="P46" s="62">
        <f>IFERROR(aurora_data!O1666,0)</f>
        <v>0</v>
      </c>
      <c r="Q46" s="62">
        <f>IFERROR(aurora_data!P1666,0)</f>
        <v>0</v>
      </c>
      <c r="R46" s="63">
        <f>IFERROR(aurora_data!Q1666,0)</f>
        <v>0</v>
      </c>
      <c r="S46" s="62">
        <f>IFERROR(aurora_data!R1666,0)</f>
        <v>0</v>
      </c>
      <c r="T46" s="62">
        <f>IFERROR(aurora_data!S1666,0)</f>
        <v>0</v>
      </c>
      <c r="U46" s="63">
        <f>IFERROR(aurora_data!T1666,0)</f>
        <v>0</v>
      </c>
      <c r="V46" s="64" t="s">
        <v>95</v>
      </c>
      <c r="W46" s="36">
        <f>IFERROR(aurora_data!U1666,0)</f>
        <v>0</v>
      </c>
      <c r="X46" s="71">
        <f t="shared" si="4"/>
        <v>0</v>
      </c>
      <c r="Y46" s="2"/>
    </row>
    <row r="47" spans="1:25" customFormat="1">
      <c r="A47" s="2"/>
      <c r="B47" s="211"/>
      <c r="C47" s="213"/>
      <c r="D47" s="35" t="s">
        <v>97</v>
      </c>
      <c r="E47" s="36">
        <f>IFERROR(aurora_data!D1667,0)</f>
        <v>0</v>
      </c>
      <c r="F47" s="62">
        <f>IFERROR(aurora_data!E1667,0)</f>
        <v>0</v>
      </c>
      <c r="G47" s="62">
        <f>IFERROR(aurora_data!F1667,0)</f>
        <v>0</v>
      </c>
      <c r="H47" s="62">
        <f>IFERROR(aurora_data!G1667,0)</f>
        <v>0</v>
      </c>
      <c r="I47" s="63">
        <f>IFERROR(aurora_data!H1667,0)</f>
        <v>0</v>
      </c>
      <c r="J47" s="36">
        <f>IFERROR(aurora_data!I1667,0)</f>
        <v>0</v>
      </c>
      <c r="K47" s="62">
        <f>IFERROR(aurora_data!J1667,0)</f>
        <v>0</v>
      </c>
      <c r="L47" s="62">
        <f>IFERROR(aurora_data!K1667,0)</f>
        <v>0</v>
      </c>
      <c r="M47" s="62">
        <f>IFERROR(aurora_data!L1667,0)</f>
        <v>0</v>
      </c>
      <c r="N47" s="63">
        <f>IFERROR(aurora_data!M1667,0)</f>
        <v>0</v>
      </c>
      <c r="O47" s="36">
        <f>IFERROR(aurora_data!N1667,0)</f>
        <v>0</v>
      </c>
      <c r="P47" s="62">
        <f>IFERROR(aurora_data!O1667,0)</f>
        <v>0</v>
      </c>
      <c r="Q47" s="62">
        <f>IFERROR(aurora_data!P1667,0)</f>
        <v>0</v>
      </c>
      <c r="R47" s="63">
        <f>IFERROR(aurora_data!Q1667,0)</f>
        <v>0</v>
      </c>
      <c r="S47" s="62">
        <f>IFERROR(aurora_data!R1667,0)</f>
        <v>0</v>
      </c>
      <c r="T47" s="62">
        <f>IFERROR(aurora_data!S1667,0)</f>
        <v>0</v>
      </c>
      <c r="U47" s="63">
        <f>IFERROR(aurora_data!T1667,0)</f>
        <v>0</v>
      </c>
      <c r="V47" s="64" t="s">
        <v>95</v>
      </c>
      <c r="W47" s="36">
        <f>IFERROR(aurora_data!U1667,0)</f>
        <v>0</v>
      </c>
      <c r="X47" s="71">
        <f t="shared" si="4"/>
        <v>0</v>
      </c>
      <c r="Y47" s="2"/>
    </row>
    <row r="48" spans="1:25" customFormat="1">
      <c r="A48" s="2"/>
      <c r="B48" s="211"/>
      <c r="C48" s="213"/>
      <c r="D48" s="35" t="s">
        <v>98</v>
      </c>
      <c r="E48" s="36">
        <f>IFERROR(aurora_data!D1668,0)</f>
        <v>0</v>
      </c>
      <c r="F48" s="62">
        <f>IFERROR(aurora_data!E1668,0)</f>
        <v>0</v>
      </c>
      <c r="G48" s="62">
        <f>IFERROR(aurora_data!F1668,0)</f>
        <v>0</v>
      </c>
      <c r="H48" s="62">
        <f>IFERROR(aurora_data!G1668,0)</f>
        <v>0</v>
      </c>
      <c r="I48" s="63">
        <f>IFERROR(aurora_data!H1668,0)</f>
        <v>0</v>
      </c>
      <c r="J48" s="36">
        <f>IFERROR(aurora_data!I1668,0)</f>
        <v>0</v>
      </c>
      <c r="K48" s="62">
        <f>IFERROR(aurora_data!J1668,0)</f>
        <v>0</v>
      </c>
      <c r="L48" s="62">
        <f>IFERROR(aurora_data!K1668,0)</f>
        <v>0</v>
      </c>
      <c r="M48" s="62">
        <f>IFERROR(aurora_data!L1668,0)</f>
        <v>0</v>
      </c>
      <c r="N48" s="63">
        <f>IFERROR(aurora_data!M1668,0)</f>
        <v>0</v>
      </c>
      <c r="O48" s="36">
        <f>IFERROR(aurora_data!N1668,0)</f>
        <v>0</v>
      </c>
      <c r="P48" s="62">
        <f>IFERROR(aurora_data!O1668,0)</f>
        <v>0</v>
      </c>
      <c r="Q48" s="62">
        <f>IFERROR(aurora_data!P1668,0)</f>
        <v>0</v>
      </c>
      <c r="R48" s="63">
        <f>IFERROR(aurora_data!Q1668,0)</f>
        <v>0</v>
      </c>
      <c r="S48" s="62">
        <f>IFERROR(aurora_data!R1668,0)</f>
        <v>0</v>
      </c>
      <c r="T48" s="62">
        <f>IFERROR(aurora_data!S1668,0)</f>
        <v>0</v>
      </c>
      <c r="U48" s="63">
        <f>IFERROR(aurora_data!T1668,0)</f>
        <v>0</v>
      </c>
      <c r="V48" s="64" t="s">
        <v>95</v>
      </c>
      <c r="W48" s="36">
        <f>IFERROR(aurora_data!U1668,0)</f>
        <v>0</v>
      </c>
      <c r="X48" s="71">
        <f t="shared" si="4"/>
        <v>0</v>
      </c>
      <c r="Y48" s="2"/>
    </row>
    <row r="49" spans="1:25" customFormat="1" ht="16.5" thickBot="1">
      <c r="A49" s="2"/>
      <c r="B49" s="211"/>
      <c r="C49" s="213"/>
      <c r="D49" s="35" t="s">
        <v>99</v>
      </c>
      <c r="E49" s="36">
        <f>IFERROR(aurora_data!D1669,0)</f>
        <v>0</v>
      </c>
      <c r="F49" s="62">
        <f>IFERROR(aurora_data!E1669,0)</f>
        <v>0</v>
      </c>
      <c r="G49" s="62">
        <f>IFERROR(aurora_data!F1669,0)</f>
        <v>0</v>
      </c>
      <c r="H49" s="62">
        <f>IFERROR(aurora_data!G1669,0)</f>
        <v>0</v>
      </c>
      <c r="I49" s="63">
        <f>IFERROR(aurora_data!H1669,0)</f>
        <v>0</v>
      </c>
      <c r="J49" s="36">
        <f>IFERROR(aurora_data!I1669,0)</f>
        <v>0</v>
      </c>
      <c r="K49" s="62">
        <f>IFERROR(aurora_data!J1669,0)</f>
        <v>0</v>
      </c>
      <c r="L49" s="62">
        <f>IFERROR(aurora_data!K1669,0)</f>
        <v>0</v>
      </c>
      <c r="M49" s="62">
        <f>IFERROR(aurora_data!L1669,0)</f>
        <v>0</v>
      </c>
      <c r="N49" s="63">
        <f>IFERROR(aurora_data!M1669,0)</f>
        <v>0</v>
      </c>
      <c r="O49" s="36">
        <f>IFERROR(aurora_data!N1669,0)</f>
        <v>0</v>
      </c>
      <c r="P49" s="62">
        <f>IFERROR(aurora_data!O1669,0)</f>
        <v>0</v>
      </c>
      <c r="Q49" s="62">
        <f>IFERROR(aurora_data!P1669,0)</f>
        <v>0</v>
      </c>
      <c r="R49" s="63">
        <f>IFERROR(aurora_data!Q1669,0)</f>
        <v>0</v>
      </c>
      <c r="S49" s="62">
        <f>IFERROR(aurora_data!R1669,0)</f>
        <v>0</v>
      </c>
      <c r="T49" s="62">
        <f>IFERROR(aurora_data!S1669,0)</f>
        <v>0</v>
      </c>
      <c r="U49" s="63">
        <f>IFERROR(aurora_data!T1669,0)</f>
        <v>0</v>
      </c>
      <c r="V49" s="64" t="s">
        <v>95</v>
      </c>
      <c r="W49" s="36">
        <f>IFERROR(aurora_data!U1669,0)</f>
        <v>0</v>
      </c>
      <c r="X49" s="71">
        <f t="shared" si="4"/>
        <v>0</v>
      </c>
      <c r="Y49" s="2"/>
    </row>
    <row r="50" spans="1:25" customFormat="1" ht="16.5" thickBot="1">
      <c r="A50" s="2"/>
      <c r="B50" s="211"/>
      <c r="C50" s="213"/>
      <c r="D50" s="37" t="s">
        <v>64</v>
      </c>
      <c r="E50" s="59">
        <f>IFERROR(aurora_data!D1670,0)</f>
        <v>0</v>
      </c>
      <c r="F50" s="65">
        <f>IFERROR(aurora_data!E1670,0)</f>
        <v>0</v>
      </c>
      <c r="G50" s="65">
        <f>IFERROR(aurora_data!F1670,0)</f>
        <v>0</v>
      </c>
      <c r="H50" s="65">
        <f>IFERROR(aurora_data!G1670,0)</f>
        <v>0</v>
      </c>
      <c r="I50" s="66">
        <f>IFERROR(aurora_data!H1670,0)</f>
        <v>0</v>
      </c>
      <c r="J50" s="59">
        <f>IFERROR(aurora_data!I1670,0)</f>
        <v>0</v>
      </c>
      <c r="K50" s="65">
        <f>IFERROR(aurora_data!J1670,0)</f>
        <v>0</v>
      </c>
      <c r="L50" s="65">
        <f>IFERROR(aurora_data!K1670,0)</f>
        <v>0</v>
      </c>
      <c r="M50" s="65">
        <f>IFERROR(aurora_data!L1670,0)</f>
        <v>0</v>
      </c>
      <c r="N50" s="66">
        <f>IFERROR(aurora_data!M1670,0)</f>
        <v>0</v>
      </c>
      <c r="O50" s="59">
        <f>IFERROR(aurora_data!N1670,0)</f>
        <v>0</v>
      </c>
      <c r="P50" s="65">
        <f>IFERROR(aurora_data!O1670,0)</f>
        <v>0</v>
      </c>
      <c r="Q50" s="65">
        <f>IFERROR(aurora_data!P1670,0)</f>
        <v>0</v>
      </c>
      <c r="R50" s="66">
        <f>IFERROR(aurora_data!Q1670,0)</f>
        <v>0</v>
      </c>
      <c r="S50" s="65">
        <f>IFERROR(aurora_data!R1670,0)</f>
        <v>0</v>
      </c>
      <c r="T50" s="65">
        <f>IFERROR(aurora_data!S1670,0)</f>
        <v>0</v>
      </c>
      <c r="U50" s="66">
        <f>IFERROR(aurora_data!T1670,0)</f>
        <v>0</v>
      </c>
      <c r="V50" s="67" t="s">
        <v>95</v>
      </c>
      <c r="W50" s="59">
        <f>IFERROR(aurora_data!U1670,0)</f>
        <v>0</v>
      </c>
      <c r="X50" s="72">
        <f t="shared" si="4"/>
        <v>0</v>
      </c>
      <c r="Y50" s="2"/>
    </row>
    <row r="51" spans="1:25" customFormat="1" ht="16.5" thickBot="1">
      <c r="A51" s="2"/>
      <c r="B51" s="211"/>
      <c r="C51" s="213"/>
      <c r="D51" s="38" t="s">
        <v>100</v>
      </c>
      <c r="E51" s="60">
        <f>IFERROR(aurora_data!D1671,0)</f>
        <v>0</v>
      </c>
      <c r="F51" s="68">
        <f>IFERROR(aurora_data!E1671,0)</f>
        <v>0</v>
      </c>
      <c r="G51" s="68">
        <f>IFERROR(aurora_data!F1671,0)</f>
        <v>0</v>
      </c>
      <c r="H51" s="68">
        <f>IFERROR(aurora_data!G1671,0)</f>
        <v>0</v>
      </c>
      <c r="I51" s="69">
        <f>IFERROR(aurora_data!H1671,0)</f>
        <v>0</v>
      </c>
      <c r="J51" s="60">
        <f>IFERROR(aurora_data!I1671,0)</f>
        <v>0</v>
      </c>
      <c r="K51" s="68">
        <f>IFERROR(aurora_data!J1671,0)</f>
        <v>0</v>
      </c>
      <c r="L51" s="68">
        <f>IFERROR(aurora_data!K1671,0)</f>
        <v>0</v>
      </c>
      <c r="M51" s="68">
        <f>IFERROR(aurora_data!L1671,0)</f>
        <v>0</v>
      </c>
      <c r="N51" s="69">
        <f>IFERROR(aurora_data!M1671,0)</f>
        <v>0</v>
      </c>
      <c r="O51" s="60">
        <f>IFERROR(aurora_data!N1671,0)</f>
        <v>0</v>
      </c>
      <c r="P51" s="68">
        <f>IFERROR(aurora_data!O1671,0)</f>
        <v>0</v>
      </c>
      <c r="Q51" s="68">
        <f>IFERROR(aurora_data!P1671,0)</f>
        <v>0</v>
      </c>
      <c r="R51" s="69">
        <f>IFERROR(aurora_data!Q1671,0)</f>
        <v>0</v>
      </c>
      <c r="S51" s="68">
        <f>IFERROR(aurora_data!R1671,0)</f>
        <v>0</v>
      </c>
      <c r="T51" s="68">
        <f>IFERROR(aurora_data!S1671,0)</f>
        <v>0</v>
      </c>
      <c r="U51" s="74">
        <f>IFERROR(aurora_data!T1671,0)</f>
        <v>0</v>
      </c>
      <c r="V51" s="75" t="s">
        <v>95</v>
      </c>
      <c r="W51" s="60">
        <f>IFERROR(aurora_data!U1671,0)</f>
        <v>0</v>
      </c>
      <c r="X51" s="73">
        <f t="shared" si="4"/>
        <v>0</v>
      </c>
      <c r="Y51" s="2"/>
    </row>
    <row r="52" spans="1:25" customFormat="1">
      <c r="A52" s="2"/>
      <c r="B52" s="210" t="s">
        <v>94</v>
      </c>
      <c r="C52" s="212" t="str">
        <f>aurora_data!A1672</f>
        <v>11.00.00-11.11.30</v>
      </c>
      <c r="D52" s="34" t="s">
        <v>71</v>
      </c>
      <c r="E52" s="39">
        <f>IFERROR(aurora_data!D1672,0)</f>
        <v>0</v>
      </c>
      <c r="F52" s="40">
        <f>IFERROR(aurora_data!E1672,0)</f>
        <v>0</v>
      </c>
      <c r="G52" s="40">
        <f>IFERROR(aurora_data!F1672,0)</f>
        <v>0</v>
      </c>
      <c r="H52" s="40">
        <f>IFERROR(aurora_data!G1672,0)</f>
        <v>0</v>
      </c>
      <c r="I52" s="41">
        <f>IFERROR(aurora_data!H1672,0)</f>
        <v>0</v>
      </c>
      <c r="J52" s="39">
        <f>IFERROR(aurora_data!I1672,0)</f>
        <v>0</v>
      </c>
      <c r="K52" s="40">
        <f>IFERROR(aurora_data!J1672,0)</f>
        <v>0</v>
      </c>
      <c r="L52" s="40">
        <f>IFERROR(aurora_data!K1672,0)</f>
        <v>0</v>
      </c>
      <c r="M52" s="40">
        <f>IFERROR(aurora_data!L1672,0)</f>
        <v>0</v>
      </c>
      <c r="N52" s="41">
        <f>IFERROR(aurora_data!M1672,0)</f>
        <v>0</v>
      </c>
      <c r="O52" s="39">
        <f>IFERROR(aurora_data!N1672,0)</f>
        <v>0</v>
      </c>
      <c r="P52" s="40">
        <f>IFERROR(aurora_data!O1672,0)</f>
        <v>0</v>
      </c>
      <c r="Q52" s="40">
        <f>IFERROR(aurora_data!P1672,0)</f>
        <v>0</v>
      </c>
      <c r="R52" s="41">
        <f>IFERROR(aurora_data!Q1672,0)</f>
        <v>0</v>
      </c>
      <c r="S52" s="40">
        <f>IFERROR(aurora_data!R1672,0)</f>
        <v>0</v>
      </c>
      <c r="T52" s="40">
        <f>IFERROR(aurora_data!S1672,0)</f>
        <v>0</v>
      </c>
      <c r="U52" s="76">
        <f>IFERROR(aurora_data!T1672,0)</f>
        <v>0</v>
      </c>
      <c r="V52" s="61" t="s">
        <v>95</v>
      </c>
      <c r="W52" s="39">
        <f>IFERROR(aurora_data!U1672,0)</f>
        <v>1</v>
      </c>
      <c r="X52" s="70">
        <f>IFERROR(W52/$W$12,0)</f>
        <v>0.5</v>
      </c>
      <c r="Y52" s="2"/>
    </row>
    <row r="53" spans="1:25" customFormat="1">
      <c r="A53" s="2"/>
      <c r="B53" s="211"/>
      <c r="C53" s="213"/>
      <c r="D53" s="35" t="s">
        <v>96</v>
      </c>
      <c r="E53" s="110">
        <f>IFERROR(aurora_data!D1673,0)</f>
        <v>0</v>
      </c>
      <c r="F53" s="62">
        <f>IFERROR(aurora_data!E1673,0)</f>
        <v>0</v>
      </c>
      <c r="G53" s="62">
        <f>IFERROR(aurora_data!F1673,0)</f>
        <v>0</v>
      </c>
      <c r="H53" s="62">
        <f>IFERROR(aurora_data!G1673,0)</f>
        <v>0</v>
      </c>
      <c r="I53" s="63">
        <f>IFERROR(aurora_data!H1673,0)</f>
        <v>0</v>
      </c>
      <c r="J53" s="36">
        <f>IFERROR(aurora_data!I1673,0)</f>
        <v>0</v>
      </c>
      <c r="K53" s="62">
        <f>IFERROR(aurora_data!J1673,0)</f>
        <v>0</v>
      </c>
      <c r="L53" s="62">
        <f>IFERROR(aurora_data!K1673,0)</f>
        <v>0</v>
      </c>
      <c r="M53" s="62">
        <f>IFERROR(aurora_data!L1673,0)</f>
        <v>0</v>
      </c>
      <c r="N53" s="63">
        <f>IFERROR(aurora_data!M1673,0)</f>
        <v>0</v>
      </c>
      <c r="O53" s="36">
        <f>IFERROR(aurora_data!N1673,0)</f>
        <v>0</v>
      </c>
      <c r="P53" s="62">
        <f>IFERROR(aurora_data!O1673,0)</f>
        <v>0</v>
      </c>
      <c r="Q53" s="62">
        <f>IFERROR(aurora_data!P1673,0)</f>
        <v>0</v>
      </c>
      <c r="R53" s="63">
        <f>IFERROR(aurora_data!Q1673,0)</f>
        <v>0</v>
      </c>
      <c r="S53" s="62">
        <f>IFERROR(aurora_data!R1673,0)</f>
        <v>0</v>
      </c>
      <c r="T53" s="62">
        <f>IFERROR(aurora_data!S1673,0)</f>
        <v>0</v>
      </c>
      <c r="U53" s="63">
        <f>IFERROR(aurora_data!T1673,0)</f>
        <v>0</v>
      </c>
      <c r="V53" s="64" t="s">
        <v>95</v>
      </c>
      <c r="W53" s="36">
        <f>IFERROR(aurora_data!U1673,0)</f>
        <v>0</v>
      </c>
      <c r="X53" s="71">
        <f t="shared" ref="X53:X59" si="5">IFERROR(W53/$W$12,0)</f>
        <v>0</v>
      </c>
      <c r="Y53" s="2"/>
    </row>
    <row r="54" spans="1:25" customFormat="1">
      <c r="A54" s="2"/>
      <c r="B54" s="211"/>
      <c r="C54" s="213"/>
      <c r="D54" s="35" t="s">
        <v>60</v>
      </c>
      <c r="E54" s="110">
        <f>IFERROR(aurora_data!D1674,0)</f>
        <v>0</v>
      </c>
      <c r="F54" s="62">
        <f>IFERROR(aurora_data!E1674,0)</f>
        <v>0</v>
      </c>
      <c r="G54" s="62">
        <f>IFERROR(aurora_data!F1674,0)</f>
        <v>0</v>
      </c>
      <c r="H54" s="62">
        <f>IFERROR(aurora_data!G1674,0)</f>
        <v>0</v>
      </c>
      <c r="I54" s="63">
        <f>IFERROR(aurora_data!H1674,0)</f>
        <v>0</v>
      </c>
      <c r="J54" s="36">
        <f>IFERROR(aurora_data!I1674,0)</f>
        <v>0</v>
      </c>
      <c r="K54" s="62">
        <f>IFERROR(aurora_data!J1674,0)</f>
        <v>0</v>
      </c>
      <c r="L54" s="62">
        <f>IFERROR(aurora_data!K1674,0)</f>
        <v>0</v>
      </c>
      <c r="M54" s="62">
        <f>IFERROR(aurora_data!L1674,0)</f>
        <v>0</v>
      </c>
      <c r="N54" s="63">
        <f>IFERROR(aurora_data!M1674,0)</f>
        <v>0</v>
      </c>
      <c r="O54" s="36">
        <f>IFERROR(aurora_data!N1674,0)</f>
        <v>0</v>
      </c>
      <c r="P54" s="62">
        <f>IFERROR(aurora_data!O1674,0)</f>
        <v>0</v>
      </c>
      <c r="Q54" s="62">
        <f>IFERROR(aurora_data!P1674,0)</f>
        <v>0</v>
      </c>
      <c r="R54" s="63">
        <f>IFERROR(aurora_data!Q1674,0)</f>
        <v>0</v>
      </c>
      <c r="S54" s="62">
        <f>IFERROR(aurora_data!R1674,0)</f>
        <v>0</v>
      </c>
      <c r="T54" s="62">
        <f>IFERROR(aurora_data!S1674,0)</f>
        <v>0</v>
      </c>
      <c r="U54" s="63">
        <f>IFERROR(aurora_data!T1674,0)</f>
        <v>0</v>
      </c>
      <c r="V54" s="64" t="s">
        <v>95</v>
      </c>
      <c r="W54" s="36">
        <f>IFERROR(aurora_data!U1674,0)</f>
        <v>0</v>
      </c>
      <c r="X54" s="71">
        <f t="shared" si="5"/>
        <v>0</v>
      </c>
      <c r="Y54" s="2"/>
    </row>
    <row r="55" spans="1:25" customFormat="1">
      <c r="A55" s="2"/>
      <c r="B55" s="211"/>
      <c r="C55" s="213"/>
      <c r="D55" s="35" t="s">
        <v>97</v>
      </c>
      <c r="E55" s="36">
        <f>IFERROR(aurora_data!D1675,0)</f>
        <v>0</v>
      </c>
      <c r="F55" s="62">
        <f>IFERROR(aurora_data!E1675,0)</f>
        <v>0</v>
      </c>
      <c r="G55" s="62">
        <f>IFERROR(aurora_data!F1675,0)</f>
        <v>0</v>
      </c>
      <c r="H55" s="62">
        <f>IFERROR(aurora_data!G1675,0)</f>
        <v>0</v>
      </c>
      <c r="I55" s="63">
        <f>IFERROR(aurora_data!H1675,0)</f>
        <v>0</v>
      </c>
      <c r="J55" s="36">
        <f>IFERROR(aurora_data!I1675,0)</f>
        <v>0</v>
      </c>
      <c r="K55" s="62">
        <f>IFERROR(aurora_data!J1675,0)</f>
        <v>0</v>
      </c>
      <c r="L55" s="62">
        <f>IFERROR(aurora_data!K1675,0)</f>
        <v>0</v>
      </c>
      <c r="M55" s="62">
        <f>IFERROR(aurora_data!L1675,0)</f>
        <v>0</v>
      </c>
      <c r="N55" s="63">
        <f>IFERROR(aurora_data!M1675,0)</f>
        <v>0</v>
      </c>
      <c r="O55" s="36">
        <f>IFERROR(aurora_data!N1675,0)</f>
        <v>0</v>
      </c>
      <c r="P55" s="62">
        <f>IFERROR(aurora_data!O1675,0)</f>
        <v>0</v>
      </c>
      <c r="Q55" s="62">
        <f>IFERROR(aurora_data!P1675,0)</f>
        <v>0</v>
      </c>
      <c r="R55" s="63">
        <f>IFERROR(aurora_data!Q1675,0)</f>
        <v>0</v>
      </c>
      <c r="S55" s="62">
        <f>IFERROR(aurora_data!R1675,0)</f>
        <v>0</v>
      </c>
      <c r="T55" s="62">
        <f>IFERROR(aurora_data!S1675,0)</f>
        <v>0</v>
      </c>
      <c r="U55" s="63">
        <f>IFERROR(aurora_data!T1675,0)</f>
        <v>0</v>
      </c>
      <c r="V55" s="64" t="s">
        <v>95</v>
      </c>
      <c r="W55" s="36">
        <f>IFERROR(aurora_data!U1675,0)</f>
        <v>0</v>
      </c>
      <c r="X55" s="71">
        <f t="shared" si="5"/>
        <v>0</v>
      </c>
      <c r="Y55" s="2"/>
    </row>
    <row r="56" spans="1:25" customFormat="1">
      <c r="A56" s="2"/>
      <c r="B56" s="211"/>
      <c r="C56" s="213"/>
      <c r="D56" s="35" t="s">
        <v>98</v>
      </c>
      <c r="E56" s="36">
        <f>IFERROR(aurora_data!D1676,0)</f>
        <v>0</v>
      </c>
      <c r="F56" s="62">
        <f>IFERROR(aurora_data!E1676,0)</f>
        <v>0</v>
      </c>
      <c r="G56" s="62">
        <f>IFERROR(aurora_data!F1676,0)</f>
        <v>0</v>
      </c>
      <c r="H56" s="62">
        <f>IFERROR(aurora_data!G1676,0)</f>
        <v>0</v>
      </c>
      <c r="I56" s="63">
        <f>IFERROR(aurora_data!H1676,0)</f>
        <v>0</v>
      </c>
      <c r="J56" s="36">
        <f>IFERROR(aurora_data!I1676,0)</f>
        <v>0</v>
      </c>
      <c r="K56" s="62">
        <f>IFERROR(aurora_data!J1676,0)</f>
        <v>0</v>
      </c>
      <c r="L56" s="62">
        <f>IFERROR(aurora_data!K1676,0)</f>
        <v>0</v>
      </c>
      <c r="M56" s="62">
        <f>IFERROR(aurora_data!L1676,0)</f>
        <v>0</v>
      </c>
      <c r="N56" s="63">
        <f>IFERROR(aurora_data!M1676,0)</f>
        <v>0</v>
      </c>
      <c r="O56" s="36">
        <f>IFERROR(aurora_data!N1676,0)</f>
        <v>0</v>
      </c>
      <c r="P56" s="62">
        <f>IFERROR(aurora_data!O1676,0)</f>
        <v>0</v>
      </c>
      <c r="Q56" s="62">
        <f>IFERROR(aurora_data!P1676,0)</f>
        <v>0</v>
      </c>
      <c r="R56" s="63">
        <f>IFERROR(aurora_data!Q1676,0)</f>
        <v>0</v>
      </c>
      <c r="S56" s="62">
        <f>IFERROR(aurora_data!R1676,0)</f>
        <v>0</v>
      </c>
      <c r="T56" s="62">
        <f>IFERROR(aurora_data!S1676,0)</f>
        <v>0</v>
      </c>
      <c r="U56" s="63">
        <f>IFERROR(aurora_data!T1676,0)</f>
        <v>0</v>
      </c>
      <c r="V56" s="64" t="s">
        <v>95</v>
      </c>
      <c r="W56" s="36">
        <f>IFERROR(aurora_data!U1676,0)</f>
        <v>0</v>
      </c>
      <c r="X56" s="71">
        <f t="shared" si="5"/>
        <v>0</v>
      </c>
      <c r="Y56" s="2"/>
    </row>
    <row r="57" spans="1:25" customFormat="1" ht="16.5" thickBot="1">
      <c r="A57" s="2"/>
      <c r="B57" s="211"/>
      <c r="C57" s="213"/>
      <c r="D57" s="35" t="s">
        <v>99</v>
      </c>
      <c r="E57" s="36">
        <f>IFERROR(aurora_data!D1677,0)</f>
        <v>0</v>
      </c>
      <c r="F57" s="62">
        <f>IFERROR(aurora_data!E1677,0)</f>
        <v>0</v>
      </c>
      <c r="G57" s="62">
        <f>IFERROR(aurora_data!F1677,0)</f>
        <v>0</v>
      </c>
      <c r="H57" s="62">
        <f>IFERROR(aurora_data!G1677,0)</f>
        <v>0</v>
      </c>
      <c r="I57" s="63">
        <f>IFERROR(aurora_data!H1677,0)</f>
        <v>0</v>
      </c>
      <c r="J57" s="36">
        <f>IFERROR(aurora_data!I1677,0)</f>
        <v>0</v>
      </c>
      <c r="K57" s="62">
        <f>IFERROR(aurora_data!J1677,0)</f>
        <v>0</v>
      </c>
      <c r="L57" s="62">
        <f>IFERROR(aurora_data!K1677,0)</f>
        <v>0</v>
      </c>
      <c r="M57" s="62">
        <f>IFERROR(aurora_data!L1677,0)</f>
        <v>0</v>
      </c>
      <c r="N57" s="63">
        <f>IFERROR(aurora_data!M1677,0)</f>
        <v>0</v>
      </c>
      <c r="O57" s="36">
        <f>IFERROR(aurora_data!N1677,0)</f>
        <v>0</v>
      </c>
      <c r="P57" s="62">
        <f>IFERROR(aurora_data!O1677,0)</f>
        <v>0</v>
      </c>
      <c r="Q57" s="62">
        <f>IFERROR(aurora_data!P1677,0)</f>
        <v>0</v>
      </c>
      <c r="R57" s="63">
        <f>IFERROR(aurora_data!Q1677,0)</f>
        <v>0</v>
      </c>
      <c r="S57" s="62">
        <f>IFERROR(aurora_data!R1677,0)</f>
        <v>0</v>
      </c>
      <c r="T57" s="62">
        <f>IFERROR(aurora_data!S1677,0)</f>
        <v>0</v>
      </c>
      <c r="U57" s="63">
        <f>IFERROR(aurora_data!T1677,0)</f>
        <v>0</v>
      </c>
      <c r="V57" s="64" t="s">
        <v>95</v>
      </c>
      <c r="W57" s="36">
        <f>IFERROR(aurora_data!U1677,0)</f>
        <v>0</v>
      </c>
      <c r="X57" s="71">
        <f t="shared" si="5"/>
        <v>0</v>
      </c>
      <c r="Y57" s="2"/>
    </row>
    <row r="58" spans="1:25" customFormat="1" ht="16.5" thickBot="1">
      <c r="A58" s="2"/>
      <c r="B58" s="211"/>
      <c r="C58" s="213"/>
      <c r="D58" s="37" t="s">
        <v>64</v>
      </c>
      <c r="E58" s="59">
        <f>IFERROR(aurora_data!D1678,0)</f>
        <v>0</v>
      </c>
      <c r="F58" s="65">
        <f>IFERROR(aurora_data!E1678,0)</f>
        <v>0</v>
      </c>
      <c r="G58" s="65">
        <f>IFERROR(aurora_data!F1678,0)</f>
        <v>0</v>
      </c>
      <c r="H58" s="65">
        <f>IFERROR(aurora_data!G1678,0)</f>
        <v>0</v>
      </c>
      <c r="I58" s="66">
        <f>IFERROR(aurora_data!H1678,0)</f>
        <v>0</v>
      </c>
      <c r="J58" s="59">
        <f>IFERROR(aurora_data!I1678,0)</f>
        <v>0</v>
      </c>
      <c r="K58" s="65">
        <f>IFERROR(aurora_data!J1678,0)</f>
        <v>0</v>
      </c>
      <c r="L58" s="65">
        <f>IFERROR(aurora_data!K1678,0)</f>
        <v>0</v>
      </c>
      <c r="M58" s="65">
        <f>IFERROR(aurora_data!L1678,0)</f>
        <v>0</v>
      </c>
      <c r="N58" s="66">
        <f>IFERROR(aurora_data!M1678,0)</f>
        <v>0</v>
      </c>
      <c r="O58" s="59">
        <f>IFERROR(aurora_data!N1678,0)</f>
        <v>0</v>
      </c>
      <c r="P58" s="65">
        <f>IFERROR(aurora_data!O1678,0)</f>
        <v>0</v>
      </c>
      <c r="Q58" s="65">
        <f>IFERROR(aurora_data!P1678,0)</f>
        <v>0</v>
      </c>
      <c r="R58" s="66">
        <f>IFERROR(aurora_data!Q1678,0)</f>
        <v>0</v>
      </c>
      <c r="S58" s="65">
        <f>IFERROR(aurora_data!R1678,0)</f>
        <v>0</v>
      </c>
      <c r="T58" s="65">
        <f>IFERROR(aurora_data!S1678,0)</f>
        <v>0</v>
      </c>
      <c r="U58" s="66">
        <f>IFERROR(aurora_data!T1678,0)</f>
        <v>0</v>
      </c>
      <c r="V58" s="67" t="s">
        <v>95</v>
      </c>
      <c r="W58" s="59">
        <f>IFERROR(aurora_data!U1678,0)</f>
        <v>0</v>
      </c>
      <c r="X58" s="72">
        <f t="shared" si="5"/>
        <v>0</v>
      </c>
      <c r="Y58" s="2"/>
    </row>
    <row r="59" spans="1:25" customFormat="1" ht="16.5" thickBot="1">
      <c r="A59" s="2"/>
      <c r="B59" s="211"/>
      <c r="C59" s="213"/>
      <c r="D59" s="38" t="s">
        <v>100</v>
      </c>
      <c r="E59" s="60">
        <f>IFERROR(aurora_data!D1679,0)</f>
        <v>0</v>
      </c>
      <c r="F59" s="68">
        <f>IFERROR(aurora_data!E1679,0)</f>
        <v>0</v>
      </c>
      <c r="G59" s="68">
        <f>IFERROR(aurora_data!F1679,0)</f>
        <v>0</v>
      </c>
      <c r="H59" s="68">
        <f>IFERROR(aurora_data!G1679,0)</f>
        <v>0</v>
      </c>
      <c r="I59" s="69">
        <f>IFERROR(aurora_data!H1679,0)</f>
        <v>0</v>
      </c>
      <c r="J59" s="60">
        <f>IFERROR(aurora_data!I1679,0)</f>
        <v>0</v>
      </c>
      <c r="K59" s="68">
        <f>IFERROR(aurora_data!J1679,0)</f>
        <v>0</v>
      </c>
      <c r="L59" s="68">
        <f>IFERROR(aurora_data!K1679,0)</f>
        <v>0</v>
      </c>
      <c r="M59" s="68">
        <f>IFERROR(aurora_data!L1679,0)</f>
        <v>0</v>
      </c>
      <c r="N59" s="69">
        <f>IFERROR(aurora_data!M1679,0)</f>
        <v>0</v>
      </c>
      <c r="O59" s="60">
        <f>IFERROR(aurora_data!N1679,0)</f>
        <v>0</v>
      </c>
      <c r="P59" s="68">
        <f>IFERROR(aurora_data!O1679,0)</f>
        <v>0</v>
      </c>
      <c r="Q59" s="68">
        <f>IFERROR(aurora_data!P1679,0)</f>
        <v>0</v>
      </c>
      <c r="R59" s="69">
        <f>IFERROR(aurora_data!Q1679,0)</f>
        <v>0</v>
      </c>
      <c r="S59" s="68">
        <f>IFERROR(aurora_data!R1679,0)</f>
        <v>0</v>
      </c>
      <c r="T59" s="68">
        <f>IFERROR(aurora_data!S1679,0)</f>
        <v>0</v>
      </c>
      <c r="U59" s="74">
        <f>IFERROR(aurora_data!T1679,0)</f>
        <v>0</v>
      </c>
      <c r="V59" s="75" t="s">
        <v>95</v>
      </c>
      <c r="W59" s="60">
        <f>IFERROR(aurora_data!U1679,0)</f>
        <v>0</v>
      </c>
      <c r="X59" s="73">
        <f t="shared" si="5"/>
        <v>0</v>
      </c>
      <c r="Y59" s="2"/>
    </row>
    <row r="60" spans="1:25" customFormat="1">
      <c r="A60" s="2"/>
      <c r="B60" s="210" t="s">
        <v>94</v>
      </c>
      <c r="C60" s="212" t="str">
        <f>aurora_data!A1680</f>
        <v>12.00.00-12.11.30</v>
      </c>
      <c r="D60" s="34" t="s">
        <v>71</v>
      </c>
      <c r="E60" s="39">
        <f>IFERROR(aurora_data!D1680,0)</f>
        <v>0</v>
      </c>
      <c r="F60" s="40">
        <f>IFERROR(aurora_data!E1680,0)</f>
        <v>0</v>
      </c>
      <c r="G60" s="40">
        <f>IFERROR(aurora_data!F1680,0)</f>
        <v>0</v>
      </c>
      <c r="H60" s="40">
        <f>IFERROR(aurora_data!G1680,0)</f>
        <v>0</v>
      </c>
      <c r="I60" s="41">
        <f>IFERROR(aurora_data!H1680,0)</f>
        <v>0</v>
      </c>
      <c r="J60" s="39">
        <f>IFERROR(aurora_data!I1680,0)</f>
        <v>0</v>
      </c>
      <c r="K60" s="40">
        <f>IFERROR(aurora_data!J1680,0)</f>
        <v>0</v>
      </c>
      <c r="L60" s="40">
        <f>IFERROR(aurora_data!K1680,0)</f>
        <v>0</v>
      </c>
      <c r="M60" s="40">
        <f>IFERROR(aurora_data!L1680,0)</f>
        <v>0</v>
      </c>
      <c r="N60" s="41">
        <f>IFERROR(aurora_data!M1680,0)</f>
        <v>0</v>
      </c>
      <c r="O60" s="39">
        <f>IFERROR(aurora_data!N1680,0)</f>
        <v>0</v>
      </c>
      <c r="P60" s="40">
        <f>IFERROR(aurora_data!O1680,0)</f>
        <v>0</v>
      </c>
      <c r="Q60" s="40">
        <f>IFERROR(aurora_data!P1680,0)</f>
        <v>0</v>
      </c>
      <c r="R60" s="41">
        <f>IFERROR(aurora_data!Q1680,0)</f>
        <v>0</v>
      </c>
      <c r="S60" s="40">
        <f>IFERROR(aurora_data!R1680,0)</f>
        <v>0</v>
      </c>
      <c r="T60" s="40">
        <f>IFERROR(aurora_data!S1680,0)</f>
        <v>0</v>
      </c>
      <c r="U60" s="76">
        <f>IFERROR(aurora_data!T1680,0)</f>
        <v>0</v>
      </c>
      <c r="V60" s="61" t="s">
        <v>95</v>
      </c>
      <c r="W60" s="39">
        <f>IFERROR(aurora_data!U1680,0)</f>
        <v>1</v>
      </c>
      <c r="X60" s="70">
        <f>IFERROR(W60/$W$12,0)</f>
        <v>0.5</v>
      </c>
      <c r="Y60" s="2"/>
    </row>
    <row r="61" spans="1:25" customFormat="1">
      <c r="A61" s="2"/>
      <c r="B61" s="211"/>
      <c r="C61" s="213"/>
      <c r="D61" s="35" t="s">
        <v>96</v>
      </c>
      <c r="E61" s="110">
        <f>IFERROR(aurora_data!D1681,0)</f>
        <v>0</v>
      </c>
      <c r="F61" s="62">
        <f>IFERROR(aurora_data!E1681,0)</f>
        <v>0</v>
      </c>
      <c r="G61" s="62">
        <f>IFERROR(aurora_data!F1681,0)</f>
        <v>0</v>
      </c>
      <c r="H61" s="62">
        <f>IFERROR(aurora_data!G1681,0)</f>
        <v>0</v>
      </c>
      <c r="I61" s="63">
        <f>IFERROR(aurora_data!H1681,0)</f>
        <v>0</v>
      </c>
      <c r="J61" s="36">
        <f>IFERROR(aurora_data!I1681,0)</f>
        <v>0</v>
      </c>
      <c r="K61" s="62">
        <f>IFERROR(aurora_data!J1681,0)</f>
        <v>0</v>
      </c>
      <c r="L61" s="62">
        <f>IFERROR(aurora_data!K1681,0)</f>
        <v>0</v>
      </c>
      <c r="M61" s="62">
        <f>IFERROR(aurora_data!L1681,0)</f>
        <v>0</v>
      </c>
      <c r="N61" s="63">
        <f>IFERROR(aurora_data!M1681,0)</f>
        <v>0</v>
      </c>
      <c r="O61" s="36">
        <f>IFERROR(aurora_data!N1681,0)</f>
        <v>0</v>
      </c>
      <c r="P61" s="62">
        <f>IFERROR(aurora_data!O1681,0)</f>
        <v>0</v>
      </c>
      <c r="Q61" s="62">
        <f>IFERROR(aurora_data!P1681,0)</f>
        <v>0</v>
      </c>
      <c r="R61" s="63">
        <f>IFERROR(aurora_data!Q1681,0)</f>
        <v>0</v>
      </c>
      <c r="S61" s="62">
        <f>IFERROR(aurora_data!R1681,0)</f>
        <v>0</v>
      </c>
      <c r="T61" s="62">
        <f>IFERROR(aurora_data!S1681,0)</f>
        <v>0</v>
      </c>
      <c r="U61" s="63">
        <f>IFERROR(aurora_data!T1681,0)</f>
        <v>0</v>
      </c>
      <c r="V61" s="64" t="s">
        <v>95</v>
      </c>
      <c r="W61" s="36">
        <f>IFERROR(aurora_data!U1681,0)</f>
        <v>0</v>
      </c>
      <c r="X61" s="71">
        <f t="shared" ref="X61:X67" si="6">IFERROR(W61/$W$12,0)</f>
        <v>0</v>
      </c>
      <c r="Y61" s="2"/>
    </row>
    <row r="62" spans="1:25" customFormat="1">
      <c r="A62" s="2"/>
      <c r="B62" s="211"/>
      <c r="C62" s="213"/>
      <c r="D62" s="35" t="s">
        <v>60</v>
      </c>
      <c r="E62" s="110">
        <f>IFERROR(aurora_data!D1682,0)</f>
        <v>0</v>
      </c>
      <c r="F62" s="62">
        <f>IFERROR(aurora_data!E1682,0)</f>
        <v>0</v>
      </c>
      <c r="G62" s="62">
        <f>IFERROR(aurora_data!F1682,0)</f>
        <v>0</v>
      </c>
      <c r="H62" s="62">
        <f>IFERROR(aurora_data!G1682,0)</f>
        <v>0</v>
      </c>
      <c r="I62" s="63">
        <f>IFERROR(aurora_data!H1682,0)</f>
        <v>0</v>
      </c>
      <c r="J62" s="36">
        <f>IFERROR(aurora_data!I1682,0)</f>
        <v>0</v>
      </c>
      <c r="K62" s="62">
        <f>IFERROR(aurora_data!J1682,0)</f>
        <v>0</v>
      </c>
      <c r="L62" s="62">
        <f>IFERROR(aurora_data!K1682,0)</f>
        <v>0</v>
      </c>
      <c r="M62" s="62">
        <f>IFERROR(aurora_data!L1682,0)</f>
        <v>0</v>
      </c>
      <c r="N62" s="63">
        <f>IFERROR(aurora_data!M1682,0)</f>
        <v>0</v>
      </c>
      <c r="O62" s="36">
        <f>IFERROR(aurora_data!N1682,0)</f>
        <v>0</v>
      </c>
      <c r="P62" s="62">
        <f>IFERROR(aurora_data!O1682,0)</f>
        <v>0</v>
      </c>
      <c r="Q62" s="62">
        <f>IFERROR(aurora_data!P1682,0)</f>
        <v>0</v>
      </c>
      <c r="R62" s="63">
        <f>IFERROR(aurora_data!Q1682,0)</f>
        <v>0</v>
      </c>
      <c r="S62" s="62">
        <f>IFERROR(aurora_data!R1682,0)</f>
        <v>0</v>
      </c>
      <c r="T62" s="62">
        <f>IFERROR(aurora_data!S1682,0)</f>
        <v>0</v>
      </c>
      <c r="U62" s="63">
        <f>IFERROR(aurora_data!T1682,0)</f>
        <v>0</v>
      </c>
      <c r="V62" s="64" t="s">
        <v>95</v>
      </c>
      <c r="W62" s="36">
        <f>IFERROR(aurora_data!U1682,0)</f>
        <v>0</v>
      </c>
      <c r="X62" s="71">
        <f t="shared" si="6"/>
        <v>0</v>
      </c>
      <c r="Y62" s="2"/>
    </row>
    <row r="63" spans="1:25" customFormat="1">
      <c r="A63" s="2"/>
      <c r="B63" s="211"/>
      <c r="C63" s="213"/>
      <c r="D63" s="35" t="s">
        <v>97</v>
      </c>
      <c r="E63" s="36">
        <f>IFERROR(aurora_data!D1683,0)</f>
        <v>0</v>
      </c>
      <c r="F63" s="62">
        <f>IFERROR(aurora_data!E1683,0)</f>
        <v>0</v>
      </c>
      <c r="G63" s="62">
        <f>IFERROR(aurora_data!F1683,0)</f>
        <v>0</v>
      </c>
      <c r="H63" s="62">
        <f>IFERROR(aurora_data!G1683,0)</f>
        <v>0</v>
      </c>
      <c r="I63" s="63">
        <f>IFERROR(aurora_data!H1683,0)</f>
        <v>0</v>
      </c>
      <c r="J63" s="36">
        <f>IFERROR(aurora_data!I1683,0)</f>
        <v>0</v>
      </c>
      <c r="K63" s="62">
        <f>IFERROR(aurora_data!J1683,0)</f>
        <v>0</v>
      </c>
      <c r="L63" s="62">
        <f>IFERROR(aurora_data!K1683,0)</f>
        <v>0</v>
      </c>
      <c r="M63" s="62">
        <f>IFERROR(aurora_data!L1683,0)</f>
        <v>0</v>
      </c>
      <c r="N63" s="63">
        <f>IFERROR(aurora_data!M1683,0)</f>
        <v>0</v>
      </c>
      <c r="O63" s="36">
        <f>IFERROR(aurora_data!N1683,0)</f>
        <v>0</v>
      </c>
      <c r="P63" s="62">
        <f>IFERROR(aurora_data!O1683,0)</f>
        <v>0</v>
      </c>
      <c r="Q63" s="62">
        <f>IFERROR(aurora_data!P1683,0)</f>
        <v>0</v>
      </c>
      <c r="R63" s="63">
        <f>IFERROR(aurora_data!Q1683,0)</f>
        <v>0</v>
      </c>
      <c r="S63" s="62">
        <f>IFERROR(aurora_data!R1683,0)</f>
        <v>0</v>
      </c>
      <c r="T63" s="62">
        <f>IFERROR(aurora_data!S1683,0)</f>
        <v>0</v>
      </c>
      <c r="U63" s="63">
        <f>IFERROR(aurora_data!T1683,0)</f>
        <v>0</v>
      </c>
      <c r="V63" s="64" t="s">
        <v>95</v>
      </c>
      <c r="W63" s="36">
        <f>IFERROR(aurora_data!U1683,0)</f>
        <v>0</v>
      </c>
      <c r="X63" s="71">
        <f t="shared" si="6"/>
        <v>0</v>
      </c>
      <c r="Y63" s="2"/>
    </row>
    <row r="64" spans="1:25" customFormat="1">
      <c r="A64" s="2"/>
      <c r="B64" s="211"/>
      <c r="C64" s="213"/>
      <c r="D64" s="35" t="s">
        <v>98</v>
      </c>
      <c r="E64" s="36">
        <f>IFERROR(aurora_data!D1684,0)</f>
        <v>0</v>
      </c>
      <c r="F64" s="62">
        <f>IFERROR(aurora_data!E1684,0)</f>
        <v>0</v>
      </c>
      <c r="G64" s="62">
        <f>IFERROR(aurora_data!F1684,0)</f>
        <v>0</v>
      </c>
      <c r="H64" s="62">
        <f>IFERROR(aurora_data!G1684,0)</f>
        <v>0</v>
      </c>
      <c r="I64" s="63">
        <f>IFERROR(aurora_data!H1684,0)</f>
        <v>0</v>
      </c>
      <c r="J64" s="36">
        <f>IFERROR(aurora_data!I1684,0)</f>
        <v>0</v>
      </c>
      <c r="K64" s="62">
        <f>IFERROR(aurora_data!J1684,0)</f>
        <v>0</v>
      </c>
      <c r="L64" s="62">
        <f>IFERROR(aurora_data!K1684,0)</f>
        <v>0</v>
      </c>
      <c r="M64" s="62">
        <f>IFERROR(aurora_data!L1684,0)</f>
        <v>0</v>
      </c>
      <c r="N64" s="63">
        <f>IFERROR(aurora_data!M1684,0)</f>
        <v>0</v>
      </c>
      <c r="O64" s="36">
        <f>IFERROR(aurora_data!N1684,0)</f>
        <v>0</v>
      </c>
      <c r="P64" s="62">
        <f>IFERROR(aurora_data!O1684,0)</f>
        <v>0</v>
      </c>
      <c r="Q64" s="62">
        <f>IFERROR(aurora_data!P1684,0)</f>
        <v>0</v>
      </c>
      <c r="R64" s="63">
        <f>IFERROR(aurora_data!Q1684,0)</f>
        <v>0</v>
      </c>
      <c r="S64" s="62">
        <f>IFERROR(aurora_data!R1684,0)</f>
        <v>0</v>
      </c>
      <c r="T64" s="62">
        <f>IFERROR(aurora_data!S1684,0)</f>
        <v>0</v>
      </c>
      <c r="U64" s="63">
        <f>IFERROR(aurora_data!T1684,0)</f>
        <v>0</v>
      </c>
      <c r="V64" s="64" t="s">
        <v>95</v>
      </c>
      <c r="W64" s="36">
        <f>IFERROR(aurora_data!U1684,0)</f>
        <v>0</v>
      </c>
      <c r="X64" s="71">
        <f t="shared" si="6"/>
        <v>0</v>
      </c>
      <c r="Y64" s="2"/>
    </row>
    <row r="65" spans="1:25" customFormat="1" ht="16.5" thickBot="1">
      <c r="A65" s="2"/>
      <c r="B65" s="211"/>
      <c r="C65" s="213"/>
      <c r="D65" s="35" t="s">
        <v>99</v>
      </c>
      <c r="E65" s="36">
        <f>IFERROR(aurora_data!D1685,0)</f>
        <v>0</v>
      </c>
      <c r="F65" s="62">
        <f>IFERROR(aurora_data!E1685,0)</f>
        <v>0</v>
      </c>
      <c r="G65" s="62">
        <f>IFERROR(aurora_data!F1685,0)</f>
        <v>0</v>
      </c>
      <c r="H65" s="62">
        <f>IFERROR(aurora_data!G1685,0)</f>
        <v>0</v>
      </c>
      <c r="I65" s="63">
        <f>IFERROR(aurora_data!H1685,0)</f>
        <v>0</v>
      </c>
      <c r="J65" s="36">
        <f>IFERROR(aurora_data!I1685,0)</f>
        <v>0</v>
      </c>
      <c r="K65" s="62">
        <f>IFERROR(aurora_data!J1685,0)</f>
        <v>0</v>
      </c>
      <c r="L65" s="62">
        <f>IFERROR(aurora_data!K1685,0)</f>
        <v>0</v>
      </c>
      <c r="M65" s="62">
        <f>IFERROR(aurora_data!L1685,0)</f>
        <v>0</v>
      </c>
      <c r="N65" s="63">
        <f>IFERROR(aurora_data!M1685,0)</f>
        <v>0</v>
      </c>
      <c r="O65" s="36">
        <f>IFERROR(aurora_data!N1685,0)</f>
        <v>0</v>
      </c>
      <c r="P65" s="62">
        <f>IFERROR(aurora_data!O1685,0)</f>
        <v>0</v>
      </c>
      <c r="Q65" s="62">
        <f>IFERROR(aurora_data!P1685,0)</f>
        <v>0</v>
      </c>
      <c r="R65" s="63">
        <f>IFERROR(aurora_data!Q1685,0)</f>
        <v>0</v>
      </c>
      <c r="S65" s="62">
        <f>IFERROR(aurora_data!R1685,0)</f>
        <v>0</v>
      </c>
      <c r="T65" s="62">
        <f>IFERROR(aurora_data!S1685,0)</f>
        <v>0</v>
      </c>
      <c r="U65" s="63">
        <f>IFERROR(aurora_data!T1685,0)</f>
        <v>0</v>
      </c>
      <c r="V65" s="64" t="s">
        <v>95</v>
      </c>
      <c r="W65" s="36">
        <f>IFERROR(aurora_data!U1685,0)</f>
        <v>0</v>
      </c>
      <c r="X65" s="71">
        <f t="shared" si="6"/>
        <v>0</v>
      </c>
      <c r="Y65" s="2"/>
    </row>
    <row r="66" spans="1:25" customFormat="1" ht="16.5" thickBot="1">
      <c r="A66" s="2"/>
      <c r="B66" s="211"/>
      <c r="C66" s="213"/>
      <c r="D66" s="37" t="s">
        <v>64</v>
      </c>
      <c r="E66" s="59">
        <f>IFERROR(aurora_data!D1686,0)</f>
        <v>0</v>
      </c>
      <c r="F66" s="65">
        <f>IFERROR(aurora_data!E1686,0)</f>
        <v>0</v>
      </c>
      <c r="G66" s="65">
        <f>IFERROR(aurora_data!F1686,0)</f>
        <v>0</v>
      </c>
      <c r="H66" s="65">
        <f>IFERROR(aurora_data!G1686,0)</f>
        <v>0</v>
      </c>
      <c r="I66" s="66">
        <f>IFERROR(aurora_data!H1686,0)</f>
        <v>0</v>
      </c>
      <c r="J66" s="59">
        <f>IFERROR(aurora_data!I1686,0)</f>
        <v>0</v>
      </c>
      <c r="K66" s="65">
        <f>IFERROR(aurora_data!J1686,0)</f>
        <v>0</v>
      </c>
      <c r="L66" s="65">
        <f>IFERROR(aurora_data!K1686,0)</f>
        <v>0</v>
      </c>
      <c r="M66" s="65">
        <f>IFERROR(aurora_data!L1686,0)</f>
        <v>0</v>
      </c>
      <c r="N66" s="66">
        <f>IFERROR(aurora_data!M1686,0)</f>
        <v>0</v>
      </c>
      <c r="O66" s="59">
        <f>IFERROR(aurora_data!N1686,0)</f>
        <v>0</v>
      </c>
      <c r="P66" s="65">
        <f>IFERROR(aurora_data!O1686,0)</f>
        <v>0</v>
      </c>
      <c r="Q66" s="65">
        <f>IFERROR(aurora_data!P1686,0)</f>
        <v>0</v>
      </c>
      <c r="R66" s="66">
        <f>IFERROR(aurora_data!Q1686,0)</f>
        <v>0</v>
      </c>
      <c r="S66" s="65">
        <f>IFERROR(aurora_data!R1686,0)</f>
        <v>0</v>
      </c>
      <c r="T66" s="65">
        <f>IFERROR(aurora_data!S1686,0)</f>
        <v>0</v>
      </c>
      <c r="U66" s="66">
        <f>IFERROR(aurora_data!T1686,0)</f>
        <v>0</v>
      </c>
      <c r="V66" s="67" t="s">
        <v>95</v>
      </c>
      <c r="W66" s="59">
        <f>IFERROR(aurora_data!U1686,0)</f>
        <v>0</v>
      </c>
      <c r="X66" s="72">
        <f t="shared" si="6"/>
        <v>0</v>
      </c>
      <c r="Y66" s="2"/>
    </row>
    <row r="67" spans="1:25" customFormat="1" ht="16.5" thickBot="1">
      <c r="A67" s="2"/>
      <c r="B67" s="211"/>
      <c r="C67" s="213"/>
      <c r="D67" s="38" t="s">
        <v>100</v>
      </c>
      <c r="E67" s="60">
        <f>IFERROR(aurora_data!D1687,0)</f>
        <v>0</v>
      </c>
      <c r="F67" s="68">
        <f>IFERROR(aurora_data!E1687,0)</f>
        <v>0</v>
      </c>
      <c r="G67" s="68">
        <f>IFERROR(aurora_data!F1687,0)</f>
        <v>0</v>
      </c>
      <c r="H67" s="68">
        <f>IFERROR(aurora_data!G1687,0)</f>
        <v>0</v>
      </c>
      <c r="I67" s="69">
        <f>IFERROR(aurora_data!H1687,0)</f>
        <v>0</v>
      </c>
      <c r="J67" s="60">
        <f>IFERROR(aurora_data!I1687,0)</f>
        <v>0</v>
      </c>
      <c r="K67" s="68">
        <f>IFERROR(aurora_data!J1687,0)</f>
        <v>0</v>
      </c>
      <c r="L67" s="68">
        <f>IFERROR(aurora_data!K1687,0)</f>
        <v>0</v>
      </c>
      <c r="M67" s="68">
        <f>IFERROR(aurora_data!L1687,0)</f>
        <v>0</v>
      </c>
      <c r="N67" s="69">
        <f>IFERROR(aurora_data!M1687,0)</f>
        <v>0</v>
      </c>
      <c r="O67" s="60">
        <f>IFERROR(aurora_data!N1687,0)</f>
        <v>0</v>
      </c>
      <c r="P67" s="68">
        <f>IFERROR(aurora_data!O1687,0)</f>
        <v>0</v>
      </c>
      <c r="Q67" s="68">
        <f>IFERROR(aurora_data!P1687,0)</f>
        <v>0</v>
      </c>
      <c r="R67" s="69">
        <f>IFERROR(aurora_data!Q1687,0)</f>
        <v>0</v>
      </c>
      <c r="S67" s="68">
        <f>IFERROR(aurora_data!R1687,0)</f>
        <v>0</v>
      </c>
      <c r="T67" s="68">
        <f>IFERROR(aurora_data!S1687,0)</f>
        <v>0</v>
      </c>
      <c r="U67" s="74">
        <f>IFERROR(aurora_data!T1687,0)</f>
        <v>0</v>
      </c>
      <c r="V67" s="75" t="s">
        <v>95</v>
      </c>
      <c r="W67" s="60">
        <f>IFERROR(aurora_data!U1687,0)</f>
        <v>0</v>
      </c>
      <c r="X67" s="73">
        <f t="shared" si="6"/>
        <v>0</v>
      </c>
      <c r="Y67" s="2"/>
    </row>
    <row r="68" spans="1:25" customFormat="1">
      <c r="A68" s="2"/>
      <c r="B68" s="210" t="s">
        <v>94</v>
      </c>
      <c r="C68" s="212" t="str">
        <f>aurora_data!A1688</f>
        <v>13.00.00-13.11.30</v>
      </c>
      <c r="D68" s="34" t="s">
        <v>71</v>
      </c>
      <c r="E68" s="39">
        <f>IFERROR(aurora_data!D1688,0)</f>
        <v>0</v>
      </c>
      <c r="F68" s="40">
        <f>IFERROR(aurora_data!E1688,0)</f>
        <v>0</v>
      </c>
      <c r="G68" s="40">
        <f>IFERROR(aurora_data!F1688,0)</f>
        <v>0</v>
      </c>
      <c r="H68" s="40">
        <f>IFERROR(aurora_data!G1688,0)</f>
        <v>0</v>
      </c>
      <c r="I68" s="41">
        <f>IFERROR(aurora_data!H1688,0)</f>
        <v>0</v>
      </c>
      <c r="J68" s="39">
        <f>IFERROR(aurora_data!I1688,0)</f>
        <v>0</v>
      </c>
      <c r="K68" s="40">
        <f>IFERROR(aurora_data!J1688,0)</f>
        <v>0</v>
      </c>
      <c r="L68" s="40">
        <f>IFERROR(aurora_data!K1688,0)</f>
        <v>0</v>
      </c>
      <c r="M68" s="40">
        <f>IFERROR(aurora_data!L1688,0)</f>
        <v>0</v>
      </c>
      <c r="N68" s="41">
        <f>IFERROR(aurora_data!M1688,0)</f>
        <v>0</v>
      </c>
      <c r="O68" s="39">
        <f>IFERROR(aurora_data!N1688,0)</f>
        <v>0</v>
      </c>
      <c r="P68" s="40">
        <f>IFERROR(aurora_data!O1688,0)</f>
        <v>0</v>
      </c>
      <c r="Q68" s="40">
        <f>IFERROR(aurora_data!P1688,0)</f>
        <v>0</v>
      </c>
      <c r="R68" s="41">
        <f>IFERROR(aurora_data!Q1688,0)</f>
        <v>0</v>
      </c>
      <c r="S68" s="40">
        <f>IFERROR(aurora_data!R1688,0)</f>
        <v>0</v>
      </c>
      <c r="T68" s="40">
        <f>IFERROR(aurora_data!S1688,0)</f>
        <v>0</v>
      </c>
      <c r="U68" s="76">
        <f>IFERROR(aurora_data!T1688,0)</f>
        <v>0</v>
      </c>
      <c r="V68" s="61" t="s">
        <v>95</v>
      </c>
      <c r="W68" s="39">
        <f>IFERROR(aurora_data!U1688,0)</f>
        <v>1</v>
      </c>
      <c r="X68" s="70">
        <f>IFERROR(W68/$W$12,0)</f>
        <v>0.5</v>
      </c>
      <c r="Y68" s="2"/>
    </row>
    <row r="69" spans="1:25" customFormat="1">
      <c r="A69" s="2"/>
      <c r="B69" s="211"/>
      <c r="C69" s="213"/>
      <c r="D69" s="35" t="s">
        <v>96</v>
      </c>
      <c r="E69" s="110">
        <f>IFERROR(aurora_data!D1689,0)</f>
        <v>0</v>
      </c>
      <c r="F69" s="62">
        <f>IFERROR(aurora_data!E1689,0)</f>
        <v>0</v>
      </c>
      <c r="G69" s="62">
        <f>IFERROR(aurora_data!F1689,0)</f>
        <v>0</v>
      </c>
      <c r="H69" s="62">
        <f>IFERROR(aurora_data!G1689,0)</f>
        <v>0</v>
      </c>
      <c r="I69" s="63">
        <f>IFERROR(aurora_data!H1689,0)</f>
        <v>0</v>
      </c>
      <c r="J69" s="36">
        <f>IFERROR(aurora_data!I1689,0)</f>
        <v>0</v>
      </c>
      <c r="K69" s="62">
        <f>IFERROR(aurora_data!J1689,0)</f>
        <v>0</v>
      </c>
      <c r="L69" s="62">
        <f>IFERROR(aurora_data!K1689,0)</f>
        <v>0</v>
      </c>
      <c r="M69" s="62">
        <f>IFERROR(aurora_data!L1689,0)</f>
        <v>0</v>
      </c>
      <c r="N69" s="63">
        <f>IFERROR(aurora_data!M1689,0)</f>
        <v>0</v>
      </c>
      <c r="O69" s="36">
        <f>IFERROR(aurora_data!N1689,0)</f>
        <v>0</v>
      </c>
      <c r="P69" s="62">
        <f>IFERROR(aurora_data!O1689,0)</f>
        <v>0</v>
      </c>
      <c r="Q69" s="62">
        <f>IFERROR(aurora_data!P1689,0)</f>
        <v>0</v>
      </c>
      <c r="R69" s="63">
        <f>IFERROR(aurora_data!Q1689,0)</f>
        <v>0</v>
      </c>
      <c r="S69" s="62">
        <f>IFERROR(aurora_data!R1689,0)</f>
        <v>0</v>
      </c>
      <c r="T69" s="62">
        <f>IFERROR(aurora_data!S1689,0)</f>
        <v>0</v>
      </c>
      <c r="U69" s="63">
        <f>IFERROR(aurora_data!T1689,0)</f>
        <v>0</v>
      </c>
      <c r="V69" s="64" t="s">
        <v>95</v>
      </c>
      <c r="W69" s="36">
        <f>IFERROR(aurora_data!U1689,0)</f>
        <v>0</v>
      </c>
      <c r="X69" s="71">
        <f t="shared" ref="X69:X75" si="7">IFERROR(W69/$W$12,0)</f>
        <v>0</v>
      </c>
      <c r="Y69" s="2"/>
    </row>
    <row r="70" spans="1:25" customFormat="1">
      <c r="A70" s="2"/>
      <c r="B70" s="211"/>
      <c r="C70" s="213"/>
      <c r="D70" s="35" t="s">
        <v>60</v>
      </c>
      <c r="E70" s="110">
        <f>IFERROR(aurora_data!D1690,0)</f>
        <v>0</v>
      </c>
      <c r="F70" s="62">
        <f>IFERROR(aurora_data!E1690,0)</f>
        <v>0</v>
      </c>
      <c r="G70" s="62">
        <f>IFERROR(aurora_data!F1690,0)</f>
        <v>0</v>
      </c>
      <c r="H70" s="62">
        <f>IFERROR(aurora_data!G1690,0)</f>
        <v>0</v>
      </c>
      <c r="I70" s="63">
        <f>IFERROR(aurora_data!H1690,0)</f>
        <v>0</v>
      </c>
      <c r="J70" s="36">
        <f>IFERROR(aurora_data!I1690,0)</f>
        <v>0</v>
      </c>
      <c r="K70" s="62">
        <f>IFERROR(aurora_data!J1690,0)</f>
        <v>0</v>
      </c>
      <c r="L70" s="62">
        <f>IFERROR(aurora_data!K1690,0)</f>
        <v>0</v>
      </c>
      <c r="M70" s="62">
        <f>IFERROR(aurora_data!L1690,0)</f>
        <v>0</v>
      </c>
      <c r="N70" s="63">
        <f>IFERROR(aurora_data!M1690,0)</f>
        <v>0</v>
      </c>
      <c r="O70" s="36">
        <f>IFERROR(aurora_data!N1690,0)</f>
        <v>0</v>
      </c>
      <c r="P70" s="62">
        <f>IFERROR(aurora_data!O1690,0)</f>
        <v>0</v>
      </c>
      <c r="Q70" s="62">
        <f>IFERROR(aurora_data!P1690,0)</f>
        <v>0</v>
      </c>
      <c r="R70" s="63">
        <f>IFERROR(aurora_data!Q1690,0)</f>
        <v>0</v>
      </c>
      <c r="S70" s="62">
        <f>IFERROR(aurora_data!R1690,0)</f>
        <v>0</v>
      </c>
      <c r="T70" s="62">
        <f>IFERROR(aurora_data!S1690,0)</f>
        <v>0</v>
      </c>
      <c r="U70" s="63">
        <f>IFERROR(aurora_data!T1690,0)</f>
        <v>0</v>
      </c>
      <c r="V70" s="64" t="s">
        <v>95</v>
      </c>
      <c r="W70" s="36">
        <f>IFERROR(aurora_data!U1690,0)</f>
        <v>0</v>
      </c>
      <c r="X70" s="71">
        <f t="shared" si="7"/>
        <v>0</v>
      </c>
      <c r="Y70" s="2"/>
    </row>
    <row r="71" spans="1:25" customFormat="1">
      <c r="A71" s="2"/>
      <c r="B71" s="211"/>
      <c r="C71" s="213"/>
      <c r="D71" s="35" t="s">
        <v>97</v>
      </c>
      <c r="E71" s="36">
        <f>IFERROR(aurora_data!D1691,0)</f>
        <v>0</v>
      </c>
      <c r="F71" s="62">
        <f>IFERROR(aurora_data!E1691,0)</f>
        <v>0</v>
      </c>
      <c r="G71" s="62">
        <f>IFERROR(aurora_data!F1691,0)</f>
        <v>0</v>
      </c>
      <c r="H71" s="62">
        <f>IFERROR(aurora_data!G1691,0)</f>
        <v>0</v>
      </c>
      <c r="I71" s="63">
        <f>IFERROR(aurora_data!H1691,0)</f>
        <v>0</v>
      </c>
      <c r="J71" s="36">
        <f>IFERROR(aurora_data!I1691,0)</f>
        <v>0</v>
      </c>
      <c r="K71" s="62">
        <f>IFERROR(aurora_data!J1691,0)</f>
        <v>0</v>
      </c>
      <c r="L71" s="62">
        <f>IFERROR(aurora_data!K1691,0)</f>
        <v>0</v>
      </c>
      <c r="M71" s="62">
        <f>IFERROR(aurora_data!L1691,0)</f>
        <v>0</v>
      </c>
      <c r="N71" s="63">
        <f>IFERROR(aurora_data!M1691,0)</f>
        <v>0</v>
      </c>
      <c r="O71" s="36">
        <f>IFERROR(aurora_data!N1691,0)</f>
        <v>0</v>
      </c>
      <c r="P71" s="62">
        <f>IFERROR(aurora_data!O1691,0)</f>
        <v>0</v>
      </c>
      <c r="Q71" s="62">
        <f>IFERROR(aurora_data!P1691,0)</f>
        <v>0</v>
      </c>
      <c r="R71" s="63">
        <f>IFERROR(aurora_data!Q1691,0)</f>
        <v>0</v>
      </c>
      <c r="S71" s="62">
        <f>IFERROR(aurora_data!R1691,0)</f>
        <v>0</v>
      </c>
      <c r="T71" s="62">
        <f>IFERROR(aurora_data!S1691,0)</f>
        <v>0</v>
      </c>
      <c r="U71" s="63">
        <f>IFERROR(aurora_data!T1691,0)</f>
        <v>0</v>
      </c>
      <c r="V71" s="64" t="s">
        <v>95</v>
      </c>
      <c r="W71" s="36">
        <f>IFERROR(aurora_data!U1691,0)</f>
        <v>0</v>
      </c>
      <c r="X71" s="71">
        <f t="shared" si="7"/>
        <v>0</v>
      </c>
      <c r="Y71" s="2"/>
    </row>
    <row r="72" spans="1:25" customFormat="1">
      <c r="A72" s="2"/>
      <c r="B72" s="211"/>
      <c r="C72" s="213"/>
      <c r="D72" s="35" t="s">
        <v>98</v>
      </c>
      <c r="E72" s="36">
        <f>IFERROR(aurora_data!D1692,0)</f>
        <v>0</v>
      </c>
      <c r="F72" s="62">
        <f>IFERROR(aurora_data!E1692,0)</f>
        <v>0</v>
      </c>
      <c r="G72" s="62">
        <f>IFERROR(aurora_data!F1692,0)</f>
        <v>0</v>
      </c>
      <c r="H72" s="62">
        <f>IFERROR(aurora_data!G1692,0)</f>
        <v>0</v>
      </c>
      <c r="I72" s="63">
        <f>IFERROR(aurora_data!H1692,0)</f>
        <v>0</v>
      </c>
      <c r="J72" s="36">
        <f>IFERROR(aurora_data!I1692,0)</f>
        <v>0</v>
      </c>
      <c r="K72" s="62">
        <f>IFERROR(aurora_data!J1692,0)</f>
        <v>0</v>
      </c>
      <c r="L72" s="62">
        <f>IFERROR(aurora_data!K1692,0)</f>
        <v>0</v>
      </c>
      <c r="M72" s="62">
        <f>IFERROR(aurora_data!L1692,0)</f>
        <v>0</v>
      </c>
      <c r="N72" s="63">
        <f>IFERROR(aurora_data!M1692,0)</f>
        <v>0</v>
      </c>
      <c r="O72" s="36">
        <f>IFERROR(aurora_data!N1692,0)</f>
        <v>0</v>
      </c>
      <c r="P72" s="62">
        <f>IFERROR(aurora_data!O1692,0)</f>
        <v>0</v>
      </c>
      <c r="Q72" s="62">
        <f>IFERROR(aurora_data!P1692,0)</f>
        <v>0</v>
      </c>
      <c r="R72" s="63">
        <f>IFERROR(aurora_data!Q1692,0)</f>
        <v>0</v>
      </c>
      <c r="S72" s="62">
        <f>IFERROR(aurora_data!R1692,0)</f>
        <v>0</v>
      </c>
      <c r="T72" s="62">
        <f>IFERROR(aurora_data!S1692,0)</f>
        <v>0</v>
      </c>
      <c r="U72" s="63">
        <f>IFERROR(aurora_data!T1692,0)</f>
        <v>0</v>
      </c>
      <c r="V72" s="64" t="s">
        <v>95</v>
      </c>
      <c r="W72" s="36">
        <f>IFERROR(aurora_data!U1692,0)</f>
        <v>0</v>
      </c>
      <c r="X72" s="71">
        <f t="shared" si="7"/>
        <v>0</v>
      </c>
      <c r="Y72" s="2"/>
    </row>
    <row r="73" spans="1:25" customFormat="1" ht="16.5" thickBot="1">
      <c r="A73" s="2"/>
      <c r="B73" s="211"/>
      <c r="C73" s="213"/>
      <c r="D73" s="35" t="s">
        <v>99</v>
      </c>
      <c r="E73" s="36">
        <f>IFERROR(aurora_data!D1693,0)</f>
        <v>0</v>
      </c>
      <c r="F73" s="62">
        <f>IFERROR(aurora_data!E1693,0)</f>
        <v>0</v>
      </c>
      <c r="G73" s="62">
        <f>IFERROR(aurora_data!F1693,0)</f>
        <v>0</v>
      </c>
      <c r="H73" s="62">
        <f>IFERROR(aurora_data!G1693,0)</f>
        <v>0</v>
      </c>
      <c r="I73" s="63">
        <f>IFERROR(aurora_data!H1693,0)</f>
        <v>0</v>
      </c>
      <c r="J73" s="36">
        <f>IFERROR(aurora_data!I1693,0)</f>
        <v>0</v>
      </c>
      <c r="K73" s="62">
        <f>IFERROR(aurora_data!J1693,0)</f>
        <v>0</v>
      </c>
      <c r="L73" s="62">
        <f>IFERROR(aurora_data!K1693,0)</f>
        <v>0</v>
      </c>
      <c r="M73" s="62">
        <f>IFERROR(aurora_data!L1693,0)</f>
        <v>0</v>
      </c>
      <c r="N73" s="63">
        <f>IFERROR(aurora_data!M1693,0)</f>
        <v>0</v>
      </c>
      <c r="O73" s="36">
        <f>IFERROR(aurora_data!N1693,0)</f>
        <v>0</v>
      </c>
      <c r="P73" s="62">
        <f>IFERROR(aurora_data!O1693,0)</f>
        <v>0</v>
      </c>
      <c r="Q73" s="62">
        <f>IFERROR(aurora_data!P1693,0)</f>
        <v>0</v>
      </c>
      <c r="R73" s="63">
        <f>IFERROR(aurora_data!Q1693,0)</f>
        <v>0</v>
      </c>
      <c r="S73" s="62">
        <f>IFERROR(aurora_data!R1693,0)</f>
        <v>0</v>
      </c>
      <c r="T73" s="62">
        <f>IFERROR(aurora_data!S1693,0)</f>
        <v>0</v>
      </c>
      <c r="U73" s="63">
        <f>IFERROR(aurora_data!T1693,0)</f>
        <v>0</v>
      </c>
      <c r="V73" s="64" t="s">
        <v>95</v>
      </c>
      <c r="W73" s="36">
        <f>IFERROR(aurora_data!U1693,0)</f>
        <v>0</v>
      </c>
      <c r="X73" s="71">
        <f t="shared" si="7"/>
        <v>0</v>
      </c>
      <c r="Y73" s="2"/>
    </row>
    <row r="74" spans="1:25" customFormat="1" ht="16.5" thickBot="1">
      <c r="A74" s="2"/>
      <c r="B74" s="211"/>
      <c r="C74" s="213"/>
      <c r="D74" s="37" t="s">
        <v>64</v>
      </c>
      <c r="E74" s="59">
        <f>IFERROR(aurora_data!D1694,0)</f>
        <v>0</v>
      </c>
      <c r="F74" s="65">
        <f>IFERROR(aurora_data!E1694,0)</f>
        <v>0</v>
      </c>
      <c r="G74" s="65">
        <f>IFERROR(aurora_data!F1694,0)</f>
        <v>0</v>
      </c>
      <c r="H74" s="65">
        <f>IFERROR(aurora_data!G1694,0)</f>
        <v>0</v>
      </c>
      <c r="I74" s="66">
        <f>IFERROR(aurora_data!H1694,0)</f>
        <v>0</v>
      </c>
      <c r="J74" s="59">
        <f>IFERROR(aurora_data!I1694,0)</f>
        <v>0</v>
      </c>
      <c r="K74" s="65">
        <f>IFERROR(aurora_data!J1694,0)</f>
        <v>0</v>
      </c>
      <c r="L74" s="65">
        <f>IFERROR(aurora_data!K1694,0)</f>
        <v>0</v>
      </c>
      <c r="M74" s="65">
        <f>IFERROR(aurora_data!L1694,0)</f>
        <v>0</v>
      </c>
      <c r="N74" s="66">
        <f>IFERROR(aurora_data!M1694,0)</f>
        <v>0</v>
      </c>
      <c r="O74" s="59">
        <f>IFERROR(aurora_data!N1694,0)</f>
        <v>0</v>
      </c>
      <c r="P74" s="65">
        <f>IFERROR(aurora_data!O1694,0)</f>
        <v>0</v>
      </c>
      <c r="Q74" s="65">
        <f>IFERROR(aurora_data!P1694,0)</f>
        <v>0</v>
      </c>
      <c r="R74" s="66">
        <f>IFERROR(aurora_data!Q1694,0)</f>
        <v>0</v>
      </c>
      <c r="S74" s="65">
        <f>IFERROR(aurora_data!R1694,0)</f>
        <v>0</v>
      </c>
      <c r="T74" s="65">
        <f>IFERROR(aurora_data!S1694,0)</f>
        <v>0</v>
      </c>
      <c r="U74" s="66">
        <f>IFERROR(aurora_data!T1694,0)</f>
        <v>0</v>
      </c>
      <c r="V74" s="67" t="s">
        <v>95</v>
      </c>
      <c r="W74" s="59">
        <f>IFERROR(aurora_data!U1694,0)</f>
        <v>0</v>
      </c>
      <c r="X74" s="72">
        <f t="shared" si="7"/>
        <v>0</v>
      </c>
      <c r="Y74" s="2"/>
    </row>
    <row r="75" spans="1:25" customFormat="1" ht="16.5" thickBot="1">
      <c r="A75" s="2"/>
      <c r="B75" s="211"/>
      <c r="C75" s="213"/>
      <c r="D75" s="38" t="s">
        <v>100</v>
      </c>
      <c r="E75" s="60">
        <f>IFERROR(aurora_data!D1695,0)</f>
        <v>0</v>
      </c>
      <c r="F75" s="68">
        <f>IFERROR(aurora_data!E1695,0)</f>
        <v>0</v>
      </c>
      <c r="G75" s="68">
        <f>IFERROR(aurora_data!F1695,0)</f>
        <v>0</v>
      </c>
      <c r="H75" s="68">
        <f>IFERROR(aurora_data!G1695,0)</f>
        <v>0</v>
      </c>
      <c r="I75" s="69">
        <f>IFERROR(aurora_data!H1695,0)</f>
        <v>0</v>
      </c>
      <c r="J75" s="60">
        <f>IFERROR(aurora_data!I1695,0)</f>
        <v>0</v>
      </c>
      <c r="K75" s="68">
        <f>IFERROR(aurora_data!J1695,0)</f>
        <v>0</v>
      </c>
      <c r="L75" s="68">
        <f>IFERROR(aurora_data!K1695,0)</f>
        <v>0</v>
      </c>
      <c r="M75" s="68">
        <f>IFERROR(aurora_data!L1695,0)</f>
        <v>0</v>
      </c>
      <c r="N75" s="69">
        <f>IFERROR(aurora_data!M1695,0)</f>
        <v>0</v>
      </c>
      <c r="O75" s="60">
        <f>IFERROR(aurora_data!N1695,0)</f>
        <v>0</v>
      </c>
      <c r="P75" s="68">
        <f>IFERROR(aurora_data!O1695,0)</f>
        <v>0</v>
      </c>
      <c r="Q75" s="68">
        <f>IFERROR(aurora_data!P1695,0)</f>
        <v>0</v>
      </c>
      <c r="R75" s="69">
        <f>IFERROR(aurora_data!Q1695,0)</f>
        <v>0</v>
      </c>
      <c r="S75" s="68">
        <f>IFERROR(aurora_data!R1695,0)</f>
        <v>0</v>
      </c>
      <c r="T75" s="68">
        <f>IFERROR(aurora_data!S1695,0)</f>
        <v>0</v>
      </c>
      <c r="U75" s="74">
        <f>IFERROR(aurora_data!T1695,0)</f>
        <v>0</v>
      </c>
      <c r="V75" s="75" t="s">
        <v>95</v>
      </c>
      <c r="W75" s="60">
        <f>IFERROR(aurora_data!U1695,0)</f>
        <v>0</v>
      </c>
      <c r="X75" s="73">
        <f t="shared" si="7"/>
        <v>0</v>
      </c>
      <c r="Y75" s="2"/>
    </row>
    <row r="76" spans="1:25" customFormat="1">
      <c r="A76" s="2"/>
      <c r="B76" s="210" t="s">
        <v>94</v>
      </c>
      <c r="C76" s="212" t="str">
        <f>aurora_data!A1696</f>
        <v>14.00.00-14.11.30</v>
      </c>
      <c r="D76" s="34" t="s">
        <v>71</v>
      </c>
      <c r="E76" s="39">
        <f>IFERROR(aurora_data!D1696,0)</f>
        <v>0</v>
      </c>
      <c r="F76" s="40">
        <f>IFERROR(aurora_data!E1696,0)</f>
        <v>0</v>
      </c>
      <c r="G76" s="40">
        <f>IFERROR(aurora_data!F1696,0)</f>
        <v>0</v>
      </c>
      <c r="H76" s="40">
        <f>IFERROR(aurora_data!G1696,0)</f>
        <v>0</v>
      </c>
      <c r="I76" s="41">
        <f>IFERROR(aurora_data!H1696,0)</f>
        <v>0</v>
      </c>
      <c r="J76" s="39">
        <f>IFERROR(aurora_data!I1696,0)</f>
        <v>0</v>
      </c>
      <c r="K76" s="40">
        <f>IFERROR(aurora_data!J1696,0)</f>
        <v>0</v>
      </c>
      <c r="L76" s="40">
        <f>IFERROR(aurora_data!K1696,0)</f>
        <v>0</v>
      </c>
      <c r="M76" s="40">
        <f>IFERROR(aurora_data!L1696,0)</f>
        <v>0</v>
      </c>
      <c r="N76" s="41">
        <f>IFERROR(aurora_data!M1696,0)</f>
        <v>0</v>
      </c>
      <c r="O76" s="39">
        <f>IFERROR(aurora_data!N1696,0)</f>
        <v>0</v>
      </c>
      <c r="P76" s="40">
        <f>IFERROR(aurora_data!O1696,0)</f>
        <v>0</v>
      </c>
      <c r="Q76" s="40">
        <f>IFERROR(aurora_data!P1696,0)</f>
        <v>0</v>
      </c>
      <c r="R76" s="41">
        <f>IFERROR(aurora_data!Q1696,0)</f>
        <v>0</v>
      </c>
      <c r="S76" s="40">
        <f>IFERROR(aurora_data!R1696,0)</f>
        <v>0</v>
      </c>
      <c r="T76" s="40">
        <f>IFERROR(aurora_data!S1696,0)</f>
        <v>0</v>
      </c>
      <c r="U76" s="76">
        <f>IFERROR(aurora_data!T1696,0)</f>
        <v>0</v>
      </c>
      <c r="V76" s="61" t="s">
        <v>95</v>
      </c>
      <c r="W76" s="39">
        <f>IFERROR(aurora_data!U1696,0)</f>
        <v>1</v>
      </c>
      <c r="X76" s="70">
        <f>IFERROR(W76/$W$12,0)</f>
        <v>0.5</v>
      </c>
      <c r="Y76" s="2"/>
    </row>
    <row r="77" spans="1:25" customFormat="1">
      <c r="A77" s="2"/>
      <c r="B77" s="211"/>
      <c r="C77" s="213"/>
      <c r="D77" s="35" t="s">
        <v>96</v>
      </c>
      <c r="E77" s="110">
        <f>IFERROR(aurora_data!D1697,0)</f>
        <v>0</v>
      </c>
      <c r="F77" s="62">
        <f>IFERROR(aurora_data!E1697,0)</f>
        <v>0</v>
      </c>
      <c r="G77" s="62">
        <f>IFERROR(aurora_data!F1697,0)</f>
        <v>0</v>
      </c>
      <c r="H77" s="62">
        <f>IFERROR(aurora_data!G1697,0)</f>
        <v>0</v>
      </c>
      <c r="I77" s="63">
        <f>IFERROR(aurora_data!H1697,0)</f>
        <v>0</v>
      </c>
      <c r="J77" s="36">
        <f>IFERROR(aurora_data!I1697,0)</f>
        <v>0</v>
      </c>
      <c r="K77" s="62">
        <f>IFERROR(aurora_data!J1697,0)</f>
        <v>0</v>
      </c>
      <c r="L77" s="62">
        <f>IFERROR(aurora_data!K1697,0)</f>
        <v>0</v>
      </c>
      <c r="M77" s="62">
        <f>IFERROR(aurora_data!L1697,0)</f>
        <v>0</v>
      </c>
      <c r="N77" s="63">
        <f>IFERROR(aurora_data!M1697,0)</f>
        <v>0</v>
      </c>
      <c r="O77" s="36">
        <f>IFERROR(aurora_data!N1697,0)</f>
        <v>0</v>
      </c>
      <c r="P77" s="62">
        <f>IFERROR(aurora_data!O1697,0)</f>
        <v>0</v>
      </c>
      <c r="Q77" s="62">
        <f>IFERROR(aurora_data!P1697,0)</f>
        <v>0</v>
      </c>
      <c r="R77" s="63">
        <f>IFERROR(aurora_data!Q1697,0)</f>
        <v>0</v>
      </c>
      <c r="S77" s="62">
        <f>IFERROR(aurora_data!R1697,0)</f>
        <v>0</v>
      </c>
      <c r="T77" s="62">
        <f>IFERROR(aurora_data!S1697,0)</f>
        <v>0</v>
      </c>
      <c r="U77" s="63">
        <f>IFERROR(aurora_data!T1697,0)</f>
        <v>0</v>
      </c>
      <c r="V77" s="64" t="s">
        <v>95</v>
      </c>
      <c r="W77" s="36">
        <f>IFERROR(aurora_data!U1697,0)</f>
        <v>0</v>
      </c>
      <c r="X77" s="71">
        <f t="shared" ref="X77:X83" si="8">IFERROR(W77/$W$12,0)</f>
        <v>0</v>
      </c>
      <c r="Y77" s="2"/>
    </row>
    <row r="78" spans="1:25" customFormat="1">
      <c r="A78" s="2"/>
      <c r="B78" s="211"/>
      <c r="C78" s="213"/>
      <c r="D78" s="35" t="s">
        <v>60</v>
      </c>
      <c r="E78" s="110">
        <f>IFERROR(aurora_data!D1698,0)</f>
        <v>0</v>
      </c>
      <c r="F78" s="62">
        <f>IFERROR(aurora_data!E1698,0)</f>
        <v>0</v>
      </c>
      <c r="G78" s="62">
        <f>IFERROR(aurora_data!F1698,0)</f>
        <v>0</v>
      </c>
      <c r="H78" s="62">
        <f>IFERROR(aurora_data!G1698,0)</f>
        <v>0</v>
      </c>
      <c r="I78" s="63">
        <f>IFERROR(aurora_data!H1698,0)</f>
        <v>0</v>
      </c>
      <c r="J78" s="36">
        <f>IFERROR(aurora_data!I1698,0)</f>
        <v>0</v>
      </c>
      <c r="K78" s="62">
        <f>IFERROR(aurora_data!J1698,0)</f>
        <v>0</v>
      </c>
      <c r="L78" s="62">
        <f>IFERROR(aurora_data!K1698,0)</f>
        <v>0</v>
      </c>
      <c r="M78" s="62">
        <f>IFERROR(aurora_data!L1698,0)</f>
        <v>0</v>
      </c>
      <c r="N78" s="63">
        <f>IFERROR(aurora_data!M1698,0)</f>
        <v>0</v>
      </c>
      <c r="O78" s="36">
        <f>IFERROR(aurora_data!N1698,0)</f>
        <v>0</v>
      </c>
      <c r="P78" s="62">
        <f>IFERROR(aurora_data!O1698,0)</f>
        <v>0</v>
      </c>
      <c r="Q78" s="62">
        <f>IFERROR(aurora_data!P1698,0)</f>
        <v>0</v>
      </c>
      <c r="R78" s="63">
        <f>IFERROR(aurora_data!Q1698,0)</f>
        <v>0</v>
      </c>
      <c r="S78" s="62">
        <f>IFERROR(aurora_data!R1698,0)</f>
        <v>0</v>
      </c>
      <c r="T78" s="62">
        <f>IFERROR(aurora_data!S1698,0)</f>
        <v>0</v>
      </c>
      <c r="U78" s="63">
        <f>IFERROR(aurora_data!T1698,0)</f>
        <v>0</v>
      </c>
      <c r="V78" s="64" t="s">
        <v>95</v>
      </c>
      <c r="W78" s="36">
        <f>IFERROR(aurora_data!U1698,0)</f>
        <v>0</v>
      </c>
      <c r="X78" s="71">
        <f t="shared" si="8"/>
        <v>0</v>
      </c>
      <c r="Y78" s="2"/>
    </row>
    <row r="79" spans="1:25" customFormat="1">
      <c r="A79" s="2"/>
      <c r="B79" s="211"/>
      <c r="C79" s="213"/>
      <c r="D79" s="35" t="s">
        <v>97</v>
      </c>
      <c r="E79" s="36">
        <f>IFERROR(aurora_data!D1699,0)</f>
        <v>0</v>
      </c>
      <c r="F79" s="62">
        <f>IFERROR(aurora_data!E1699,0)</f>
        <v>0</v>
      </c>
      <c r="G79" s="62">
        <f>IFERROR(aurora_data!F1699,0)</f>
        <v>0</v>
      </c>
      <c r="H79" s="62">
        <f>IFERROR(aurora_data!G1699,0)</f>
        <v>0</v>
      </c>
      <c r="I79" s="63">
        <f>IFERROR(aurora_data!H1699,0)</f>
        <v>0</v>
      </c>
      <c r="J79" s="36">
        <f>IFERROR(aurora_data!I1699,0)</f>
        <v>0</v>
      </c>
      <c r="K79" s="62">
        <f>IFERROR(aurora_data!J1699,0)</f>
        <v>0</v>
      </c>
      <c r="L79" s="62">
        <f>IFERROR(aurora_data!K1699,0)</f>
        <v>0</v>
      </c>
      <c r="M79" s="62">
        <f>IFERROR(aurora_data!L1699,0)</f>
        <v>0</v>
      </c>
      <c r="N79" s="63">
        <f>IFERROR(aurora_data!M1699,0)</f>
        <v>0</v>
      </c>
      <c r="O79" s="36">
        <f>IFERROR(aurora_data!N1699,0)</f>
        <v>0</v>
      </c>
      <c r="P79" s="62">
        <f>IFERROR(aurora_data!O1699,0)</f>
        <v>0</v>
      </c>
      <c r="Q79" s="62">
        <f>IFERROR(aurora_data!P1699,0)</f>
        <v>0</v>
      </c>
      <c r="R79" s="63">
        <f>IFERROR(aurora_data!Q1699,0)</f>
        <v>0</v>
      </c>
      <c r="S79" s="62">
        <f>IFERROR(aurora_data!R1699,0)</f>
        <v>0</v>
      </c>
      <c r="T79" s="62">
        <f>IFERROR(aurora_data!S1699,0)</f>
        <v>0</v>
      </c>
      <c r="U79" s="63">
        <f>IFERROR(aurora_data!T1699,0)</f>
        <v>0</v>
      </c>
      <c r="V79" s="64" t="s">
        <v>95</v>
      </c>
      <c r="W79" s="36">
        <f>IFERROR(aurora_data!U1699,0)</f>
        <v>0</v>
      </c>
      <c r="X79" s="71">
        <f t="shared" si="8"/>
        <v>0</v>
      </c>
      <c r="Y79" s="2"/>
    </row>
    <row r="80" spans="1:25" customFormat="1">
      <c r="A80" s="2"/>
      <c r="B80" s="211"/>
      <c r="C80" s="213"/>
      <c r="D80" s="35" t="s">
        <v>98</v>
      </c>
      <c r="E80" s="36">
        <f>IFERROR(aurora_data!D1700,0)</f>
        <v>0</v>
      </c>
      <c r="F80" s="62">
        <f>IFERROR(aurora_data!E1700,0)</f>
        <v>0</v>
      </c>
      <c r="G80" s="62">
        <f>IFERROR(aurora_data!F1700,0)</f>
        <v>0</v>
      </c>
      <c r="H80" s="62">
        <f>IFERROR(aurora_data!G1700,0)</f>
        <v>0</v>
      </c>
      <c r="I80" s="63">
        <f>IFERROR(aurora_data!H1700,0)</f>
        <v>0</v>
      </c>
      <c r="J80" s="36">
        <f>IFERROR(aurora_data!I1700,0)</f>
        <v>0</v>
      </c>
      <c r="K80" s="62">
        <f>IFERROR(aurora_data!J1700,0)</f>
        <v>0</v>
      </c>
      <c r="L80" s="62">
        <f>IFERROR(aurora_data!K1700,0)</f>
        <v>0</v>
      </c>
      <c r="M80" s="62">
        <f>IFERROR(aurora_data!L1700,0)</f>
        <v>0</v>
      </c>
      <c r="N80" s="63">
        <f>IFERROR(aurora_data!M1700,0)</f>
        <v>0</v>
      </c>
      <c r="O80" s="36">
        <f>IFERROR(aurora_data!N1700,0)</f>
        <v>0</v>
      </c>
      <c r="P80" s="62">
        <f>IFERROR(aurora_data!O1700,0)</f>
        <v>0</v>
      </c>
      <c r="Q80" s="62">
        <f>IFERROR(aurora_data!P1700,0)</f>
        <v>0</v>
      </c>
      <c r="R80" s="63">
        <f>IFERROR(aurora_data!Q1700,0)</f>
        <v>0</v>
      </c>
      <c r="S80" s="62">
        <f>IFERROR(aurora_data!R1700,0)</f>
        <v>0</v>
      </c>
      <c r="T80" s="62">
        <f>IFERROR(aurora_data!S1700,0)</f>
        <v>0</v>
      </c>
      <c r="U80" s="63">
        <f>IFERROR(aurora_data!T1700,0)</f>
        <v>0</v>
      </c>
      <c r="V80" s="64" t="s">
        <v>95</v>
      </c>
      <c r="W80" s="36">
        <f>IFERROR(aurora_data!U1700,0)</f>
        <v>0</v>
      </c>
      <c r="X80" s="71">
        <f t="shared" si="8"/>
        <v>0</v>
      </c>
      <c r="Y80" s="2"/>
    </row>
    <row r="81" spans="1:25" customFormat="1" ht="16.5" thickBot="1">
      <c r="A81" s="2"/>
      <c r="B81" s="211"/>
      <c r="C81" s="213"/>
      <c r="D81" s="35" t="s">
        <v>99</v>
      </c>
      <c r="E81" s="36">
        <f>IFERROR(aurora_data!D1701,0)</f>
        <v>0</v>
      </c>
      <c r="F81" s="62">
        <f>IFERROR(aurora_data!E1701,0)</f>
        <v>0</v>
      </c>
      <c r="G81" s="62">
        <f>IFERROR(aurora_data!F1701,0)</f>
        <v>0</v>
      </c>
      <c r="H81" s="62">
        <f>IFERROR(aurora_data!G1701,0)</f>
        <v>0</v>
      </c>
      <c r="I81" s="63">
        <f>IFERROR(aurora_data!H1701,0)</f>
        <v>0</v>
      </c>
      <c r="J81" s="36">
        <f>IFERROR(aurora_data!I1701,0)</f>
        <v>0</v>
      </c>
      <c r="K81" s="62">
        <f>IFERROR(aurora_data!J1701,0)</f>
        <v>0</v>
      </c>
      <c r="L81" s="62">
        <f>IFERROR(aurora_data!K1701,0)</f>
        <v>0</v>
      </c>
      <c r="M81" s="62">
        <f>IFERROR(aurora_data!L1701,0)</f>
        <v>0</v>
      </c>
      <c r="N81" s="63">
        <f>IFERROR(aurora_data!M1701,0)</f>
        <v>0</v>
      </c>
      <c r="O81" s="36">
        <f>IFERROR(aurora_data!N1701,0)</f>
        <v>0</v>
      </c>
      <c r="P81" s="62">
        <f>IFERROR(aurora_data!O1701,0)</f>
        <v>0</v>
      </c>
      <c r="Q81" s="62">
        <f>IFERROR(aurora_data!P1701,0)</f>
        <v>0</v>
      </c>
      <c r="R81" s="63">
        <f>IFERROR(aurora_data!Q1701,0)</f>
        <v>0</v>
      </c>
      <c r="S81" s="62">
        <f>IFERROR(aurora_data!R1701,0)</f>
        <v>0</v>
      </c>
      <c r="T81" s="62">
        <f>IFERROR(aurora_data!S1701,0)</f>
        <v>0</v>
      </c>
      <c r="U81" s="63">
        <f>IFERROR(aurora_data!T1701,0)</f>
        <v>0</v>
      </c>
      <c r="V81" s="64" t="s">
        <v>95</v>
      </c>
      <c r="W81" s="36">
        <f>IFERROR(aurora_data!U1701,0)</f>
        <v>0</v>
      </c>
      <c r="X81" s="71">
        <f t="shared" si="8"/>
        <v>0</v>
      </c>
      <c r="Y81" s="2"/>
    </row>
    <row r="82" spans="1:25" customFormat="1" ht="16.5" thickBot="1">
      <c r="A82" s="2"/>
      <c r="B82" s="211"/>
      <c r="C82" s="213"/>
      <c r="D82" s="37" t="s">
        <v>64</v>
      </c>
      <c r="E82" s="59">
        <f>IFERROR(aurora_data!D1702,0)</f>
        <v>0</v>
      </c>
      <c r="F82" s="65">
        <f>IFERROR(aurora_data!E1702,0)</f>
        <v>0</v>
      </c>
      <c r="G82" s="65">
        <f>IFERROR(aurora_data!F1702,0)</f>
        <v>0</v>
      </c>
      <c r="H82" s="65">
        <f>IFERROR(aurora_data!G1702,0)</f>
        <v>0</v>
      </c>
      <c r="I82" s="66">
        <f>IFERROR(aurora_data!H1702,0)</f>
        <v>0</v>
      </c>
      <c r="J82" s="59">
        <f>IFERROR(aurora_data!I1702,0)</f>
        <v>0</v>
      </c>
      <c r="K82" s="65">
        <f>IFERROR(aurora_data!J1702,0)</f>
        <v>0</v>
      </c>
      <c r="L82" s="65">
        <f>IFERROR(aurora_data!K1702,0)</f>
        <v>0</v>
      </c>
      <c r="M82" s="65">
        <f>IFERROR(aurora_data!L1702,0)</f>
        <v>0</v>
      </c>
      <c r="N82" s="66">
        <f>IFERROR(aurora_data!M1702,0)</f>
        <v>0</v>
      </c>
      <c r="O82" s="59">
        <f>IFERROR(aurora_data!N1702,0)</f>
        <v>0</v>
      </c>
      <c r="P82" s="65">
        <f>IFERROR(aurora_data!O1702,0)</f>
        <v>0</v>
      </c>
      <c r="Q82" s="65">
        <f>IFERROR(aurora_data!P1702,0)</f>
        <v>0</v>
      </c>
      <c r="R82" s="66">
        <f>IFERROR(aurora_data!Q1702,0)</f>
        <v>0</v>
      </c>
      <c r="S82" s="65">
        <f>IFERROR(aurora_data!R1702,0)</f>
        <v>0</v>
      </c>
      <c r="T82" s="65">
        <f>IFERROR(aurora_data!S1702,0)</f>
        <v>0</v>
      </c>
      <c r="U82" s="66">
        <f>IFERROR(aurora_data!T1702,0)</f>
        <v>0</v>
      </c>
      <c r="V82" s="67" t="s">
        <v>95</v>
      </c>
      <c r="W82" s="59">
        <f>IFERROR(aurora_data!U1702,0)</f>
        <v>0</v>
      </c>
      <c r="X82" s="72">
        <f t="shared" si="8"/>
        <v>0</v>
      </c>
      <c r="Y82" s="2"/>
    </row>
    <row r="83" spans="1:25" customFormat="1" ht="16.5" thickBot="1">
      <c r="A83" s="2"/>
      <c r="B83" s="211"/>
      <c r="C83" s="213"/>
      <c r="D83" s="38" t="s">
        <v>100</v>
      </c>
      <c r="E83" s="60">
        <f>IFERROR(aurora_data!D1703,0)</f>
        <v>0</v>
      </c>
      <c r="F83" s="68">
        <f>IFERROR(aurora_data!E1703,0)</f>
        <v>0</v>
      </c>
      <c r="G83" s="68">
        <f>IFERROR(aurora_data!F1703,0)</f>
        <v>0</v>
      </c>
      <c r="H83" s="68">
        <f>IFERROR(aurora_data!G1703,0)</f>
        <v>0</v>
      </c>
      <c r="I83" s="69">
        <f>IFERROR(aurora_data!H1703,0)</f>
        <v>0</v>
      </c>
      <c r="J83" s="60">
        <f>IFERROR(aurora_data!I1703,0)</f>
        <v>0</v>
      </c>
      <c r="K83" s="68">
        <f>IFERROR(aurora_data!J1703,0)</f>
        <v>0</v>
      </c>
      <c r="L83" s="68">
        <f>IFERROR(aurora_data!K1703,0)</f>
        <v>0</v>
      </c>
      <c r="M83" s="68">
        <f>IFERROR(aurora_data!L1703,0)</f>
        <v>0</v>
      </c>
      <c r="N83" s="69">
        <f>IFERROR(aurora_data!M1703,0)</f>
        <v>0</v>
      </c>
      <c r="O83" s="60">
        <f>IFERROR(aurora_data!N1703,0)</f>
        <v>0</v>
      </c>
      <c r="P83" s="68">
        <f>IFERROR(aurora_data!O1703,0)</f>
        <v>0</v>
      </c>
      <c r="Q83" s="68">
        <f>IFERROR(aurora_data!P1703,0)</f>
        <v>0</v>
      </c>
      <c r="R83" s="69">
        <f>IFERROR(aurora_data!Q1703,0)</f>
        <v>0</v>
      </c>
      <c r="S83" s="68">
        <f>IFERROR(aurora_data!R1703,0)</f>
        <v>0</v>
      </c>
      <c r="T83" s="68">
        <f>IFERROR(aurora_data!S1703,0)</f>
        <v>0</v>
      </c>
      <c r="U83" s="74">
        <f>IFERROR(aurora_data!T1703,0)</f>
        <v>0</v>
      </c>
      <c r="V83" s="75" t="s">
        <v>95</v>
      </c>
      <c r="W83" s="60">
        <f>IFERROR(aurora_data!U1703,0)</f>
        <v>0</v>
      </c>
      <c r="X83" s="73">
        <f t="shared" si="8"/>
        <v>0</v>
      </c>
      <c r="Y83" s="2"/>
    </row>
    <row r="84" spans="1:25" customFormat="1">
      <c r="A84" s="2"/>
      <c r="B84" s="210" t="s">
        <v>94</v>
      </c>
      <c r="C84" s="212" t="str">
        <f>aurora_data!A1704</f>
        <v>15.00.00-15.11.30</v>
      </c>
      <c r="D84" s="34" t="s">
        <v>71</v>
      </c>
      <c r="E84" s="39">
        <f>IFERROR(aurora_data!D1704,0)</f>
        <v>0</v>
      </c>
      <c r="F84" s="40">
        <f>IFERROR(aurora_data!E1704,0)</f>
        <v>0</v>
      </c>
      <c r="G84" s="40">
        <f>IFERROR(aurora_data!F1704,0)</f>
        <v>0</v>
      </c>
      <c r="H84" s="40">
        <f>IFERROR(aurora_data!G1704,0)</f>
        <v>0</v>
      </c>
      <c r="I84" s="41">
        <f>IFERROR(aurora_data!H1704,0)</f>
        <v>0</v>
      </c>
      <c r="J84" s="39">
        <f>IFERROR(aurora_data!I1704,0)</f>
        <v>0</v>
      </c>
      <c r="K84" s="40">
        <f>IFERROR(aurora_data!J1704,0)</f>
        <v>0</v>
      </c>
      <c r="L84" s="40">
        <f>IFERROR(aurora_data!K1704,0)</f>
        <v>0</v>
      </c>
      <c r="M84" s="40">
        <f>IFERROR(aurora_data!L1704,0)</f>
        <v>0</v>
      </c>
      <c r="N84" s="41">
        <f>IFERROR(aurora_data!M1704,0)</f>
        <v>0</v>
      </c>
      <c r="O84" s="39">
        <f>IFERROR(aurora_data!N1704,0)</f>
        <v>0</v>
      </c>
      <c r="P84" s="40">
        <f>IFERROR(aurora_data!O1704,0)</f>
        <v>0</v>
      </c>
      <c r="Q84" s="40">
        <f>IFERROR(aurora_data!P1704,0)</f>
        <v>0</v>
      </c>
      <c r="R84" s="41">
        <f>IFERROR(aurora_data!Q1704,0)</f>
        <v>0</v>
      </c>
      <c r="S84" s="40">
        <f>IFERROR(aurora_data!R1704,0)</f>
        <v>0</v>
      </c>
      <c r="T84" s="40">
        <f>IFERROR(aurora_data!S1704,0)</f>
        <v>0</v>
      </c>
      <c r="U84" s="76">
        <f>IFERROR(aurora_data!T1704,0)</f>
        <v>0</v>
      </c>
      <c r="V84" s="61" t="s">
        <v>95</v>
      </c>
      <c r="W84" s="39">
        <f>IFERROR(aurora_data!U1704,0)</f>
        <v>1</v>
      </c>
      <c r="X84" s="70">
        <f>IFERROR(W84/$W$12,0)</f>
        <v>0.5</v>
      </c>
      <c r="Y84" s="2"/>
    </row>
    <row r="85" spans="1:25" customFormat="1">
      <c r="A85" s="2"/>
      <c r="B85" s="211"/>
      <c r="C85" s="213"/>
      <c r="D85" s="35" t="s">
        <v>96</v>
      </c>
      <c r="E85" s="110">
        <f>IFERROR(aurora_data!D1705,0)</f>
        <v>0</v>
      </c>
      <c r="F85" s="62">
        <f>IFERROR(aurora_data!E1705,0)</f>
        <v>0</v>
      </c>
      <c r="G85" s="62">
        <f>IFERROR(aurora_data!F1705,0)</f>
        <v>0</v>
      </c>
      <c r="H85" s="62">
        <f>IFERROR(aurora_data!G1705,0)</f>
        <v>0</v>
      </c>
      <c r="I85" s="63">
        <f>IFERROR(aurora_data!H1705,0)</f>
        <v>0</v>
      </c>
      <c r="J85" s="36">
        <f>IFERROR(aurora_data!I1705,0)</f>
        <v>0</v>
      </c>
      <c r="K85" s="62">
        <f>IFERROR(aurora_data!J1705,0)</f>
        <v>0</v>
      </c>
      <c r="L85" s="62">
        <f>IFERROR(aurora_data!K1705,0)</f>
        <v>0</v>
      </c>
      <c r="M85" s="62">
        <f>IFERROR(aurora_data!L1705,0)</f>
        <v>0</v>
      </c>
      <c r="N85" s="63">
        <f>IFERROR(aurora_data!M1705,0)</f>
        <v>0</v>
      </c>
      <c r="O85" s="36">
        <f>IFERROR(aurora_data!N1705,0)</f>
        <v>0</v>
      </c>
      <c r="P85" s="62">
        <f>IFERROR(aurora_data!O1705,0)</f>
        <v>0</v>
      </c>
      <c r="Q85" s="62">
        <f>IFERROR(aurora_data!P1705,0)</f>
        <v>0</v>
      </c>
      <c r="R85" s="63">
        <f>IFERROR(aurora_data!Q1705,0)</f>
        <v>0</v>
      </c>
      <c r="S85" s="62">
        <f>IFERROR(aurora_data!R1705,0)</f>
        <v>0</v>
      </c>
      <c r="T85" s="62">
        <f>IFERROR(aurora_data!S1705,0)</f>
        <v>0</v>
      </c>
      <c r="U85" s="63">
        <f>IFERROR(aurora_data!T1705,0)</f>
        <v>0</v>
      </c>
      <c r="V85" s="64" t="s">
        <v>95</v>
      </c>
      <c r="W85" s="36">
        <f>IFERROR(aurora_data!U1705,0)</f>
        <v>0</v>
      </c>
      <c r="X85" s="71">
        <f t="shared" ref="X85:X91" si="9">IFERROR(W85/$W$12,0)</f>
        <v>0</v>
      </c>
      <c r="Y85" s="2"/>
    </row>
    <row r="86" spans="1:25" customFormat="1">
      <c r="A86" s="2"/>
      <c r="B86" s="211"/>
      <c r="C86" s="213"/>
      <c r="D86" s="35" t="s">
        <v>60</v>
      </c>
      <c r="E86" s="110">
        <f>IFERROR(aurora_data!D1706,0)</f>
        <v>0</v>
      </c>
      <c r="F86" s="62">
        <f>IFERROR(aurora_data!E1706,0)</f>
        <v>0</v>
      </c>
      <c r="G86" s="62">
        <f>IFERROR(aurora_data!F1706,0)</f>
        <v>0</v>
      </c>
      <c r="H86" s="62">
        <f>IFERROR(aurora_data!G1706,0)</f>
        <v>0</v>
      </c>
      <c r="I86" s="63">
        <f>IFERROR(aurora_data!H1706,0)</f>
        <v>0</v>
      </c>
      <c r="J86" s="36">
        <f>IFERROR(aurora_data!I1706,0)</f>
        <v>0</v>
      </c>
      <c r="K86" s="62">
        <f>IFERROR(aurora_data!J1706,0)</f>
        <v>0</v>
      </c>
      <c r="L86" s="62">
        <f>IFERROR(aurora_data!K1706,0)</f>
        <v>0</v>
      </c>
      <c r="M86" s="62">
        <f>IFERROR(aurora_data!L1706,0)</f>
        <v>0</v>
      </c>
      <c r="N86" s="63">
        <f>IFERROR(aurora_data!M1706,0)</f>
        <v>0</v>
      </c>
      <c r="O86" s="36">
        <f>IFERROR(aurora_data!N1706,0)</f>
        <v>0</v>
      </c>
      <c r="P86" s="62">
        <f>IFERROR(aurora_data!O1706,0)</f>
        <v>0</v>
      </c>
      <c r="Q86" s="62">
        <f>IFERROR(aurora_data!P1706,0)</f>
        <v>0</v>
      </c>
      <c r="R86" s="63">
        <f>IFERROR(aurora_data!Q1706,0)</f>
        <v>0</v>
      </c>
      <c r="S86" s="62">
        <f>IFERROR(aurora_data!R1706,0)</f>
        <v>0</v>
      </c>
      <c r="T86" s="62">
        <f>IFERROR(aurora_data!S1706,0)</f>
        <v>0</v>
      </c>
      <c r="U86" s="63">
        <f>IFERROR(aurora_data!T1706,0)</f>
        <v>0</v>
      </c>
      <c r="V86" s="64" t="s">
        <v>95</v>
      </c>
      <c r="W86" s="36">
        <f>IFERROR(aurora_data!U1706,0)</f>
        <v>0</v>
      </c>
      <c r="X86" s="71">
        <f t="shared" si="9"/>
        <v>0</v>
      </c>
      <c r="Y86" s="2"/>
    </row>
    <row r="87" spans="1:25" customFormat="1">
      <c r="A87" s="2"/>
      <c r="B87" s="211"/>
      <c r="C87" s="213"/>
      <c r="D87" s="35" t="s">
        <v>97</v>
      </c>
      <c r="E87" s="36">
        <f>IFERROR(aurora_data!D1707,0)</f>
        <v>0</v>
      </c>
      <c r="F87" s="62">
        <f>IFERROR(aurora_data!E1707,0)</f>
        <v>0</v>
      </c>
      <c r="G87" s="62">
        <f>IFERROR(aurora_data!F1707,0)</f>
        <v>0</v>
      </c>
      <c r="H87" s="62">
        <f>IFERROR(aurora_data!G1707,0)</f>
        <v>0</v>
      </c>
      <c r="I87" s="63">
        <f>IFERROR(aurora_data!H1707,0)</f>
        <v>0</v>
      </c>
      <c r="J87" s="36">
        <f>IFERROR(aurora_data!I1707,0)</f>
        <v>0</v>
      </c>
      <c r="K87" s="62">
        <f>IFERROR(aurora_data!J1707,0)</f>
        <v>0</v>
      </c>
      <c r="L87" s="62">
        <f>IFERROR(aurora_data!K1707,0)</f>
        <v>0</v>
      </c>
      <c r="M87" s="62">
        <f>IFERROR(aurora_data!L1707,0)</f>
        <v>0</v>
      </c>
      <c r="N87" s="63">
        <f>IFERROR(aurora_data!M1707,0)</f>
        <v>0</v>
      </c>
      <c r="O87" s="36">
        <f>IFERROR(aurora_data!N1707,0)</f>
        <v>0</v>
      </c>
      <c r="P87" s="62">
        <f>IFERROR(aurora_data!O1707,0)</f>
        <v>0</v>
      </c>
      <c r="Q87" s="62">
        <f>IFERROR(aurora_data!P1707,0)</f>
        <v>0</v>
      </c>
      <c r="R87" s="63">
        <f>IFERROR(aurora_data!Q1707,0)</f>
        <v>0</v>
      </c>
      <c r="S87" s="62">
        <f>IFERROR(aurora_data!R1707,0)</f>
        <v>0</v>
      </c>
      <c r="T87" s="62">
        <f>IFERROR(aurora_data!S1707,0)</f>
        <v>0</v>
      </c>
      <c r="U87" s="63">
        <f>IFERROR(aurora_data!T1707,0)</f>
        <v>0</v>
      </c>
      <c r="V87" s="64" t="s">
        <v>95</v>
      </c>
      <c r="W87" s="36">
        <f>IFERROR(aurora_data!U1707,0)</f>
        <v>0</v>
      </c>
      <c r="X87" s="71">
        <f t="shared" si="9"/>
        <v>0</v>
      </c>
      <c r="Y87" s="2"/>
    </row>
    <row r="88" spans="1:25" customFormat="1">
      <c r="A88" s="2"/>
      <c r="B88" s="211"/>
      <c r="C88" s="213"/>
      <c r="D88" s="35" t="s">
        <v>98</v>
      </c>
      <c r="E88" s="36">
        <f>IFERROR(aurora_data!D1708,0)</f>
        <v>0</v>
      </c>
      <c r="F88" s="62">
        <f>IFERROR(aurora_data!E1708,0)</f>
        <v>0</v>
      </c>
      <c r="G88" s="62">
        <f>IFERROR(aurora_data!F1708,0)</f>
        <v>0</v>
      </c>
      <c r="H88" s="62">
        <f>IFERROR(aurora_data!G1708,0)</f>
        <v>0</v>
      </c>
      <c r="I88" s="63">
        <f>IFERROR(aurora_data!H1708,0)</f>
        <v>0</v>
      </c>
      <c r="J88" s="36">
        <f>IFERROR(aurora_data!I1708,0)</f>
        <v>0</v>
      </c>
      <c r="K88" s="62">
        <f>IFERROR(aurora_data!J1708,0)</f>
        <v>0</v>
      </c>
      <c r="L88" s="62">
        <f>IFERROR(aurora_data!K1708,0)</f>
        <v>0</v>
      </c>
      <c r="M88" s="62">
        <f>IFERROR(aurora_data!L1708,0)</f>
        <v>0</v>
      </c>
      <c r="N88" s="63">
        <f>IFERROR(aurora_data!M1708,0)</f>
        <v>0</v>
      </c>
      <c r="O88" s="36">
        <f>IFERROR(aurora_data!N1708,0)</f>
        <v>0</v>
      </c>
      <c r="P88" s="62">
        <f>IFERROR(aurora_data!O1708,0)</f>
        <v>0</v>
      </c>
      <c r="Q88" s="62">
        <f>IFERROR(aurora_data!P1708,0)</f>
        <v>0</v>
      </c>
      <c r="R88" s="63">
        <f>IFERROR(aurora_data!Q1708,0)</f>
        <v>0</v>
      </c>
      <c r="S88" s="62">
        <f>IFERROR(aurora_data!R1708,0)</f>
        <v>0</v>
      </c>
      <c r="T88" s="62">
        <f>IFERROR(aurora_data!S1708,0)</f>
        <v>0</v>
      </c>
      <c r="U88" s="63">
        <f>IFERROR(aurora_data!T1708,0)</f>
        <v>0</v>
      </c>
      <c r="V88" s="64" t="s">
        <v>95</v>
      </c>
      <c r="W88" s="36">
        <f>IFERROR(aurora_data!U1708,0)</f>
        <v>0</v>
      </c>
      <c r="X88" s="71">
        <f t="shared" si="9"/>
        <v>0</v>
      </c>
      <c r="Y88" s="2"/>
    </row>
    <row r="89" spans="1:25" customFormat="1" ht="16.5" thickBot="1">
      <c r="A89" s="2"/>
      <c r="B89" s="211"/>
      <c r="C89" s="213"/>
      <c r="D89" s="35" t="s">
        <v>99</v>
      </c>
      <c r="E89" s="36">
        <f>IFERROR(aurora_data!D1709,0)</f>
        <v>0</v>
      </c>
      <c r="F89" s="62">
        <f>IFERROR(aurora_data!E1709,0)</f>
        <v>0</v>
      </c>
      <c r="G89" s="62">
        <f>IFERROR(aurora_data!F1709,0)</f>
        <v>0</v>
      </c>
      <c r="H89" s="62">
        <f>IFERROR(aurora_data!G1709,0)</f>
        <v>0</v>
      </c>
      <c r="I89" s="63">
        <f>IFERROR(aurora_data!H1709,0)</f>
        <v>0</v>
      </c>
      <c r="J89" s="36">
        <f>IFERROR(aurora_data!I1709,0)</f>
        <v>0</v>
      </c>
      <c r="K89" s="62">
        <f>IFERROR(aurora_data!J1709,0)</f>
        <v>0</v>
      </c>
      <c r="L89" s="62">
        <f>IFERROR(aurora_data!K1709,0)</f>
        <v>0</v>
      </c>
      <c r="M89" s="62">
        <f>IFERROR(aurora_data!L1709,0)</f>
        <v>0</v>
      </c>
      <c r="N89" s="63">
        <f>IFERROR(aurora_data!M1709,0)</f>
        <v>0</v>
      </c>
      <c r="O89" s="36">
        <f>IFERROR(aurora_data!N1709,0)</f>
        <v>0</v>
      </c>
      <c r="P89" s="62">
        <f>IFERROR(aurora_data!O1709,0)</f>
        <v>0</v>
      </c>
      <c r="Q89" s="62">
        <f>IFERROR(aurora_data!P1709,0)</f>
        <v>0</v>
      </c>
      <c r="R89" s="63">
        <f>IFERROR(aurora_data!Q1709,0)</f>
        <v>0</v>
      </c>
      <c r="S89" s="62">
        <f>IFERROR(aurora_data!R1709,0)</f>
        <v>0</v>
      </c>
      <c r="T89" s="62">
        <f>IFERROR(aurora_data!S1709,0)</f>
        <v>0</v>
      </c>
      <c r="U89" s="63">
        <f>IFERROR(aurora_data!T1709,0)</f>
        <v>0</v>
      </c>
      <c r="V89" s="64" t="s">
        <v>95</v>
      </c>
      <c r="W89" s="36">
        <f>IFERROR(aurora_data!U1709,0)</f>
        <v>0</v>
      </c>
      <c r="X89" s="71">
        <f t="shared" si="9"/>
        <v>0</v>
      </c>
      <c r="Y89" s="2"/>
    </row>
    <row r="90" spans="1:25" customFormat="1" ht="16.5" thickBot="1">
      <c r="A90" s="2"/>
      <c r="B90" s="211"/>
      <c r="C90" s="213"/>
      <c r="D90" s="37" t="s">
        <v>64</v>
      </c>
      <c r="E90" s="59">
        <f>IFERROR(aurora_data!D1710,0)</f>
        <v>0</v>
      </c>
      <c r="F90" s="65">
        <f>IFERROR(aurora_data!E1710,0)</f>
        <v>0</v>
      </c>
      <c r="G90" s="65">
        <f>IFERROR(aurora_data!F1710,0)</f>
        <v>0</v>
      </c>
      <c r="H90" s="65">
        <f>IFERROR(aurora_data!G1710,0)</f>
        <v>0</v>
      </c>
      <c r="I90" s="66">
        <f>IFERROR(aurora_data!H1710,0)</f>
        <v>0</v>
      </c>
      <c r="J90" s="59">
        <f>IFERROR(aurora_data!I1710,0)</f>
        <v>0</v>
      </c>
      <c r="K90" s="65">
        <f>IFERROR(aurora_data!J1710,0)</f>
        <v>0</v>
      </c>
      <c r="L90" s="65">
        <f>IFERROR(aurora_data!K1710,0)</f>
        <v>0</v>
      </c>
      <c r="M90" s="65">
        <f>IFERROR(aurora_data!L1710,0)</f>
        <v>0</v>
      </c>
      <c r="N90" s="66">
        <f>IFERROR(aurora_data!M1710,0)</f>
        <v>0</v>
      </c>
      <c r="O90" s="59">
        <f>IFERROR(aurora_data!N1710,0)</f>
        <v>0</v>
      </c>
      <c r="P90" s="65">
        <f>IFERROR(aurora_data!O1710,0)</f>
        <v>0</v>
      </c>
      <c r="Q90" s="65">
        <f>IFERROR(aurora_data!P1710,0)</f>
        <v>0</v>
      </c>
      <c r="R90" s="66">
        <f>IFERROR(aurora_data!Q1710,0)</f>
        <v>0</v>
      </c>
      <c r="S90" s="65">
        <f>IFERROR(aurora_data!R1710,0)</f>
        <v>0</v>
      </c>
      <c r="T90" s="65">
        <f>IFERROR(aurora_data!S1710,0)</f>
        <v>0</v>
      </c>
      <c r="U90" s="66">
        <f>IFERROR(aurora_data!T1710,0)</f>
        <v>0</v>
      </c>
      <c r="V90" s="67" t="s">
        <v>95</v>
      </c>
      <c r="W90" s="59">
        <f>IFERROR(aurora_data!U1710,0)</f>
        <v>0</v>
      </c>
      <c r="X90" s="72">
        <f t="shared" si="9"/>
        <v>0</v>
      </c>
      <c r="Y90" s="2"/>
    </row>
    <row r="91" spans="1:25" customFormat="1" ht="16.5" thickBot="1">
      <c r="A91" s="2"/>
      <c r="B91" s="211"/>
      <c r="C91" s="213"/>
      <c r="D91" s="38" t="s">
        <v>100</v>
      </c>
      <c r="E91" s="60">
        <f>IFERROR(aurora_data!D1711,0)</f>
        <v>0</v>
      </c>
      <c r="F91" s="68">
        <f>IFERROR(aurora_data!E1711,0)</f>
        <v>0</v>
      </c>
      <c r="G91" s="68">
        <f>IFERROR(aurora_data!F1711,0)</f>
        <v>0</v>
      </c>
      <c r="H91" s="68">
        <f>IFERROR(aurora_data!G1711,0)</f>
        <v>0</v>
      </c>
      <c r="I91" s="69">
        <f>IFERROR(aurora_data!H1711,0)</f>
        <v>0</v>
      </c>
      <c r="J91" s="60">
        <f>IFERROR(aurora_data!I1711,0)</f>
        <v>0</v>
      </c>
      <c r="K91" s="68">
        <f>IFERROR(aurora_data!J1711,0)</f>
        <v>0</v>
      </c>
      <c r="L91" s="68">
        <f>IFERROR(aurora_data!K1711,0)</f>
        <v>0</v>
      </c>
      <c r="M91" s="68">
        <f>IFERROR(aurora_data!L1711,0)</f>
        <v>0</v>
      </c>
      <c r="N91" s="69">
        <f>IFERROR(aurora_data!M1711,0)</f>
        <v>0</v>
      </c>
      <c r="O91" s="60">
        <f>IFERROR(aurora_data!N1711,0)</f>
        <v>0</v>
      </c>
      <c r="P91" s="68">
        <f>IFERROR(aurora_data!O1711,0)</f>
        <v>0</v>
      </c>
      <c r="Q91" s="68">
        <f>IFERROR(aurora_data!P1711,0)</f>
        <v>0</v>
      </c>
      <c r="R91" s="69">
        <f>IFERROR(aurora_data!Q1711,0)</f>
        <v>0</v>
      </c>
      <c r="S91" s="68">
        <f>IFERROR(aurora_data!R1711,0)</f>
        <v>0</v>
      </c>
      <c r="T91" s="68">
        <f>IFERROR(aurora_data!S1711,0)</f>
        <v>0</v>
      </c>
      <c r="U91" s="74">
        <f>IFERROR(aurora_data!T1711,0)</f>
        <v>0</v>
      </c>
      <c r="V91" s="75" t="s">
        <v>95</v>
      </c>
      <c r="W91" s="60">
        <f>IFERROR(aurora_data!U1711,0)</f>
        <v>0</v>
      </c>
      <c r="X91" s="73">
        <f t="shared" si="9"/>
        <v>0</v>
      </c>
      <c r="Y91" s="2"/>
    </row>
    <row r="92" spans="1:25" customFormat="1">
      <c r="A92" s="2"/>
      <c r="B92" s="210" t="s">
        <v>94</v>
      </c>
      <c r="C92" s="212" t="str">
        <f>aurora_data!A1712</f>
        <v>16.00.00-16.11.30</v>
      </c>
      <c r="D92" s="34" t="s">
        <v>71</v>
      </c>
      <c r="E92" s="39">
        <f>IFERROR(aurora_data!D1712,0)</f>
        <v>0</v>
      </c>
      <c r="F92" s="40">
        <f>IFERROR(aurora_data!E1712,0)</f>
        <v>0</v>
      </c>
      <c r="G92" s="40">
        <f>IFERROR(aurora_data!F1712,0)</f>
        <v>0</v>
      </c>
      <c r="H92" s="40">
        <f>IFERROR(aurora_data!G1712,0)</f>
        <v>0</v>
      </c>
      <c r="I92" s="41">
        <f>IFERROR(aurora_data!H1712,0)</f>
        <v>0</v>
      </c>
      <c r="J92" s="39">
        <f>IFERROR(aurora_data!I1712,0)</f>
        <v>0</v>
      </c>
      <c r="K92" s="40">
        <f>IFERROR(aurora_data!J1712,0)</f>
        <v>0</v>
      </c>
      <c r="L92" s="40">
        <f>IFERROR(aurora_data!K1712,0)</f>
        <v>0</v>
      </c>
      <c r="M92" s="40">
        <f>IFERROR(aurora_data!L1712,0)</f>
        <v>0</v>
      </c>
      <c r="N92" s="41">
        <f>IFERROR(aurora_data!M1712,0)</f>
        <v>0</v>
      </c>
      <c r="O92" s="39">
        <f>IFERROR(aurora_data!N1712,0)</f>
        <v>0</v>
      </c>
      <c r="P92" s="40">
        <f>IFERROR(aurora_data!O1712,0)</f>
        <v>0</v>
      </c>
      <c r="Q92" s="40">
        <f>IFERROR(aurora_data!P1712,0)</f>
        <v>0</v>
      </c>
      <c r="R92" s="41">
        <f>IFERROR(aurora_data!Q1712,0)</f>
        <v>0</v>
      </c>
      <c r="S92" s="40">
        <f>IFERROR(aurora_data!R1712,0)</f>
        <v>0</v>
      </c>
      <c r="T92" s="40">
        <f>IFERROR(aurora_data!S1712,0)</f>
        <v>0</v>
      </c>
      <c r="U92" s="76">
        <f>IFERROR(aurora_data!T1712,0)</f>
        <v>0</v>
      </c>
      <c r="V92" s="61" t="s">
        <v>95</v>
      </c>
      <c r="W92" s="39">
        <f>IFERROR(aurora_data!U1712,0)</f>
        <v>1</v>
      </c>
      <c r="X92" s="70">
        <f>IFERROR(W92/$W$12,0)</f>
        <v>0.5</v>
      </c>
      <c r="Y92" s="2"/>
    </row>
    <row r="93" spans="1:25" customFormat="1">
      <c r="A93" s="2"/>
      <c r="B93" s="211"/>
      <c r="C93" s="213"/>
      <c r="D93" s="35" t="s">
        <v>96</v>
      </c>
      <c r="E93" s="110">
        <f>IFERROR(aurora_data!D1713,0)</f>
        <v>0</v>
      </c>
      <c r="F93" s="62">
        <f>IFERROR(aurora_data!E1713,0)</f>
        <v>0</v>
      </c>
      <c r="G93" s="62">
        <f>IFERROR(aurora_data!F1713,0)</f>
        <v>0</v>
      </c>
      <c r="H93" s="62">
        <f>IFERROR(aurora_data!G1713,0)</f>
        <v>0</v>
      </c>
      <c r="I93" s="63">
        <f>IFERROR(aurora_data!H1713,0)</f>
        <v>0</v>
      </c>
      <c r="J93" s="36">
        <f>IFERROR(aurora_data!I1713,0)</f>
        <v>0</v>
      </c>
      <c r="K93" s="62">
        <f>IFERROR(aurora_data!J1713,0)</f>
        <v>0</v>
      </c>
      <c r="L93" s="62">
        <f>IFERROR(aurora_data!K1713,0)</f>
        <v>0</v>
      </c>
      <c r="M93" s="62">
        <f>IFERROR(aurora_data!L1713,0)</f>
        <v>0</v>
      </c>
      <c r="N93" s="63">
        <f>IFERROR(aurora_data!M1713,0)</f>
        <v>0</v>
      </c>
      <c r="O93" s="36">
        <f>IFERROR(aurora_data!N1713,0)</f>
        <v>0</v>
      </c>
      <c r="P93" s="62">
        <f>IFERROR(aurora_data!O1713,0)</f>
        <v>0</v>
      </c>
      <c r="Q93" s="62">
        <f>IFERROR(aurora_data!P1713,0)</f>
        <v>0</v>
      </c>
      <c r="R93" s="63">
        <f>IFERROR(aurora_data!Q1713,0)</f>
        <v>0</v>
      </c>
      <c r="S93" s="62">
        <f>IFERROR(aurora_data!R1713,0)</f>
        <v>0</v>
      </c>
      <c r="T93" s="62">
        <f>IFERROR(aurora_data!S1713,0)</f>
        <v>0</v>
      </c>
      <c r="U93" s="63">
        <f>IFERROR(aurora_data!T1713,0)</f>
        <v>0</v>
      </c>
      <c r="V93" s="64" t="s">
        <v>95</v>
      </c>
      <c r="W93" s="36">
        <f>IFERROR(aurora_data!U1713,0)</f>
        <v>0</v>
      </c>
      <c r="X93" s="71">
        <f t="shared" ref="X93:X99" si="10">IFERROR(W93/$W$12,0)</f>
        <v>0</v>
      </c>
      <c r="Y93" s="2"/>
    </row>
    <row r="94" spans="1:25" customFormat="1">
      <c r="A94" s="2"/>
      <c r="B94" s="211"/>
      <c r="C94" s="213"/>
      <c r="D94" s="35" t="s">
        <v>60</v>
      </c>
      <c r="E94" s="110">
        <f>IFERROR(aurora_data!D1714,0)</f>
        <v>0</v>
      </c>
      <c r="F94" s="62">
        <f>IFERROR(aurora_data!E1714,0)</f>
        <v>0</v>
      </c>
      <c r="G94" s="62">
        <f>IFERROR(aurora_data!F1714,0)</f>
        <v>0</v>
      </c>
      <c r="H94" s="62">
        <f>IFERROR(aurora_data!G1714,0)</f>
        <v>0</v>
      </c>
      <c r="I94" s="63">
        <f>IFERROR(aurora_data!H1714,0)</f>
        <v>0</v>
      </c>
      <c r="J94" s="36">
        <f>IFERROR(aurora_data!I1714,0)</f>
        <v>0</v>
      </c>
      <c r="K94" s="62">
        <f>IFERROR(aurora_data!J1714,0)</f>
        <v>0</v>
      </c>
      <c r="L94" s="62">
        <f>IFERROR(aurora_data!K1714,0)</f>
        <v>0</v>
      </c>
      <c r="M94" s="62">
        <f>IFERROR(aurora_data!L1714,0)</f>
        <v>0</v>
      </c>
      <c r="N94" s="63">
        <f>IFERROR(aurora_data!M1714,0)</f>
        <v>0</v>
      </c>
      <c r="O94" s="36">
        <f>IFERROR(aurora_data!N1714,0)</f>
        <v>0</v>
      </c>
      <c r="P94" s="62">
        <f>IFERROR(aurora_data!O1714,0)</f>
        <v>0</v>
      </c>
      <c r="Q94" s="62">
        <f>IFERROR(aurora_data!P1714,0)</f>
        <v>0</v>
      </c>
      <c r="R94" s="63">
        <f>IFERROR(aurora_data!Q1714,0)</f>
        <v>0</v>
      </c>
      <c r="S94" s="62">
        <f>IFERROR(aurora_data!R1714,0)</f>
        <v>0</v>
      </c>
      <c r="T94" s="62">
        <f>IFERROR(aurora_data!S1714,0)</f>
        <v>0</v>
      </c>
      <c r="U94" s="63">
        <f>IFERROR(aurora_data!T1714,0)</f>
        <v>0</v>
      </c>
      <c r="V94" s="64" t="s">
        <v>95</v>
      </c>
      <c r="W94" s="36">
        <f>IFERROR(aurora_data!U1714,0)</f>
        <v>0</v>
      </c>
      <c r="X94" s="71">
        <f t="shared" si="10"/>
        <v>0</v>
      </c>
      <c r="Y94" s="2"/>
    </row>
    <row r="95" spans="1:25" customFormat="1">
      <c r="A95" s="2"/>
      <c r="B95" s="211"/>
      <c r="C95" s="213"/>
      <c r="D95" s="35" t="s">
        <v>97</v>
      </c>
      <c r="E95" s="36">
        <f>IFERROR(aurora_data!D1715,0)</f>
        <v>0</v>
      </c>
      <c r="F95" s="62">
        <f>IFERROR(aurora_data!E1715,0)</f>
        <v>0</v>
      </c>
      <c r="G95" s="62">
        <f>IFERROR(aurora_data!F1715,0)</f>
        <v>0</v>
      </c>
      <c r="H95" s="62">
        <f>IFERROR(aurora_data!G1715,0)</f>
        <v>0</v>
      </c>
      <c r="I95" s="63">
        <f>IFERROR(aurora_data!H1715,0)</f>
        <v>0</v>
      </c>
      <c r="J95" s="36">
        <f>IFERROR(aurora_data!I1715,0)</f>
        <v>0</v>
      </c>
      <c r="K95" s="62">
        <f>IFERROR(aurora_data!J1715,0)</f>
        <v>0</v>
      </c>
      <c r="L95" s="62">
        <f>IFERROR(aurora_data!K1715,0)</f>
        <v>0</v>
      </c>
      <c r="M95" s="62">
        <f>IFERROR(aurora_data!L1715,0)</f>
        <v>0</v>
      </c>
      <c r="N95" s="63">
        <f>IFERROR(aurora_data!M1715,0)</f>
        <v>0</v>
      </c>
      <c r="O95" s="36">
        <f>IFERROR(aurora_data!N1715,0)</f>
        <v>0</v>
      </c>
      <c r="P95" s="62">
        <f>IFERROR(aurora_data!O1715,0)</f>
        <v>0</v>
      </c>
      <c r="Q95" s="62">
        <f>IFERROR(aurora_data!P1715,0)</f>
        <v>0</v>
      </c>
      <c r="R95" s="63">
        <f>IFERROR(aurora_data!Q1715,0)</f>
        <v>0</v>
      </c>
      <c r="S95" s="62">
        <f>IFERROR(aurora_data!R1715,0)</f>
        <v>0</v>
      </c>
      <c r="T95" s="62">
        <f>IFERROR(aurora_data!S1715,0)</f>
        <v>0</v>
      </c>
      <c r="U95" s="63">
        <f>IFERROR(aurora_data!T1715,0)</f>
        <v>0</v>
      </c>
      <c r="V95" s="64" t="s">
        <v>95</v>
      </c>
      <c r="W95" s="36">
        <f>IFERROR(aurora_data!U1715,0)</f>
        <v>0</v>
      </c>
      <c r="X95" s="71">
        <f t="shared" si="10"/>
        <v>0</v>
      </c>
      <c r="Y95" s="2"/>
    </row>
    <row r="96" spans="1:25" customFormat="1">
      <c r="A96" s="2"/>
      <c r="B96" s="211"/>
      <c r="C96" s="213"/>
      <c r="D96" s="35" t="s">
        <v>98</v>
      </c>
      <c r="E96" s="36">
        <f>IFERROR(aurora_data!D1716,0)</f>
        <v>0</v>
      </c>
      <c r="F96" s="62">
        <f>IFERROR(aurora_data!E1716,0)</f>
        <v>0</v>
      </c>
      <c r="G96" s="62">
        <f>IFERROR(aurora_data!F1716,0)</f>
        <v>0</v>
      </c>
      <c r="H96" s="62">
        <f>IFERROR(aurora_data!G1716,0)</f>
        <v>0</v>
      </c>
      <c r="I96" s="63">
        <f>IFERROR(aurora_data!H1716,0)</f>
        <v>0</v>
      </c>
      <c r="J96" s="36">
        <f>IFERROR(aurora_data!I1716,0)</f>
        <v>0</v>
      </c>
      <c r="K96" s="62">
        <f>IFERROR(aurora_data!J1716,0)</f>
        <v>0</v>
      </c>
      <c r="L96" s="62">
        <f>IFERROR(aurora_data!K1716,0)</f>
        <v>0</v>
      </c>
      <c r="M96" s="62">
        <f>IFERROR(aurora_data!L1716,0)</f>
        <v>0</v>
      </c>
      <c r="N96" s="63">
        <f>IFERROR(aurora_data!M1716,0)</f>
        <v>0</v>
      </c>
      <c r="O96" s="36">
        <f>IFERROR(aurora_data!N1716,0)</f>
        <v>0</v>
      </c>
      <c r="P96" s="62">
        <f>IFERROR(aurora_data!O1716,0)</f>
        <v>0</v>
      </c>
      <c r="Q96" s="62">
        <f>IFERROR(aurora_data!P1716,0)</f>
        <v>0</v>
      </c>
      <c r="R96" s="63">
        <f>IFERROR(aurora_data!Q1716,0)</f>
        <v>0</v>
      </c>
      <c r="S96" s="62">
        <f>IFERROR(aurora_data!R1716,0)</f>
        <v>0</v>
      </c>
      <c r="T96" s="62">
        <f>IFERROR(aurora_data!S1716,0)</f>
        <v>0</v>
      </c>
      <c r="U96" s="63">
        <f>IFERROR(aurora_data!T1716,0)</f>
        <v>0</v>
      </c>
      <c r="V96" s="64" t="s">
        <v>95</v>
      </c>
      <c r="W96" s="36">
        <f>IFERROR(aurora_data!U1716,0)</f>
        <v>0</v>
      </c>
      <c r="X96" s="71">
        <f t="shared" si="10"/>
        <v>0</v>
      </c>
      <c r="Y96" s="2"/>
    </row>
    <row r="97" spans="1:25" customFormat="1" ht="16.5" thickBot="1">
      <c r="A97" s="2"/>
      <c r="B97" s="211"/>
      <c r="C97" s="213"/>
      <c r="D97" s="35" t="s">
        <v>99</v>
      </c>
      <c r="E97" s="36">
        <f>IFERROR(aurora_data!D1717,0)</f>
        <v>0</v>
      </c>
      <c r="F97" s="62">
        <f>IFERROR(aurora_data!E1717,0)</f>
        <v>0</v>
      </c>
      <c r="G97" s="62">
        <f>IFERROR(aurora_data!F1717,0)</f>
        <v>0</v>
      </c>
      <c r="H97" s="62">
        <f>IFERROR(aurora_data!G1717,0)</f>
        <v>0</v>
      </c>
      <c r="I97" s="63">
        <f>IFERROR(aurora_data!H1717,0)</f>
        <v>0</v>
      </c>
      <c r="J97" s="36">
        <f>IFERROR(aurora_data!I1717,0)</f>
        <v>0</v>
      </c>
      <c r="K97" s="62">
        <f>IFERROR(aurora_data!J1717,0)</f>
        <v>0</v>
      </c>
      <c r="L97" s="62">
        <f>IFERROR(aurora_data!K1717,0)</f>
        <v>0</v>
      </c>
      <c r="M97" s="62">
        <f>IFERROR(aurora_data!L1717,0)</f>
        <v>0</v>
      </c>
      <c r="N97" s="63">
        <f>IFERROR(aurora_data!M1717,0)</f>
        <v>0</v>
      </c>
      <c r="O97" s="36">
        <f>IFERROR(aurora_data!N1717,0)</f>
        <v>0</v>
      </c>
      <c r="P97" s="62">
        <f>IFERROR(aurora_data!O1717,0)</f>
        <v>0</v>
      </c>
      <c r="Q97" s="62">
        <f>IFERROR(aurora_data!P1717,0)</f>
        <v>0</v>
      </c>
      <c r="R97" s="63">
        <f>IFERROR(aurora_data!Q1717,0)</f>
        <v>0</v>
      </c>
      <c r="S97" s="62">
        <f>IFERROR(aurora_data!R1717,0)</f>
        <v>0</v>
      </c>
      <c r="T97" s="62">
        <f>IFERROR(aurora_data!S1717,0)</f>
        <v>0</v>
      </c>
      <c r="U97" s="63">
        <f>IFERROR(aurora_data!T1717,0)</f>
        <v>0</v>
      </c>
      <c r="V97" s="64" t="s">
        <v>95</v>
      </c>
      <c r="W97" s="36">
        <f>IFERROR(aurora_data!U1717,0)</f>
        <v>0</v>
      </c>
      <c r="X97" s="71">
        <f t="shared" si="10"/>
        <v>0</v>
      </c>
      <c r="Y97" s="2"/>
    </row>
    <row r="98" spans="1:25" customFormat="1" ht="16.5" thickBot="1">
      <c r="A98" s="2"/>
      <c r="B98" s="211"/>
      <c r="C98" s="213"/>
      <c r="D98" s="37" t="s">
        <v>64</v>
      </c>
      <c r="E98" s="59">
        <f>IFERROR(aurora_data!D1718,0)</f>
        <v>0</v>
      </c>
      <c r="F98" s="65">
        <f>IFERROR(aurora_data!E1718,0)</f>
        <v>0</v>
      </c>
      <c r="G98" s="65">
        <f>IFERROR(aurora_data!F1718,0)</f>
        <v>0</v>
      </c>
      <c r="H98" s="65">
        <f>IFERROR(aurora_data!G1718,0)</f>
        <v>0</v>
      </c>
      <c r="I98" s="66">
        <f>IFERROR(aurora_data!H1718,0)</f>
        <v>0</v>
      </c>
      <c r="J98" s="59">
        <f>IFERROR(aurora_data!I1718,0)</f>
        <v>0</v>
      </c>
      <c r="K98" s="65">
        <f>IFERROR(aurora_data!J1718,0)</f>
        <v>0</v>
      </c>
      <c r="L98" s="65">
        <f>IFERROR(aurora_data!K1718,0)</f>
        <v>0</v>
      </c>
      <c r="M98" s="65">
        <f>IFERROR(aurora_data!L1718,0)</f>
        <v>0</v>
      </c>
      <c r="N98" s="66">
        <f>IFERROR(aurora_data!M1718,0)</f>
        <v>0</v>
      </c>
      <c r="O98" s="59">
        <f>IFERROR(aurora_data!N1718,0)</f>
        <v>0</v>
      </c>
      <c r="P98" s="65">
        <f>IFERROR(aurora_data!O1718,0)</f>
        <v>0</v>
      </c>
      <c r="Q98" s="65">
        <f>IFERROR(aurora_data!P1718,0)</f>
        <v>0</v>
      </c>
      <c r="R98" s="66">
        <f>IFERROR(aurora_data!Q1718,0)</f>
        <v>0</v>
      </c>
      <c r="S98" s="65">
        <f>IFERROR(aurora_data!R1718,0)</f>
        <v>0</v>
      </c>
      <c r="T98" s="65">
        <f>IFERROR(aurora_data!S1718,0)</f>
        <v>0</v>
      </c>
      <c r="U98" s="66">
        <f>IFERROR(aurora_data!T1718,0)</f>
        <v>0</v>
      </c>
      <c r="V98" s="67" t="s">
        <v>95</v>
      </c>
      <c r="W98" s="59">
        <f>IFERROR(aurora_data!U1718,0)</f>
        <v>0</v>
      </c>
      <c r="X98" s="72">
        <f t="shared" si="10"/>
        <v>0</v>
      </c>
      <c r="Y98" s="2"/>
    </row>
    <row r="99" spans="1:25" customFormat="1" ht="16.5" thickBot="1">
      <c r="A99" s="2"/>
      <c r="B99" s="211"/>
      <c r="C99" s="213"/>
      <c r="D99" s="38" t="s">
        <v>100</v>
      </c>
      <c r="E99" s="60">
        <f>IFERROR(aurora_data!D1719,0)</f>
        <v>0</v>
      </c>
      <c r="F99" s="68">
        <f>IFERROR(aurora_data!E1719,0)</f>
        <v>0</v>
      </c>
      <c r="G99" s="68">
        <f>IFERROR(aurora_data!F1719,0)</f>
        <v>0</v>
      </c>
      <c r="H99" s="68">
        <f>IFERROR(aurora_data!G1719,0)</f>
        <v>0</v>
      </c>
      <c r="I99" s="69">
        <f>IFERROR(aurora_data!H1719,0)</f>
        <v>0</v>
      </c>
      <c r="J99" s="60">
        <f>IFERROR(aurora_data!I1719,0)</f>
        <v>0</v>
      </c>
      <c r="K99" s="68">
        <f>IFERROR(aurora_data!J1719,0)</f>
        <v>0</v>
      </c>
      <c r="L99" s="68">
        <f>IFERROR(aurora_data!K1719,0)</f>
        <v>0</v>
      </c>
      <c r="M99" s="68">
        <f>IFERROR(aurora_data!L1719,0)</f>
        <v>0</v>
      </c>
      <c r="N99" s="69">
        <f>IFERROR(aurora_data!M1719,0)</f>
        <v>0</v>
      </c>
      <c r="O99" s="60">
        <f>IFERROR(aurora_data!N1719,0)</f>
        <v>0</v>
      </c>
      <c r="P99" s="68">
        <f>IFERROR(aurora_data!O1719,0)</f>
        <v>0</v>
      </c>
      <c r="Q99" s="68">
        <f>IFERROR(aurora_data!P1719,0)</f>
        <v>0</v>
      </c>
      <c r="R99" s="69">
        <f>IFERROR(aurora_data!Q1719,0)</f>
        <v>0</v>
      </c>
      <c r="S99" s="68">
        <f>IFERROR(aurora_data!R1719,0)</f>
        <v>0</v>
      </c>
      <c r="T99" s="68">
        <f>IFERROR(aurora_data!S1719,0)</f>
        <v>0</v>
      </c>
      <c r="U99" s="74">
        <f>IFERROR(aurora_data!T1719,0)</f>
        <v>0</v>
      </c>
      <c r="V99" s="75" t="s">
        <v>95</v>
      </c>
      <c r="W99" s="60">
        <f>IFERROR(aurora_data!U1719,0)</f>
        <v>0</v>
      </c>
      <c r="X99" s="73">
        <f t="shared" si="10"/>
        <v>0</v>
      </c>
      <c r="Y99" s="2"/>
    </row>
    <row r="100" spans="1:25" customFormat="1" ht="15.75" customHeight="1">
      <c r="A100" s="2"/>
      <c r="B100" s="206" t="s">
        <v>94</v>
      </c>
      <c r="C100" s="208" t="s">
        <v>55</v>
      </c>
      <c r="D100" s="34" t="s">
        <v>71</v>
      </c>
      <c r="E100" s="39">
        <f>IFERROR(aurora_data!D1720,0)</f>
        <v>0</v>
      </c>
      <c r="F100" s="40">
        <f>IFERROR(aurora_data!E1720,0)</f>
        <v>0</v>
      </c>
      <c r="G100" s="40">
        <f>IFERROR(aurora_data!F1720,0)</f>
        <v>0</v>
      </c>
      <c r="H100" s="40">
        <f>IFERROR(aurora_data!G1720,0)</f>
        <v>0</v>
      </c>
      <c r="I100" s="41">
        <f>IFERROR(aurora_data!H1720,0)</f>
        <v>0</v>
      </c>
      <c r="J100" s="39">
        <f>IFERROR(aurora_data!I1720,0)</f>
        <v>0</v>
      </c>
      <c r="K100" s="40">
        <f>IFERROR(aurora_data!J1720,0)</f>
        <v>0</v>
      </c>
      <c r="L100" s="40">
        <f>IFERROR(aurora_data!K1720,0)</f>
        <v>0</v>
      </c>
      <c r="M100" s="40">
        <f>IFERROR(aurora_data!L1720,0)</f>
        <v>0</v>
      </c>
      <c r="N100" s="41">
        <f>IFERROR(aurora_data!M1720,0)</f>
        <v>0</v>
      </c>
      <c r="O100" s="39">
        <f>IFERROR(aurora_data!N1720,0)</f>
        <v>0</v>
      </c>
      <c r="P100" s="40">
        <f>IFERROR(aurora_data!O1720,0)</f>
        <v>0</v>
      </c>
      <c r="Q100" s="40">
        <f>IFERROR(aurora_data!P1720,0)</f>
        <v>0</v>
      </c>
      <c r="R100" s="41">
        <f>IFERROR(aurora_data!Q1720,0)</f>
        <v>0</v>
      </c>
      <c r="S100" s="40">
        <f>IFERROR(aurora_data!R1720,0)</f>
        <v>0</v>
      </c>
      <c r="T100" s="40">
        <f>IFERROR(aurora_data!S1720,0)</f>
        <v>0</v>
      </c>
      <c r="U100" s="41">
        <f>IFERROR(aurora_data!T1720,0)</f>
        <v>0</v>
      </c>
      <c r="V100" s="61" t="s">
        <v>95</v>
      </c>
      <c r="W100" s="39">
        <f>IFERROR(aurora_data!U1720,0)</f>
        <v>16</v>
      </c>
      <c r="X100" s="70">
        <f>IFERROR(W100/$W$100,0)</f>
        <v>1</v>
      </c>
      <c r="Y100" s="2"/>
    </row>
    <row r="101" spans="1:25" customFormat="1" ht="15.75" customHeight="1">
      <c r="A101" s="2"/>
      <c r="B101" s="207"/>
      <c r="C101" s="209"/>
      <c r="D101" s="35" t="s">
        <v>96</v>
      </c>
      <c r="E101" s="36">
        <f>IFERROR(aurora_data!D1721,0)</f>
        <v>0</v>
      </c>
      <c r="F101" s="62">
        <f>IFERROR(aurora_data!E1721,0)</f>
        <v>0</v>
      </c>
      <c r="G101" s="62">
        <f>IFERROR(aurora_data!F1721,0)</f>
        <v>0</v>
      </c>
      <c r="H101" s="62">
        <f>IFERROR(aurora_data!G1721,0)</f>
        <v>0</v>
      </c>
      <c r="I101" s="63">
        <f>IFERROR(aurora_data!H1721,0)</f>
        <v>0</v>
      </c>
      <c r="J101" s="36">
        <f>IFERROR(aurora_data!I1721,0)</f>
        <v>0</v>
      </c>
      <c r="K101" s="62">
        <f>IFERROR(aurora_data!J1721,0)</f>
        <v>0</v>
      </c>
      <c r="L101" s="62">
        <f>IFERROR(aurora_data!K1721,0)</f>
        <v>0</v>
      </c>
      <c r="M101" s="62">
        <f>IFERROR(aurora_data!L1721,0)</f>
        <v>0</v>
      </c>
      <c r="N101" s="63">
        <f>IFERROR(aurora_data!M1721,0)</f>
        <v>0</v>
      </c>
      <c r="O101" s="36">
        <f>IFERROR(aurora_data!N1721,0)</f>
        <v>0</v>
      </c>
      <c r="P101" s="62">
        <f>IFERROR(aurora_data!O1721,0)</f>
        <v>0</v>
      </c>
      <c r="Q101" s="62">
        <f>IFERROR(aurora_data!P1721,0)</f>
        <v>0</v>
      </c>
      <c r="R101" s="63">
        <f>IFERROR(aurora_data!Q1721,0)</f>
        <v>0</v>
      </c>
      <c r="S101" s="62">
        <f>IFERROR(aurora_data!R1721,0)</f>
        <v>0</v>
      </c>
      <c r="T101" s="62">
        <f>IFERROR(aurora_data!S1721,0)</f>
        <v>0</v>
      </c>
      <c r="U101" s="63">
        <f>IFERROR(aurora_data!T1721,0)</f>
        <v>0</v>
      </c>
      <c r="V101" s="64" t="s">
        <v>95</v>
      </c>
      <c r="W101" s="36">
        <f>IFERROR(aurora_data!U1721,0)</f>
        <v>0</v>
      </c>
      <c r="X101" s="71">
        <f t="shared" ref="X101:X107" si="11">IFERROR(W101/$W$100,0)</f>
        <v>0</v>
      </c>
      <c r="Y101" s="2"/>
    </row>
    <row r="102" spans="1:25" customFormat="1" ht="15.75" customHeight="1">
      <c r="A102" s="2"/>
      <c r="B102" s="207"/>
      <c r="C102" s="209"/>
      <c r="D102" s="35" t="s">
        <v>60</v>
      </c>
      <c r="E102" s="36">
        <f>IFERROR(aurora_data!D1722,0)</f>
        <v>0</v>
      </c>
      <c r="F102" s="62">
        <f>IFERROR(aurora_data!E1722,0)</f>
        <v>0</v>
      </c>
      <c r="G102" s="62">
        <f>IFERROR(aurora_data!F1722,0)</f>
        <v>0</v>
      </c>
      <c r="H102" s="62">
        <f>IFERROR(aurora_data!G1722,0)</f>
        <v>0</v>
      </c>
      <c r="I102" s="63">
        <f>IFERROR(aurora_data!H1722,0)</f>
        <v>0</v>
      </c>
      <c r="J102" s="36">
        <f>IFERROR(aurora_data!I1722,0)</f>
        <v>0</v>
      </c>
      <c r="K102" s="62">
        <f>IFERROR(aurora_data!J1722,0)</f>
        <v>0</v>
      </c>
      <c r="L102" s="62">
        <f>IFERROR(aurora_data!K1722,0)</f>
        <v>0</v>
      </c>
      <c r="M102" s="62">
        <f>IFERROR(aurora_data!L1722,0)</f>
        <v>0</v>
      </c>
      <c r="N102" s="63">
        <f>IFERROR(aurora_data!M1722,0)</f>
        <v>0</v>
      </c>
      <c r="O102" s="36">
        <f>IFERROR(aurora_data!N1722,0)</f>
        <v>0</v>
      </c>
      <c r="P102" s="62">
        <f>IFERROR(aurora_data!O1722,0)</f>
        <v>0</v>
      </c>
      <c r="Q102" s="62">
        <f>IFERROR(aurora_data!P1722,0)</f>
        <v>0</v>
      </c>
      <c r="R102" s="63">
        <f>IFERROR(aurora_data!Q1722,0)</f>
        <v>0</v>
      </c>
      <c r="S102" s="62">
        <f>IFERROR(aurora_data!R1722,0)</f>
        <v>0</v>
      </c>
      <c r="T102" s="62">
        <f>IFERROR(aurora_data!S1722,0)</f>
        <v>0</v>
      </c>
      <c r="U102" s="63">
        <f>IFERROR(aurora_data!T1722,0)</f>
        <v>0</v>
      </c>
      <c r="V102" s="64" t="s">
        <v>95</v>
      </c>
      <c r="W102" s="36">
        <f>IFERROR(aurora_data!U1722,0)</f>
        <v>0</v>
      </c>
      <c r="X102" s="71">
        <f t="shared" si="11"/>
        <v>0</v>
      </c>
      <c r="Y102" s="2"/>
    </row>
    <row r="103" spans="1:25" customFormat="1" ht="15.75" customHeight="1">
      <c r="A103" s="2"/>
      <c r="B103" s="207"/>
      <c r="C103" s="209"/>
      <c r="D103" s="35" t="s">
        <v>97</v>
      </c>
      <c r="E103" s="36">
        <f>IFERROR(aurora_data!D1723,0)</f>
        <v>0</v>
      </c>
      <c r="F103" s="62">
        <f>IFERROR(aurora_data!E1723,0)</f>
        <v>0</v>
      </c>
      <c r="G103" s="62">
        <f>IFERROR(aurora_data!F1723,0)</f>
        <v>0</v>
      </c>
      <c r="H103" s="62">
        <f>IFERROR(aurora_data!G1723,0)</f>
        <v>0</v>
      </c>
      <c r="I103" s="63">
        <f>IFERROR(aurora_data!H1723,0)</f>
        <v>0</v>
      </c>
      <c r="J103" s="36">
        <f>IFERROR(aurora_data!I1723,0)</f>
        <v>0</v>
      </c>
      <c r="K103" s="62">
        <f>IFERROR(aurora_data!J1723,0)</f>
        <v>0</v>
      </c>
      <c r="L103" s="62">
        <f>IFERROR(aurora_data!K1723,0)</f>
        <v>0</v>
      </c>
      <c r="M103" s="62">
        <f>IFERROR(aurora_data!L1723,0)</f>
        <v>0</v>
      </c>
      <c r="N103" s="63">
        <f>IFERROR(aurora_data!M1723,0)</f>
        <v>0</v>
      </c>
      <c r="O103" s="36">
        <f>IFERROR(aurora_data!N1723,0)</f>
        <v>0</v>
      </c>
      <c r="P103" s="62">
        <f>IFERROR(aurora_data!O1723,0)</f>
        <v>0</v>
      </c>
      <c r="Q103" s="62">
        <f>IFERROR(aurora_data!P1723,0)</f>
        <v>0</v>
      </c>
      <c r="R103" s="63">
        <f>IFERROR(aurora_data!Q1723,0)</f>
        <v>0</v>
      </c>
      <c r="S103" s="62">
        <f>IFERROR(aurora_data!R1723,0)</f>
        <v>0</v>
      </c>
      <c r="T103" s="62">
        <f>IFERROR(aurora_data!S1723,0)</f>
        <v>0</v>
      </c>
      <c r="U103" s="63">
        <f>IFERROR(aurora_data!T1723,0)</f>
        <v>0</v>
      </c>
      <c r="V103" s="64" t="s">
        <v>95</v>
      </c>
      <c r="W103" s="36">
        <f>IFERROR(aurora_data!U1723,0)</f>
        <v>0</v>
      </c>
      <c r="X103" s="71">
        <f t="shared" si="11"/>
        <v>0</v>
      </c>
      <c r="Y103" s="2"/>
    </row>
    <row r="104" spans="1:25" customFormat="1" ht="16.5" customHeight="1">
      <c r="A104" s="2"/>
      <c r="B104" s="207"/>
      <c r="C104" s="209"/>
      <c r="D104" s="35" t="s">
        <v>98</v>
      </c>
      <c r="E104" s="36">
        <f>IFERROR(aurora_data!D1724,0)</f>
        <v>0</v>
      </c>
      <c r="F104" s="62">
        <f>IFERROR(aurora_data!E1724,0)</f>
        <v>0</v>
      </c>
      <c r="G104" s="62">
        <f>IFERROR(aurora_data!F1724,0)</f>
        <v>0</v>
      </c>
      <c r="H104" s="62">
        <f>IFERROR(aurora_data!G1724,0)</f>
        <v>0</v>
      </c>
      <c r="I104" s="63">
        <f>IFERROR(aurora_data!H1724,0)</f>
        <v>0</v>
      </c>
      <c r="J104" s="36">
        <f>IFERROR(aurora_data!I1724,0)</f>
        <v>0</v>
      </c>
      <c r="K104" s="62">
        <f>IFERROR(aurora_data!J1724,0)</f>
        <v>0</v>
      </c>
      <c r="L104" s="62">
        <f>IFERROR(aurora_data!K1724,0)</f>
        <v>0</v>
      </c>
      <c r="M104" s="62">
        <f>IFERROR(aurora_data!L1724,0)</f>
        <v>0</v>
      </c>
      <c r="N104" s="63">
        <f>IFERROR(aurora_data!M1724,0)</f>
        <v>0</v>
      </c>
      <c r="O104" s="36">
        <f>IFERROR(aurora_data!N1724,0)</f>
        <v>0</v>
      </c>
      <c r="P104" s="62">
        <f>IFERROR(aurora_data!O1724,0)</f>
        <v>0</v>
      </c>
      <c r="Q104" s="62">
        <f>IFERROR(aurora_data!P1724,0)</f>
        <v>0</v>
      </c>
      <c r="R104" s="63">
        <f>IFERROR(aurora_data!Q1724,0)</f>
        <v>0</v>
      </c>
      <c r="S104" s="62">
        <f>IFERROR(aurora_data!R1724,0)</f>
        <v>0</v>
      </c>
      <c r="T104" s="62">
        <f>IFERROR(aurora_data!S1724,0)</f>
        <v>0</v>
      </c>
      <c r="U104" s="63">
        <f>IFERROR(aurora_data!T1724,0)</f>
        <v>0</v>
      </c>
      <c r="V104" s="64" t="s">
        <v>95</v>
      </c>
      <c r="W104" s="36">
        <f>IFERROR(aurora_data!U1724,0)</f>
        <v>0</v>
      </c>
      <c r="X104" s="71">
        <f t="shared" si="11"/>
        <v>0</v>
      </c>
      <c r="Y104" s="2"/>
    </row>
    <row r="105" spans="1:25" customFormat="1" ht="16.5" customHeight="1" thickBot="1">
      <c r="A105" s="2"/>
      <c r="B105" s="207"/>
      <c r="C105" s="209"/>
      <c r="D105" s="35" t="s">
        <v>99</v>
      </c>
      <c r="E105" s="36">
        <f>IFERROR(aurora_data!D1725,0)</f>
        <v>0</v>
      </c>
      <c r="F105" s="62">
        <f>IFERROR(aurora_data!E1725,0)</f>
        <v>0</v>
      </c>
      <c r="G105" s="62">
        <f>IFERROR(aurora_data!F1725,0)</f>
        <v>0</v>
      </c>
      <c r="H105" s="62">
        <f>IFERROR(aurora_data!G1725,0)</f>
        <v>0</v>
      </c>
      <c r="I105" s="63">
        <f>IFERROR(aurora_data!H1725,0)</f>
        <v>0</v>
      </c>
      <c r="J105" s="36">
        <f>IFERROR(aurora_data!I1725,0)</f>
        <v>0</v>
      </c>
      <c r="K105" s="62">
        <f>IFERROR(aurora_data!J1725,0)</f>
        <v>0</v>
      </c>
      <c r="L105" s="62">
        <f>IFERROR(aurora_data!K1725,0)</f>
        <v>0</v>
      </c>
      <c r="M105" s="62">
        <f>IFERROR(aurora_data!L1725,0)</f>
        <v>0</v>
      </c>
      <c r="N105" s="63">
        <f>IFERROR(aurora_data!M1725,0)</f>
        <v>0</v>
      </c>
      <c r="O105" s="36">
        <f>IFERROR(aurora_data!N1725,0)</f>
        <v>0</v>
      </c>
      <c r="P105" s="62">
        <f>IFERROR(aurora_data!O1725,0)</f>
        <v>0</v>
      </c>
      <c r="Q105" s="62">
        <f>IFERROR(aurora_data!P1725,0)</f>
        <v>0</v>
      </c>
      <c r="R105" s="63">
        <f>IFERROR(aurora_data!Q1725,0)</f>
        <v>0</v>
      </c>
      <c r="S105" s="62">
        <f>IFERROR(aurora_data!R1725,0)</f>
        <v>0</v>
      </c>
      <c r="T105" s="62">
        <f>IFERROR(aurora_data!S1725,0)</f>
        <v>0</v>
      </c>
      <c r="U105" s="63">
        <f>IFERROR(aurora_data!T1725,0)</f>
        <v>0</v>
      </c>
      <c r="V105" s="64" t="s">
        <v>95</v>
      </c>
      <c r="W105" s="36">
        <f>IFERROR(aurora_data!U1725,0)</f>
        <v>0</v>
      </c>
      <c r="X105" s="71">
        <f t="shared" si="11"/>
        <v>0</v>
      </c>
      <c r="Y105" s="2"/>
    </row>
    <row r="106" spans="1:25" customFormat="1" ht="16.5" customHeight="1" thickBot="1">
      <c r="A106" s="2"/>
      <c r="B106" s="207"/>
      <c r="C106" s="209"/>
      <c r="D106" s="37" t="s">
        <v>64</v>
      </c>
      <c r="E106" s="59">
        <f>IFERROR(aurora_data!D1726,0)</f>
        <v>0</v>
      </c>
      <c r="F106" s="65">
        <f>IFERROR(aurora_data!E1726,0)</f>
        <v>0</v>
      </c>
      <c r="G106" s="65">
        <f>IFERROR(aurora_data!F1726,0)</f>
        <v>0</v>
      </c>
      <c r="H106" s="65">
        <f>IFERROR(aurora_data!G1726,0)</f>
        <v>0</v>
      </c>
      <c r="I106" s="66">
        <f>IFERROR(aurora_data!H1726,0)</f>
        <v>0</v>
      </c>
      <c r="J106" s="59">
        <f>IFERROR(aurora_data!I1726,0)</f>
        <v>0</v>
      </c>
      <c r="K106" s="65">
        <f>IFERROR(aurora_data!J1726,0)</f>
        <v>0</v>
      </c>
      <c r="L106" s="65">
        <f>IFERROR(aurora_data!K1726,0)</f>
        <v>0</v>
      </c>
      <c r="M106" s="65">
        <f>IFERROR(aurora_data!L1726,0)</f>
        <v>0</v>
      </c>
      <c r="N106" s="66">
        <f>IFERROR(aurora_data!M1726,0)</f>
        <v>0</v>
      </c>
      <c r="O106" s="59">
        <f>IFERROR(aurora_data!N1726,0)</f>
        <v>0</v>
      </c>
      <c r="P106" s="65">
        <f>IFERROR(aurora_data!O1726,0)</f>
        <v>0</v>
      </c>
      <c r="Q106" s="65">
        <f>IFERROR(aurora_data!P1726,0)</f>
        <v>0</v>
      </c>
      <c r="R106" s="66">
        <f>IFERROR(aurora_data!Q1726,0)</f>
        <v>0</v>
      </c>
      <c r="S106" s="65">
        <f>IFERROR(aurora_data!R1726,0)</f>
        <v>0</v>
      </c>
      <c r="T106" s="65">
        <f>IFERROR(aurora_data!S1726,0)</f>
        <v>0</v>
      </c>
      <c r="U106" s="66">
        <f>IFERROR(aurora_data!T1726,0)</f>
        <v>0</v>
      </c>
      <c r="V106" s="67" t="s">
        <v>95</v>
      </c>
      <c r="W106" s="59">
        <f>IFERROR(aurora_data!U1726,0)</f>
        <v>0</v>
      </c>
      <c r="X106" s="72">
        <f t="shared" si="11"/>
        <v>0</v>
      </c>
      <c r="Y106" s="2"/>
    </row>
    <row r="107" spans="1:25" customFormat="1" ht="16.5" customHeight="1" thickBot="1">
      <c r="A107" s="2"/>
      <c r="B107" s="207"/>
      <c r="C107" s="209"/>
      <c r="D107" s="38" t="s">
        <v>100</v>
      </c>
      <c r="E107" s="60">
        <f>IFERROR(aurora_data!D1727,0)</f>
        <v>0</v>
      </c>
      <c r="F107" s="68">
        <f>IFERROR(aurora_data!E1727,0)</f>
        <v>0</v>
      </c>
      <c r="G107" s="68">
        <f>IFERROR(aurora_data!F1727,0)</f>
        <v>0</v>
      </c>
      <c r="H107" s="68">
        <f>IFERROR(aurora_data!G1727,0)</f>
        <v>0</v>
      </c>
      <c r="I107" s="69">
        <f>IFERROR(aurora_data!H1727,0)</f>
        <v>0</v>
      </c>
      <c r="J107" s="60">
        <f>IFERROR(aurora_data!I1727,0)</f>
        <v>0</v>
      </c>
      <c r="K107" s="68">
        <f>IFERROR(aurora_data!J1727,0)</f>
        <v>0</v>
      </c>
      <c r="L107" s="68">
        <f>IFERROR(aurora_data!K1727,0)</f>
        <v>0</v>
      </c>
      <c r="M107" s="68">
        <f>IFERROR(aurora_data!L1727,0)</f>
        <v>0</v>
      </c>
      <c r="N107" s="69">
        <f>IFERROR(aurora_data!M1727,0)</f>
        <v>0</v>
      </c>
      <c r="O107" s="60">
        <f>IFERROR(aurora_data!N1727,0)</f>
        <v>0</v>
      </c>
      <c r="P107" s="68">
        <f>IFERROR(aurora_data!O1727,0)</f>
        <v>0</v>
      </c>
      <c r="Q107" s="68">
        <f>IFERROR(aurora_data!P1727,0)</f>
        <v>0</v>
      </c>
      <c r="R107" s="69">
        <f>IFERROR(aurora_data!Q1727,0)</f>
        <v>0</v>
      </c>
      <c r="S107" s="68">
        <f>IFERROR(aurora_data!R1727,0)</f>
        <v>0</v>
      </c>
      <c r="T107" s="68">
        <f>IFERROR(aurora_data!S1727,0)</f>
        <v>0</v>
      </c>
      <c r="U107" s="74">
        <f>IFERROR(aurora_data!T1727,0)</f>
        <v>0</v>
      </c>
      <c r="V107" s="75" t="s">
        <v>95</v>
      </c>
      <c r="W107" s="60">
        <f>IFERROR(aurora_data!U1727,0)</f>
        <v>0</v>
      </c>
      <c r="X107" s="73">
        <f t="shared" si="11"/>
        <v>0</v>
      </c>
      <c r="Y107" s="2"/>
    </row>
    <row r="108" spans="1:25" ht="16.5" customHeight="1">
      <c r="B108" s="97"/>
      <c r="C108" s="97"/>
    </row>
  </sheetData>
  <mergeCells count="46">
    <mergeCell ref="B68:B75"/>
    <mergeCell ref="C68:C75"/>
    <mergeCell ref="B100:B107"/>
    <mergeCell ref="C100:C107"/>
    <mergeCell ref="B76:B83"/>
    <mergeCell ref="C76:C83"/>
    <mergeCell ref="B84:B91"/>
    <mergeCell ref="C84:C91"/>
    <mergeCell ref="B92:B99"/>
    <mergeCell ref="C92:C99"/>
    <mergeCell ref="B44:B51"/>
    <mergeCell ref="C44:C51"/>
    <mergeCell ref="B52:B59"/>
    <mergeCell ref="C52:C59"/>
    <mergeCell ref="B60:B67"/>
    <mergeCell ref="C60:C67"/>
    <mergeCell ref="C12:C19"/>
    <mergeCell ref="B28:B35"/>
    <mergeCell ref="C28:C35"/>
    <mergeCell ref="B36:B43"/>
    <mergeCell ref="C36:C43"/>
    <mergeCell ref="B20:B27"/>
    <mergeCell ref="C20:C27"/>
    <mergeCell ref="B12:B19"/>
    <mergeCell ref="B8:D8"/>
    <mergeCell ref="E8:U8"/>
    <mergeCell ref="W8:X11"/>
    <mergeCell ref="B9:C9"/>
    <mergeCell ref="E9:I9"/>
    <mergeCell ref="J9:N9"/>
    <mergeCell ref="O9:R9"/>
    <mergeCell ref="S9:U9"/>
    <mergeCell ref="B10:B11"/>
    <mergeCell ref="E10:I10"/>
    <mergeCell ref="J10:N10"/>
    <mergeCell ref="O10:R10"/>
    <mergeCell ref="S10:U10"/>
    <mergeCell ref="A1:C1"/>
    <mergeCell ref="D1:H1"/>
    <mergeCell ref="A2:C2"/>
    <mergeCell ref="D2:H2"/>
    <mergeCell ref="K2:X6"/>
    <mergeCell ref="D3:E3"/>
    <mergeCell ref="F3:H3"/>
    <mergeCell ref="D5:G5"/>
    <mergeCell ref="D6:H6"/>
  </mergeCells>
  <conditionalFormatting sqref="E13:W13">
    <cfRule type="expression" dxfId="79" priority="22">
      <formula>ROUND(E$13,0) &gt;= ROUND(E$12,0)</formula>
    </cfRule>
  </conditionalFormatting>
  <conditionalFormatting sqref="E18:W18">
    <cfRule type="expression" dxfId="78" priority="23">
      <formula>ROUND(E$18,0) &lt; ROUND(E$12,0)</formula>
    </cfRule>
  </conditionalFormatting>
  <conditionalFormatting sqref="E21:W21">
    <cfRule type="expression" dxfId="77" priority="19">
      <formula>ROUND(E$13,0) &gt;= ROUND(E$12,0)</formula>
    </cfRule>
  </conditionalFormatting>
  <conditionalFormatting sqref="E26:W26">
    <cfRule type="expression" dxfId="76" priority="20">
      <formula>ROUND(E$18,0) &lt; ROUND(E$12,0)</formula>
    </cfRule>
  </conditionalFormatting>
  <conditionalFormatting sqref="E29:W29">
    <cfRule type="expression" dxfId="75" priority="17">
      <formula>ROUND(E$13,0) &gt;= ROUND(E$12,0)</formula>
    </cfRule>
  </conditionalFormatting>
  <conditionalFormatting sqref="E34:W34">
    <cfRule type="expression" dxfId="74" priority="18">
      <formula>ROUND(E$18,0) &lt; ROUND(E$12,0)</formula>
    </cfRule>
  </conditionalFormatting>
  <conditionalFormatting sqref="E37:W37">
    <cfRule type="expression" dxfId="73" priority="15">
      <formula>ROUND(E$13,0) &gt;= ROUND(E$12,0)</formula>
    </cfRule>
  </conditionalFormatting>
  <conditionalFormatting sqref="E42:W42">
    <cfRule type="expression" dxfId="72" priority="16">
      <formula>ROUND(E$18,0) &lt; ROUND(E$12,0)</formula>
    </cfRule>
  </conditionalFormatting>
  <conditionalFormatting sqref="E45:W45">
    <cfRule type="expression" dxfId="71" priority="13">
      <formula>ROUND(E$13,0) &gt;= ROUND(E$12,0)</formula>
    </cfRule>
  </conditionalFormatting>
  <conditionalFormatting sqref="E50:W50">
    <cfRule type="expression" dxfId="70" priority="14">
      <formula>ROUND(E$18,0) &lt; ROUND(E$12,0)</formula>
    </cfRule>
  </conditionalFormatting>
  <conditionalFormatting sqref="E53:W53">
    <cfRule type="expression" dxfId="69" priority="11">
      <formula>ROUND(E$13,0) &gt;= ROUND(E$12,0)</formula>
    </cfRule>
  </conditionalFormatting>
  <conditionalFormatting sqref="E58:W58">
    <cfRule type="expression" dxfId="68" priority="12">
      <formula>ROUND(E$18,0) &lt; ROUND(E$12,0)</formula>
    </cfRule>
  </conditionalFormatting>
  <conditionalFormatting sqref="E61:W61">
    <cfRule type="expression" dxfId="67" priority="9">
      <formula>ROUND(E$13,0) &gt;= ROUND(E$12,0)</formula>
    </cfRule>
  </conditionalFormatting>
  <conditionalFormatting sqref="E66:W66">
    <cfRule type="expression" dxfId="66" priority="10">
      <formula>ROUND(E$18,0) &lt; ROUND(E$12,0)</formula>
    </cfRule>
  </conditionalFormatting>
  <conditionalFormatting sqref="E69:W69">
    <cfRule type="expression" dxfId="65" priority="7">
      <formula>ROUND(E$13,0) &gt;= ROUND(E$12,0)</formula>
    </cfRule>
  </conditionalFormatting>
  <conditionalFormatting sqref="E74:W74">
    <cfRule type="expression" dxfId="64" priority="8">
      <formula>ROUND(E$18,0) &lt; ROUND(E$12,0)</formula>
    </cfRule>
  </conditionalFormatting>
  <conditionalFormatting sqref="E77:W77">
    <cfRule type="expression" dxfId="63" priority="5">
      <formula>ROUND(E$13,0) &gt;= ROUND(E$12,0)</formula>
    </cfRule>
  </conditionalFormatting>
  <conditionalFormatting sqref="E82:W82">
    <cfRule type="expression" dxfId="62" priority="6">
      <formula>ROUND(E$18,0) &lt; ROUND(E$12,0)</formula>
    </cfRule>
  </conditionalFormatting>
  <conditionalFormatting sqref="E85:W85">
    <cfRule type="expression" dxfId="61" priority="3">
      <formula>ROUND(E$13,0) &gt;= ROUND(E$12,0)</formula>
    </cfRule>
  </conditionalFormatting>
  <conditionalFormatting sqref="E90:W90">
    <cfRule type="expression" dxfId="60" priority="4">
      <formula>ROUND(E$18,0) &lt; ROUND(E$12,0)</formula>
    </cfRule>
  </conditionalFormatting>
  <conditionalFormatting sqref="E93:W93">
    <cfRule type="expression" dxfId="59" priority="1">
      <formula>ROUND(E$13,0) &gt;= ROUND(E$12,0)</formula>
    </cfRule>
  </conditionalFormatting>
  <conditionalFormatting sqref="E98:W98">
    <cfRule type="expression" dxfId="58" priority="2">
      <formula>ROUND(E$18,0) &lt; ROUND(E$12,0)</formula>
    </cfRule>
  </conditionalFormatting>
  <conditionalFormatting sqref="E101:W101">
    <cfRule type="expression" dxfId="57" priority="21">
      <formula>ROUND(E$101,0) &gt;= ROUND(E$100,0)</formula>
    </cfRule>
  </conditionalFormatting>
  <conditionalFormatting sqref="E106:W106">
    <cfRule type="expression" dxfId="56" priority="24">
      <formula>ROUND(E$106,0) &lt; ROUND(E$100,0)</formula>
    </cfRule>
  </conditionalFormatting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412F9E-6F75-4C88-97AF-F75938E23C5E}">
  <sheetPr>
    <tabColor theme="6" tint="0.39997558519241921"/>
  </sheetPr>
  <dimension ref="A1:Y28"/>
  <sheetViews>
    <sheetView zoomScale="85" zoomScaleNormal="85" workbookViewId="0">
      <selection sqref="A1:C1"/>
    </sheetView>
  </sheetViews>
  <sheetFormatPr defaultColWidth="2.625" defaultRowHeight="15.75"/>
  <cols>
    <col min="1" max="1" width="1.375" style="2" customWidth="1"/>
    <col min="2" max="2" width="10.875" style="2" customWidth="1"/>
    <col min="3" max="3" width="15.625" style="2" customWidth="1"/>
    <col min="4" max="4" width="22.625" style="4" customWidth="1"/>
    <col min="5" max="8" width="7.625" style="4" customWidth="1"/>
    <col min="9" max="9" width="6.625" style="4" hidden="1" customWidth="1"/>
    <col min="10" max="21" width="7.625" style="4" customWidth="1"/>
    <col min="22" max="22" width="0.625" style="2" customWidth="1"/>
    <col min="23" max="24" width="5.875" style="2" customWidth="1"/>
    <col min="25" max="25" width="12.5" style="2" customWidth="1"/>
    <col min="26" max="26" width="2.625" style="2" customWidth="1"/>
    <col min="27" max="64" width="7.625" style="2" customWidth="1"/>
    <col min="65" max="16323" width="2.625" style="2"/>
    <col min="16324" max="16324" width="1.375" style="2" customWidth="1"/>
    <col min="16325" max="16325" width="2.625" style="2" customWidth="1"/>
    <col min="16326" max="16326" width="3.5" style="2" customWidth="1"/>
    <col min="16327" max="16327" width="1" style="2" customWidth="1"/>
    <col min="16328" max="16328" width="0.875" style="2" customWidth="1"/>
    <col min="16329" max="16329" width="2.375" style="2" customWidth="1"/>
    <col min="16330" max="16384" width="20.375" style="2" customWidth="1"/>
  </cols>
  <sheetData>
    <row r="1" spans="1:25" customFormat="1" ht="25.5" customHeight="1">
      <c r="A1" s="151" t="s">
        <v>77</v>
      </c>
      <c r="B1" s="152"/>
      <c r="C1" s="153"/>
      <c r="D1" s="154" t="s">
        <v>78</v>
      </c>
      <c r="E1" s="155"/>
      <c r="F1" s="155"/>
      <c r="G1" s="155"/>
      <c r="H1" s="156"/>
      <c r="I1" s="98"/>
      <c r="J1" s="88"/>
      <c r="K1" s="100"/>
      <c r="L1" s="100"/>
      <c r="M1" s="100"/>
      <c r="N1" s="100" t="s">
        <v>79</v>
      </c>
      <c r="O1" s="100"/>
      <c r="P1" s="100"/>
      <c r="Q1" s="100"/>
      <c r="R1" s="100"/>
      <c r="S1" s="100"/>
      <c r="T1" s="100"/>
      <c r="U1" s="100"/>
      <c r="V1" s="100"/>
      <c r="W1" s="100"/>
      <c r="X1" s="106"/>
      <c r="Y1" s="108"/>
    </row>
    <row r="2" spans="1:25" customFormat="1" ht="31.5" customHeight="1">
      <c r="A2" s="157" t="s">
        <v>80</v>
      </c>
      <c r="B2" s="157"/>
      <c r="C2" s="158"/>
      <c r="D2" s="217" t="str">
        <f>_xlfn.CONCAT("Study Name: ","
OSEP – Traumatic Brain Injury - Paper")</f>
        <v>Study Name: 
OSEP – Traumatic Brain Injury - Paper</v>
      </c>
      <c r="E2" s="218"/>
      <c r="F2" s="218"/>
      <c r="G2" s="218"/>
      <c r="H2" s="219"/>
      <c r="I2" s="4"/>
      <c r="J2" s="4"/>
      <c r="K2" s="162" t="s">
        <v>81</v>
      </c>
      <c r="L2" s="163"/>
      <c r="M2" s="163"/>
      <c r="N2" s="163"/>
      <c r="O2" s="163"/>
      <c r="P2" s="163"/>
      <c r="Q2" s="163"/>
      <c r="R2" s="163"/>
      <c r="S2" s="163"/>
      <c r="T2" s="163"/>
      <c r="U2" s="163"/>
      <c r="V2" s="163"/>
      <c r="W2" s="163"/>
      <c r="X2" s="164"/>
      <c r="Y2" s="103"/>
    </row>
    <row r="3" spans="1:25" customFormat="1" ht="30.75" customHeight="1" thickBot="1">
      <c r="A3" s="2"/>
      <c r="B3" s="2"/>
      <c r="C3" s="2"/>
      <c r="D3" s="169" t="str">
        <f>_xlfn.CONCAT("Study Acronym: ","
OSEP_TBI_P")</f>
        <v>Study Acronym: 
OSEP_TBI_P</v>
      </c>
      <c r="E3" s="170"/>
      <c r="F3" s="171" t="s">
        <v>277</v>
      </c>
      <c r="G3" s="172"/>
      <c r="H3" s="173"/>
      <c r="I3" s="4"/>
      <c r="J3" s="4"/>
      <c r="K3" s="165"/>
      <c r="L3" s="163"/>
      <c r="M3" s="163"/>
      <c r="N3" s="163"/>
      <c r="O3" s="163"/>
      <c r="P3" s="163"/>
      <c r="Q3" s="163"/>
      <c r="R3" s="163"/>
      <c r="S3" s="163"/>
      <c r="T3" s="163"/>
      <c r="U3" s="163"/>
      <c r="V3" s="163"/>
      <c r="W3" s="163"/>
      <c r="X3" s="164"/>
      <c r="Y3" s="103"/>
    </row>
    <row r="4" spans="1:25" customFormat="1" ht="16.5" customHeight="1">
      <c r="A4" s="2"/>
      <c r="B4" s="24"/>
      <c r="C4" s="2"/>
      <c r="D4" s="2"/>
      <c r="E4" s="25"/>
      <c r="F4" s="25"/>
      <c r="G4" s="25"/>
      <c r="H4" s="25"/>
      <c r="I4" s="25"/>
      <c r="J4" s="25"/>
      <c r="K4" s="165"/>
      <c r="L4" s="163"/>
      <c r="M4" s="163"/>
      <c r="N4" s="163"/>
      <c r="O4" s="163"/>
      <c r="P4" s="163"/>
      <c r="Q4" s="163"/>
      <c r="R4" s="163"/>
      <c r="S4" s="163"/>
      <c r="T4" s="163"/>
      <c r="U4" s="163"/>
      <c r="V4" s="163"/>
      <c r="W4" s="163"/>
      <c r="X4" s="164"/>
      <c r="Y4" s="104"/>
    </row>
    <row r="5" spans="1:25" customFormat="1" ht="21.95" customHeight="1" thickBot="1">
      <c r="A5" s="2"/>
      <c r="B5" s="2"/>
      <c r="C5" s="102"/>
      <c r="D5" s="154" t="s">
        <v>82</v>
      </c>
      <c r="E5" s="155"/>
      <c r="F5" s="155"/>
      <c r="G5" s="155"/>
      <c r="H5" s="101"/>
      <c r="I5" s="98"/>
      <c r="J5" s="98"/>
      <c r="K5" s="165"/>
      <c r="L5" s="163"/>
      <c r="M5" s="163"/>
      <c r="N5" s="163"/>
      <c r="O5" s="163"/>
      <c r="P5" s="163"/>
      <c r="Q5" s="163"/>
      <c r="R5" s="163"/>
      <c r="S5" s="163"/>
      <c r="T5" s="163"/>
      <c r="U5" s="163"/>
      <c r="V5" s="163"/>
      <c r="W5" s="163"/>
      <c r="X5" s="164"/>
      <c r="Y5" s="105"/>
    </row>
    <row r="6" spans="1:25" customFormat="1" ht="60.95" customHeight="1" thickBot="1">
      <c r="A6" s="2"/>
      <c r="B6" s="2"/>
      <c r="C6" s="99"/>
      <c r="D6" s="214" t="s">
        <v>101</v>
      </c>
      <c r="E6" s="215"/>
      <c r="F6" s="215"/>
      <c r="G6" s="215"/>
      <c r="H6" s="216"/>
      <c r="I6" s="124"/>
      <c r="J6" s="125"/>
      <c r="K6" s="166"/>
      <c r="L6" s="167"/>
      <c r="M6" s="167"/>
      <c r="N6" s="167"/>
      <c r="O6" s="167"/>
      <c r="P6" s="167"/>
      <c r="Q6" s="167"/>
      <c r="R6" s="167"/>
      <c r="S6" s="167"/>
      <c r="T6" s="167"/>
      <c r="U6" s="167"/>
      <c r="V6" s="167"/>
      <c r="W6" s="167"/>
      <c r="X6" s="168"/>
      <c r="Y6" s="107"/>
    </row>
    <row r="7" spans="1:25" customFormat="1" ht="16.5" customHeight="1" thickBot="1">
      <c r="A7" s="2"/>
      <c r="B7" s="3"/>
      <c r="C7" s="26"/>
      <c r="D7" s="27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8"/>
      <c r="W7" s="3"/>
      <c r="X7" s="3"/>
      <c r="Y7" s="2"/>
    </row>
    <row r="8" spans="1:25" customFormat="1">
      <c r="A8" s="2"/>
      <c r="B8" s="177" t="str">
        <f>_xlfn.CONCAT("Last Refreshed at: ",aurora_data!V1732)</f>
        <v>Last Refreshed at: 09/17/2026 @ 7:20 AM</v>
      </c>
      <c r="C8" s="178"/>
      <c r="D8" s="178"/>
      <c r="E8" s="179" t="s">
        <v>83</v>
      </c>
      <c r="F8" s="180"/>
      <c r="G8" s="180"/>
      <c r="H8" s="180"/>
      <c r="I8" s="180"/>
      <c r="J8" s="180"/>
      <c r="K8" s="180"/>
      <c r="L8" s="180"/>
      <c r="M8" s="180"/>
      <c r="N8" s="180"/>
      <c r="O8" s="180"/>
      <c r="P8" s="180"/>
      <c r="Q8" s="180"/>
      <c r="R8" s="180"/>
      <c r="S8" s="180"/>
      <c r="T8" s="180"/>
      <c r="U8" s="181"/>
      <c r="V8" s="44"/>
      <c r="W8" s="182" t="s">
        <v>84</v>
      </c>
      <c r="X8" s="183"/>
      <c r="Y8" s="2"/>
    </row>
    <row r="9" spans="1:25" customFormat="1" ht="16.5" customHeight="1" thickBot="1">
      <c r="A9" s="2"/>
      <c r="B9" s="188"/>
      <c r="C9" s="189"/>
      <c r="D9" s="29" t="s">
        <v>85</v>
      </c>
      <c r="E9" s="190" t="s">
        <v>86</v>
      </c>
      <c r="F9" s="191"/>
      <c r="G9" s="191"/>
      <c r="H9" s="191"/>
      <c r="I9" s="191"/>
      <c r="J9" s="192" t="s">
        <v>86</v>
      </c>
      <c r="K9" s="193"/>
      <c r="L9" s="193"/>
      <c r="M9" s="193"/>
      <c r="N9" s="193"/>
      <c r="O9" s="194" t="s">
        <v>86</v>
      </c>
      <c r="P9" s="195"/>
      <c r="Q9" s="195"/>
      <c r="R9" s="195"/>
      <c r="S9" s="196" t="s">
        <v>86</v>
      </c>
      <c r="T9" s="197"/>
      <c r="U9" s="197"/>
      <c r="V9" s="28"/>
      <c r="W9" s="184"/>
      <c r="X9" s="185"/>
      <c r="Y9" s="2"/>
    </row>
    <row r="10" spans="1:25" customFormat="1" ht="17.25" thickTop="1" thickBot="1">
      <c r="A10" s="2"/>
      <c r="B10" s="198" t="s">
        <v>87</v>
      </c>
      <c r="C10" s="30"/>
      <c r="D10" s="31"/>
      <c r="E10" s="199" t="s">
        <v>88</v>
      </c>
      <c r="F10" s="200"/>
      <c r="G10" s="200"/>
      <c r="H10" s="200"/>
      <c r="I10" s="201"/>
      <c r="J10" s="200" t="s">
        <v>89</v>
      </c>
      <c r="K10" s="200"/>
      <c r="L10" s="200"/>
      <c r="M10" s="200"/>
      <c r="N10" s="201"/>
      <c r="O10" s="202" t="s">
        <v>90</v>
      </c>
      <c r="P10" s="202"/>
      <c r="Q10" s="202"/>
      <c r="R10" s="202"/>
      <c r="S10" s="203" t="s">
        <v>91</v>
      </c>
      <c r="T10" s="204"/>
      <c r="U10" s="205"/>
      <c r="V10" s="32"/>
      <c r="W10" s="184"/>
      <c r="X10" s="185"/>
      <c r="Y10" s="2"/>
    </row>
    <row r="11" spans="1:25" customFormat="1" ht="17.25" thickTop="1" thickBot="1">
      <c r="A11" s="2"/>
      <c r="B11" s="198"/>
      <c r="C11" s="30" t="s">
        <v>35</v>
      </c>
      <c r="D11" s="33" t="s">
        <v>37</v>
      </c>
      <c r="E11" s="96">
        <v>1</v>
      </c>
      <c r="F11" s="94">
        <v>2</v>
      </c>
      <c r="G11" s="95" t="s">
        <v>40</v>
      </c>
      <c r="H11" s="95">
        <v>4</v>
      </c>
      <c r="I11" s="95">
        <v>5</v>
      </c>
      <c r="J11" s="89" t="s">
        <v>43</v>
      </c>
      <c r="K11" s="89" t="s">
        <v>44</v>
      </c>
      <c r="L11" s="89" t="s">
        <v>45</v>
      </c>
      <c r="M11" s="93" t="s">
        <v>92</v>
      </c>
      <c r="N11" s="93" t="s">
        <v>47</v>
      </c>
      <c r="O11" s="89" t="s">
        <v>48</v>
      </c>
      <c r="P11" s="89" t="s">
        <v>49</v>
      </c>
      <c r="Q11" s="89" t="s">
        <v>50</v>
      </c>
      <c r="R11" s="89" t="s">
        <v>51</v>
      </c>
      <c r="S11" s="90" t="s">
        <v>52</v>
      </c>
      <c r="T11" s="91" t="s">
        <v>53</v>
      </c>
      <c r="U11" s="92" t="s">
        <v>93</v>
      </c>
      <c r="V11" s="28"/>
      <c r="W11" s="186"/>
      <c r="X11" s="187"/>
      <c r="Y11" s="2"/>
    </row>
    <row r="12" spans="1:25" customFormat="1">
      <c r="A12" s="2"/>
      <c r="B12" s="210" t="s">
        <v>94</v>
      </c>
      <c r="C12" s="212" t="str">
        <f>aurora_data!A1732</f>
        <v>06.00.00-16.11.30</v>
      </c>
      <c r="D12" s="34" t="s">
        <v>71</v>
      </c>
      <c r="E12" s="39">
        <f>IFERROR(aurora_data!D1732,0)</f>
        <v>0</v>
      </c>
      <c r="F12" s="40">
        <f>IFERROR(aurora_data!E1732,0)</f>
        <v>0</v>
      </c>
      <c r="G12" s="40">
        <f>IFERROR(aurora_data!F1732,0)</f>
        <v>0</v>
      </c>
      <c r="H12" s="40">
        <f>IFERROR(aurora_data!G1732,0)</f>
        <v>0</v>
      </c>
      <c r="I12" s="41">
        <f>IFERROR(aurora_data!H1732,0)</f>
        <v>0</v>
      </c>
      <c r="J12" s="39">
        <f>IFERROR(aurora_data!I1732,0)</f>
        <v>0</v>
      </c>
      <c r="K12" s="40">
        <f>IFERROR(aurora_data!J1732,0)</f>
        <v>0</v>
      </c>
      <c r="L12" s="40">
        <f>IFERROR(aurora_data!K1732,0)</f>
        <v>0</v>
      </c>
      <c r="M12" s="40">
        <f>IFERROR(aurora_data!L1732,0)</f>
        <v>0</v>
      </c>
      <c r="N12" s="41">
        <f>IFERROR(aurora_data!M1732,0)</f>
        <v>0</v>
      </c>
      <c r="O12" s="39">
        <f>IFERROR(aurora_data!N1732,0)</f>
        <v>0</v>
      </c>
      <c r="P12" s="40">
        <f>IFERROR(aurora_data!O1732,0)</f>
        <v>0</v>
      </c>
      <c r="Q12" s="40">
        <f>IFERROR(aurora_data!P1732,0)</f>
        <v>0</v>
      </c>
      <c r="R12" s="41">
        <f>IFERROR(aurora_data!Q1732,0)</f>
        <v>0</v>
      </c>
      <c r="S12" s="40">
        <f>IFERROR(aurora_data!R1732,0)</f>
        <v>0</v>
      </c>
      <c r="T12" s="40">
        <f>IFERROR(aurora_data!S1732,0)</f>
        <v>0</v>
      </c>
      <c r="U12" s="76">
        <f>IFERROR(aurora_data!T1732,0)</f>
        <v>0</v>
      </c>
      <c r="V12" s="61" t="s">
        <v>95</v>
      </c>
      <c r="W12" s="39">
        <f>IFERROR(aurora_data!U1732,0)</f>
        <v>2</v>
      </c>
      <c r="X12" s="70">
        <f>IFERROR(W12/$W$12,0)</f>
        <v>1</v>
      </c>
      <c r="Y12" s="2"/>
    </row>
    <row r="13" spans="1:25" customFormat="1">
      <c r="A13" s="2"/>
      <c r="B13" s="211"/>
      <c r="C13" s="213"/>
      <c r="D13" s="35" t="s">
        <v>96</v>
      </c>
      <c r="E13" s="110">
        <f>IFERROR(aurora_data!D1733,0)</f>
        <v>0</v>
      </c>
      <c r="F13" s="62">
        <f>IFERROR(aurora_data!E1733,0)</f>
        <v>0</v>
      </c>
      <c r="G13" s="62">
        <f>IFERROR(aurora_data!F1733,0)</f>
        <v>0</v>
      </c>
      <c r="H13" s="62">
        <f>IFERROR(aurora_data!G1733,0)</f>
        <v>0</v>
      </c>
      <c r="I13" s="63">
        <f>IFERROR(aurora_data!H1733,0)</f>
        <v>0</v>
      </c>
      <c r="J13" s="36">
        <f>IFERROR(aurora_data!I1733,0)</f>
        <v>0</v>
      </c>
      <c r="K13" s="62">
        <f>IFERROR(aurora_data!J1733,0)</f>
        <v>0</v>
      </c>
      <c r="L13" s="62">
        <f>IFERROR(aurora_data!K1733,0)</f>
        <v>0</v>
      </c>
      <c r="M13" s="62">
        <f>IFERROR(aurora_data!L1733,0)</f>
        <v>0</v>
      </c>
      <c r="N13" s="63">
        <f>IFERROR(aurora_data!M1733,0)</f>
        <v>0</v>
      </c>
      <c r="O13" s="36">
        <f>IFERROR(aurora_data!N1733,0)</f>
        <v>0</v>
      </c>
      <c r="P13" s="62">
        <f>IFERROR(aurora_data!O1733,0)</f>
        <v>0</v>
      </c>
      <c r="Q13" s="62">
        <f>IFERROR(aurora_data!P1733,0)</f>
        <v>0</v>
      </c>
      <c r="R13" s="63">
        <f>IFERROR(aurora_data!Q1733,0)</f>
        <v>0</v>
      </c>
      <c r="S13" s="62">
        <f>IFERROR(aurora_data!R1733,0)</f>
        <v>0</v>
      </c>
      <c r="T13" s="62">
        <f>IFERROR(aurora_data!S1733,0)</f>
        <v>0</v>
      </c>
      <c r="U13" s="63">
        <f>IFERROR(aurora_data!T1733,0)</f>
        <v>0</v>
      </c>
      <c r="V13" s="64" t="s">
        <v>95</v>
      </c>
      <c r="W13" s="36">
        <f>IFERROR(aurora_data!U1733,0)</f>
        <v>0</v>
      </c>
      <c r="X13" s="71">
        <f t="shared" ref="X13:X19" si="0">IFERROR(W13/$W$12,0)</f>
        <v>0</v>
      </c>
      <c r="Y13" s="2"/>
    </row>
    <row r="14" spans="1:25" customFormat="1">
      <c r="A14" s="2"/>
      <c r="B14" s="211"/>
      <c r="C14" s="213"/>
      <c r="D14" s="35" t="s">
        <v>60</v>
      </c>
      <c r="E14" s="110">
        <f>IFERROR(aurora_data!D1734,0)</f>
        <v>0</v>
      </c>
      <c r="F14" s="62">
        <f>IFERROR(aurora_data!E1734,0)</f>
        <v>0</v>
      </c>
      <c r="G14" s="62">
        <f>IFERROR(aurora_data!F1734,0)</f>
        <v>0</v>
      </c>
      <c r="H14" s="62">
        <f>IFERROR(aurora_data!G1734,0)</f>
        <v>0</v>
      </c>
      <c r="I14" s="63">
        <f>IFERROR(aurora_data!H1734,0)</f>
        <v>0</v>
      </c>
      <c r="J14" s="36">
        <f>IFERROR(aurora_data!I1734,0)</f>
        <v>0</v>
      </c>
      <c r="K14" s="62">
        <f>IFERROR(aurora_data!J1734,0)</f>
        <v>0</v>
      </c>
      <c r="L14" s="62">
        <f>IFERROR(aurora_data!K1734,0)</f>
        <v>0</v>
      </c>
      <c r="M14" s="62">
        <f>IFERROR(aurora_data!L1734,0)</f>
        <v>0</v>
      </c>
      <c r="N14" s="63">
        <f>IFERROR(aurora_data!M1734,0)</f>
        <v>0</v>
      </c>
      <c r="O14" s="36">
        <f>IFERROR(aurora_data!N1734,0)</f>
        <v>0</v>
      </c>
      <c r="P14" s="62">
        <f>IFERROR(aurora_data!O1734,0)</f>
        <v>0</v>
      </c>
      <c r="Q14" s="62">
        <f>IFERROR(aurora_data!P1734,0)</f>
        <v>0</v>
      </c>
      <c r="R14" s="63">
        <f>IFERROR(aurora_data!Q1734,0)</f>
        <v>0</v>
      </c>
      <c r="S14" s="62">
        <f>IFERROR(aurora_data!R1734,0)</f>
        <v>0</v>
      </c>
      <c r="T14" s="62">
        <f>IFERROR(aurora_data!S1734,0)</f>
        <v>0</v>
      </c>
      <c r="U14" s="63">
        <f>IFERROR(aurora_data!T1734,0)</f>
        <v>0</v>
      </c>
      <c r="V14" s="64" t="s">
        <v>95</v>
      </c>
      <c r="W14" s="36">
        <f>IFERROR(aurora_data!U1734,0)</f>
        <v>0</v>
      </c>
      <c r="X14" s="71">
        <f t="shared" si="0"/>
        <v>0</v>
      </c>
      <c r="Y14" s="2"/>
    </row>
    <row r="15" spans="1:25" customFormat="1">
      <c r="A15" s="2"/>
      <c r="B15" s="211"/>
      <c r="C15" s="213"/>
      <c r="D15" s="35" t="s">
        <v>97</v>
      </c>
      <c r="E15" s="36">
        <f>IFERROR(aurora_data!D1735,0)</f>
        <v>0</v>
      </c>
      <c r="F15" s="62">
        <f>IFERROR(aurora_data!E1735,0)</f>
        <v>0</v>
      </c>
      <c r="G15" s="62">
        <f>IFERROR(aurora_data!F1735,0)</f>
        <v>0</v>
      </c>
      <c r="H15" s="62">
        <f>IFERROR(aurora_data!G1735,0)</f>
        <v>0</v>
      </c>
      <c r="I15" s="63">
        <f>IFERROR(aurora_data!H1735,0)</f>
        <v>0</v>
      </c>
      <c r="J15" s="36">
        <f>IFERROR(aurora_data!I1735,0)</f>
        <v>0</v>
      </c>
      <c r="K15" s="62">
        <f>IFERROR(aurora_data!J1735,0)</f>
        <v>0</v>
      </c>
      <c r="L15" s="62">
        <f>IFERROR(aurora_data!K1735,0)</f>
        <v>0</v>
      </c>
      <c r="M15" s="62">
        <f>IFERROR(aurora_data!L1735,0)</f>
        <v>0</v>
      </c>
      <c r="N15" s="63">
        <f>IFERROR(aurora_data!M1735,0)</f>
        <v>0</v>
      </c>
      <c r="O15" s="36">
        <f>IFERROR(aurora_data!N1735,0)</f>
        <v>0</v>
      </c>
      <c r="P15" s="62">
        <f>IFERROR(aurora_data!O1735,0)</f>
        <v>0</v>
      </c>
      <c r="Q15" s="62">
        <f>IFERROR(aurora_data!P1735,0)</f>
        <v>0</v>
      </c>
      <c r="R15" s="63">
        <f>IFERROR(aurora_data!Q1735,0)</f>
        <v>0</v>
      </c>
      <c r="S15" s="62">
        <f>IFERROR(aurora_data!R1735,0)</f>
        <v>0</v>
      </c>
      <c r="T15" s="62">
        <f>IFERROR(aurora_data!S1735,0)</f>
        <v>0</v>
      </c>
      <c r="U15" s="63">
        <f>IFERROR(aurora_data!T1735,0)</f>
        <v>0</v>
      </c>
      <c r="V15" s="64" t="s">
        <v>95</v>
      </c>
      <c r="W15" s="36">
        <f>IFERROR(aurora_data!U1735,0)</f>
        <v>0</v>
      </c>
      <c r="X15" s="71">
        <f t="shared" si="0"/>
        <v>0</v>
      </c>
      <c r="Y15" s="2"/>
    </row>
    <row r="16" spans="1:25" customFormat="1">
      <c r="A16" s="2"/>
      <c r="B16" s="211"/>
      <c r="C16" s="213"/>
      <c r="D16" s="35" t="s">
        <v>98</v>
      </c>
      <c r="E16" s="36">
        <f>IFERROR(aurora_data!D1736,0)</f>
        <v>0</v>
      </c>
      <c r="F16" s="62">
        <f>IFERROR(aurora_data!E1736,0)</f>
        <v>0</v>
      </c>
      <c r="G16" s="62">
        <f>IFERROR(aurora_data!F1736,0)</f>
        <v>0</v>
      </c>
      <c r="H16" s="62">
        <f>IFERROR(aurora_data!G1736,0)</f>
        <v>0</v>
      </c>
      <c r="I16" s="63">
        <f>IFERROR(aurora_data!H1736,0)</f>
        <v>0</v>
      </c>
      <c r="J16" s="36">
        <f>IFERROR(aurora_data!I1736,0)</f>
        <v>0</v>
      </c>
      <c r="K16" s="62">
        <f>IFERROR(aurora_data!J1736,0)</f>
        <v>0</v>
      </c>
      <c r="L16" s="62">
        <f>IFERROR(aurora_data!K1736,0)</f>
        <v>0</v>
      </c>
      <c r="M16" s="62">
        <f>IFERROR(aurora_data!L1736,0)</f>
        <v>0</v>
      </c>
      <c r="N16" s="63">
        <f>IFERROR(aurora_data!M1736,0)</f>
        <v>0</v>
      </c>
      <c r="O16" s="36">
        <f>IFERROR(aurora_data!N1736,0)</f>
        <v>0</v>
      </c>
      <c r="P16" s="62">
        <f>IFERROR(aurora_data!O1736,0)</f>
        <v>0</v>
      </c>
      <c r="Q16" s="62">
        <f>IFERROR(aurora_data!P1736,0)</f>
        <v>0</v>
      </c>
      <c r="R16" s="63">
        <f>IFERROR(aurora_data!Q1736,0)</f>
        <v>0</v>
      </c>
      <c r="S16" s="62">
        <f>IFERROR(aurora_data!R1736,0)</f>
        <v>0</v>
      </c>
      <c r="T16" s="62">
        <f>IFERROR(aurora_data!S1736,0)</f>
        <v>0</v>
      </c>
      <c r="U16" s="63">
        <f>IFERROR(aurora_data!T1736,0)</f>
        <v>0</v>
      </c>
      <c r="V16" s="64" t="s">
        <v>95</v>
      </c>
      <c r="W16" s="36">
        <f>IFERROR(aurora_data!U1736,0)</f>
        <v>0</v>
      </c>
      <c r="X16" s="71">
        <f t="shared" si="0"/>
        <v>0</v>
      </c>
      <c r="Y16" s="2"/>
    </row>
    <row r="17" spans="1:25" customFormat="1" ht="16.5" thickBot="1">
      <c r="A17" s="2"/>
      <c r="B17" s="211"/>
      <c r="C17" s="213"/>
      <c r="D17" s="35" t="s">
        <v>99</v>
      </c>
      <c r="E17" s="36">
        <f>IFERROR(aurora_data!D1737,0)</f>
        <v>0</v>
      </c>
      <c r="F17" s="62">
        <f>IFERROR(aurora_data!E1737,0)</f>
        <v>0</v>
      </c>
      <c r="G17" s="62">
        <f>IFERROR(aurora_data!F1737,0)</f>
        <v>0</v>
      </c>
      <c r="H17" s="62">
        <f>IFERROR(aurora_data!G1737,0)</f>
        <v>0</v>
      </c>
      <c r="I17" s="63">
        <f>IFERROR(aurora_data!H1737,0)</f>
        <v>0</v>
      </c>
      <c r="J17" s="36">
        <f>IFERROR(aurora_data!I1737,0)</f>
        <v>0</v>
      </c>
      <c r="K17" s="62">
        <f>IFERROR(aurora_data!J1737,0)</f>
        <v>0</v>
      </c>
      <c r="L17" s="62">
        <f>IFERROR(aurora_data!K1737,0)</f>
        <v>0</v>
      </c>
      <c r="M17" s="62">
        <f>IFERROR(aurora_data!L1737,0)</f>
        <v>0</v>
      </c>
      <c r="N17" s="63">
        <f>IFERROR(aurora_data!M1737,0)</f>
        <v>0</v>
      </c>
      <c r="O17" s="36">
        <f>IFERROR(aurora_data!N1737,0)</f>
        <v>0</v>
      </c>
      <c r="P17" s="62">
        <f>IFERROR(aurora_data!O1737,0)</f>
        <v>0</v>
      </c>
      <c r="Q17" s="62">
        <f>IFERROR(aurora_data!P1737,0)</f>
        <v>0</v>
      </c>
      <c r="R17" s="63">
        <f>IFERROR(aurora_data!Q1737,0)</f>
        <v>0</v>
      </c>
      <c r="S17" s="62">
        <f>IFERROR(aurora_data!R1737,0)</f>
        <v>0</v>
      </c>
      <c r="T17" s="62">
        <f>IFERROR(aurora_data!S1737,0)</f>
        <v>0</v>
      </c>
      <c r="U17" s="63">
        <f>IFERROR(aurora_data!T1737,0)</f>
        <v>0</v>
      </c>
      <c r="V17" s="64" t="s">
        <v>95</v>
      </c>
      <c r="W17" s="36">
        <f>IFERROR(aurora_data!U1737,0)</f>
        <v>0</v>
      </c>
      <c r="X17" s="71">
        <f t="shared" si="0"/>
        <v>0</v>
      </c>
      <c r="Y17" s="2"/>
    </row>
    <row r="18" spans="1:25" customFormat="1" ht="16.5" thickBot="1">
      <c r="A18" s="2"/>
      <c r="B18" s="211"/>
      <c r="C18" s="213"/>
      <c r="D18" s="37" t="s">
        <v>64</v>
      </c>
      <c r="E18" s="59">
        <f>IFERROR(aurora_data!D1738,0)</f>
        <v>0</v>
      </c>
      <c r="F18" s="65">
        <f>IFERROR(aurora_data!E1738,0)</f>
        <v>0</v>
      </c>
      <c r="G18" s="65">
        <f>IFERROR(aurora_data!F1738,0)</f>
        <v>0</v>
      </c>
      <c r="H18" s="65">
        <f>IFERROR(aurora_data!G1738,0)</f>
        <v>0</v>
      </c>
      <c r="I18" s="66">
        <f>IFERROR(aurora_data!H1738,0)</f>
        <v>0</v>
      </c>
      <c r="J18" s="59">
        <f>IFERROR(aurora_data!I1738,0)</f>
        <v>0</v>
      </c>
      <c r="K18" s="65">
        <f>IFERROR(aurora_data!J1738,0)</f>
        <v>0</v>
      </c>
      <c r="L18" s="65">
        <f>IFERROR(aurora_data!K1738,0)</f>
        <v>0</v>
      </c>
      <c r="M18" s="65">
        <f>IFERROR(aurora_data!L1738,0)</f>
        <v>0</v>
      </c>
      <c r="N18" s="66">
        <f>IFERROR(aurora_data!M1738,0)</f>
        <v>0</v>
      </c>
      <c r="O18" s="59">
        <f>IFERROR(aurora_data!N1738,0)</f>
        <v>0</v>
      </c>
      <c r="P18" s="65">
        <f>IFERROR(aurora_data!O1738,0)</f>
        <v>0</v>
      </c>
      <c r="Q18" s="65">
        <f>IFERROR(aurora_data!P1738,0)</f>
        <v>0</v>
      </c>
      <c r="R18" s="66">
        <f>IFERROR(aurora_data!Q1738,0)</f>
        <v>0</v>
      </c>
      <c r="S18" s="65">
        <f>IFERROR(aurora_data!R1738,0)</f>
        <v>0</v>
      </c>
      <c r="T18" s="65">
        <f>IFERROR(aurora_data!S1738,0)</f>
        <v>0</v>
      </c>
      <c r="U18" s="66">
        <f>IFERROR(aurora_data!T1738,0)</f>
        <v>0</v>
      </c>
      <c r="V18" s="67" t="s">
        <v>95</v>
      </c>
      <c r="W18" s="59">
        <f>IFERROR(aurora_data!U1738,0)</f>
        <v>0</v>
      </c>
      <c r="X18" s="72">
        <f t="shared" si="0"/>
        <v>0</v>
      </c>
      <c r="Y18" s="2"/>
    </row>
    <row r="19" spans="1:25" customFormat="1" ht="16.5" thickBot="1">
      <c r="A19" s="2"/>
      <c r="B19" s="211"/>
      <c r="C19" s="213"/>
      <c r="D19" s="38" t="s">
        <v>100</v>
      </c>
      <c r="E19" s="60">
        <f>IFERROR(aurora_data!D1739,0)</f>
        <v>0</v>
      </c>
      <c r="F19" s="68">
        <f>IFERROR(aurora_data!E1739,0)</f>
        <v>0</v>
      </c>
      <c r="G19" s="68">
        <f>IFERROR(aurora_data!F1739,0)</f>
        <v>0</v>
      </c>
      <c r="H19" s="68">
        <f>IFERROR(aurora_data!G1739,0)</f>
        <v>0</v>
      </c>
      <c r="I19" s="69">
        <f>IFERROR(aurora_data!H1739,0)</f>
        <v>0</v>
      </c>
      <c r="J19" s="60">
        <f>IFERROR(aurora_data!I1739,0)</f>
        <v>0</v>
      </c>
      <c r="K19" s="68">
        <f>IFERROR(aurora_data!J1739,0)</f>
        <v>0</v>
      </c>
      <c r="L19" s="68">
        <f>IFERROR(aurora_data!K1739,0)</f>
        <v>0</v>
      </c>
      <c r="M19" s="68">
        <f>IFERROR(aurora_data!L1739,0)</f>
        <v>0</v>
      </c>
      <c r="N19" s="69">
        <f>IFERROR(aurora_data!M1739,0)</f>
        <v>0</v>
      </c>
      <c r="O19" s="60">
        <f>IFERROR(aurora_data!N1739,0)</f>
        <v>0</v>
      </c>
      <c r="P19" s="68">
        <f>IFERROR(aurora_data!O1739,0)</f>
        <v>0</v>
      </c>
      <c r="Q19" s="68">
        <f>IFERROR(aurora_data!P1739,0)</f>
        <v>0</v>
      </c>
      <c r="R19" s="69">
        <f>IFERROR(aurora_data!Q1739,0)</f>
        <v>0</v>
      </c>
      <c r="S19" s="68">
        <f>IFERROR(aurora_data!R1739,0)</f>
        <v>0</v>
      </c>
      <c r="T19" s="68">
        <f>IFERROR(aurora_data!S1739,0)</f>
        <v>0</v>
      </c>
      <c r="U19" s="74">
        <f>IFERROR(aurora_data!T1739,0)</f>
        <v>0</v>
      </c>
      <c r="V19" s="75" t="s">
        <v>95</v>
      </c>
      <c r="W19" s="60">
        <f>IFERROR(aurora_data!U1739,0)</f>
        <v>0</v>
      </c>
      <c r="X19" s="73">
        <f t="shared" si="0"/>
        <v>0</v>
      </c>
      <c r="Y19" s="2"/>
    </row>
    <row r="20" spans="1:25" customFormat="1" ht="15.75" customHeight="1">
      <c r="A20" s="2"/>
      <c r="B20" s="206" t="s">
        <v>94</v>
      </c>
      <c r="C20" s="208" t="s">
        <v>55</v>
      </c>
      <c r="D20" s="34" t="s">
        <v>71</v>
      </c>
      <c r="E20" s="39">
        <f>IFERROR(aurora_data!D1740,0)</f>
        <v>0</v>
      </c>
      <c r="F20" s="40">
        <f>IFERROR(aurora_data!E1740,0)</f>
        <v>0</v>
      </c>
      <c r="G20" s="40">
        <f>IFERROR(aurora_data!F1740,0)</f>
        <v>0</v>
      </c>
      <c r="H20" s="40">
        <f>IFERROR(aurora_data!G1740,0)</f>
        <v>0</v>
      </c>
      <c r="I20" s="41">
        <f>IFERROR(aurora_data!H1740,0)</f>
        <v>0</v>
      </c>
      <c r="J20" s="39">
        <f>IFERROR(aurora_data!I1740,0)</f>
        <v>0</v>
      </c>
      <c r="K20" s="40">
        <f>IFERROR(aurora_data!J1740,0)</f>
        <v>0</v>
      </c>
      <c r="L20" s="40">
        <f>IFERROR(aurora_data!K1740,0)</f>
        <v>0</v>
      </c>
      <c r="M20" s="40">
        <f>IFERROR(aurora_data!L1740,0)</f>
        <v>0</v>
      </c>
      <c r="N20" s="41">
        <f>IFERROR(aurora_data!M1740,0)</f>
        <v>0</v>
      </c>
      <c r="O20" s="39">
        <f>IFERROR(aurora_data!N1740,0)</f>
        <v>0</v>
      </c>
      <c r="P20" s="40">
        <f>IFERROR(aurora_data!O1740,0)</f>
        <v>0</v>
      </c>
      <c r="Q20" s="40">
        <f>IFERROR(aurora_data!P1740,0)</f>
        <v>0</v>
      </c>
      <c r="R20" s="41">
        <f>IFERROR(aurora_data!Q1740,0)</f>
        <v>0</v>
      </c>
      <c r="S20" s="40">
        <f>IFERROR(aurora_data!R1740,0)</f>
        <v>0</v>
      </c>
      <c r="T20" s="40">
        <f>IFERROR(aurora_data!S1740,0)</f>
        <v>0</v>
      </c>
      <c r="U20" s="41">
        <f>IFERROR(aurora_data!T1740,0)</f>
        <v>0</v>
      </c>
      <c r="V20" s="61" t="s">
        <v>95</v>
      </c>
      <c r="W20" s="39">
        <f>IFERROR(aurora_data!U1740,0)</f>
        <v>2</v>
      </c>
      <c r="X20" s="70">
        <f>IFERROR(W20/$W$20,0)</f>
        <v>1</v>
      </c>
      <c r="Y20" s="2"/>
    </row>
    <row r="21" spans="1:25" customFormat="1" ht="15.75" customHeight="1">
      <c r="A21" s="2"/>
      <c r="B21" s="207"/>
      <c r="C21" s="209"/>
      <c r="D21" s="35" t="s">
        <v>96</v>
      </c>
      <c r="E21" s="36">
        <f>IFERROR(aurora_data!D1741,0)</f>
        <v>0</v>
      </c>
      <c r="F21" s="62">
        <f>IFERROR(aurora_data!E1741,0)</f>
        <v>0</v>
      </c>
      <c r="G21" s="62">
        <f>IFERROR(aurora_data!F1741,0)</f>
        <v>0</v>
      </c>
      <c r="H21" s="62">
        <f>IFERROR(aurora_data!G1741,0)</f>
        <v>0</v>
      </c>
      <c r="I21" s="63">
        <f>IFERROR(aurora_data!H1741,0)</f>
        <v>0</v>
      </c>
      <c r="J21" s="36">
        <f>IFERROR(aurora_data!I1741,0)</f>
        <v>0</v>
      </c>
      <c r="K21" s="62">
        <f>IFERROR(aurora_data!J1741,0)</f>
        <v>0</v>
      </c>
      <c r="L21" s="62">
        <f>IFERROR(aurora_data!K1741,0)</f>
        <v>0</v>
      </c>
      <c r="M21" s="62">
        <f>IFERROR(aurora_data!L1741,0)</f>
        <v>0</v>
      </c>
      <c r="N21" s="63">
        <f>IFERROR(aurora_data!M1741,0)</f>
        <v>0</v>
      </c>
      <c r="O21" s="36">
        <f>IFERROR(aurora_data!N1741,0)</f>
        <v>0</v>
      </c>
      <c r="P21" s="62">
        <f>IFERROR(aurora_data!O1741,0)</f>
        <v>0</v>
      </c>
      <c r="Q21" s="62">
        <f>IFERROR(aurora_data!P1741,0)</f>
        <v>0</v>
      </c>
      <c r="R21" s="63">
        <f>IFERROR(aurora_data!Q1741,0)</f>
        <v>0</v>
      </c>
      <c r="S21" s="62">
        <f>IFERROR(aurora_data!R1741,0)</f>
        <v>0</v>
      </c>
      <c r="T21" s="62">
        <f>IFERROR(aurora_data!S1741,0)</f>
        <v>0</v>
      </c>
      <c r="U21" s="63">
        <f>IFERROR(aurora_data!T1741,0)</f>
        <v>0</v>
      </c>
      <c r="V21" s="64" t="s">
        <v>95</v>
      </c>
      <c r="W21" s="36">
        <f>IFERROR(aurora_data!U1741,0)</f>
        <v>0</v>
      </c>
      <c r="X21" s="71">
        <f t="shared" ref="X21:X27" si="1">IFERROR(W21/$W$20,0)</f>
        <v>0</v>
      </c>
      <c r="Y21" s="2"/>
    </row>
    <row r="22" spans="1:25" customFormat="1" ht="15.75" customHeight="1">
      <c r="A22" s="2"/>
      <c r="B22" s="207"/>
      <c r="C22" s="209"/>
      <c r="D22" s="35" t="s">
        <v>60</v>
      </c>
      <c r="E22" s="36">
        <f>IFERROR(aurora_data!D1742,0)</f>
        <v>0</v>
      </c>
      <c r="F22" s="62">
        <f>IFERROR(aurora_data!E1742,0)</f>
        <v>0</v>
      </c>
      <c r="G22" s="62">
        <f>IFERROR(aurora_data!F1742,0)</f>
        <v>0</v>
      </c>
      <c r="H22" s="62">
        <f>IFERROR(aurora_data!G1742,0)</f>
        <v>0</v>
      </c>
      <c r="I22" s="63">
        <f>IFERROR(aurora_data!H1742,0)</f>
        <v>0</v>
      </c>
      <c r="J22" s="36">
        <f>IFERROR(aurora_data!I1742,0)</f>
        <v>0</v>
      </c>
      <c r="K22" s="62">
        <f>IFERROR(aurora_data!J1742,0)</f>
        <v>0</v>
      </c>
      <c r="L22" s="62">
        <f>IFERROR(aurora_data!K1742,0)</f>
        <v>0</v>
      </c>
      <c r="M22" s="62">
        <f>IFERROR(aurora_data!L1742,0)</f>
        <v>0</v>
      </c>
      <c r="N22" s="63">
        <f>IFERROR(aurora_data!M1742,0)</f>
        <v>0</v>
      </c>
      <c r="O22" s="36">
        <f>IFERROR(aurora_data!N1742,0)</f>
        <v>0</v>
      </c>
      <c r="P22" s="62">
        <f>IFERROR(aurora_data!O1742,0)</f>
        <v>0</v>
      </c>
      <c r="Q22" s="62">
        <f>IFERROR(aurora_data!P1742,0)</f>
        <v>0</v>
      </c>
      <c r="R22" s="63">
        <f>IFERROR(aurora_data!Q1742,0)</f>
        <v>0</v>
      </c>
      <c r="S22" s="62">
        <f>IFERROR(aurora_data!R1742,0)</f>
        <v>0</v>
      </c>
      <c r="T22" s="62">
        <f>IFERROR(aurora_data!S1742,0)</f>
        <v>0</v>
      </c>
      <c r="U22" s="63">
        <f>IFERROR(aurora_data!T1742,0)</f>
        <v>0</v>
      </c>
      <c r="V22" s="64" t="s">
        <v>95</v>
      </c>
      <c r="W22" s="36">
        <f>IFERROR(aurora_data!U1742,0)</f>
        <v>0</v>
      </c>
      <c r="X22" s="71">
        <f t="shared" si="1"/>
        <v>0</v>
      </c>
      <c r="Y22" s="2"/>
    </row>
    <row r="23" spans="1:25" customFormat="1" ht="15.75" customHeight="1">
      <c r="A23" s="2"/>
      <c r="B23" s="207"/>
      <c r="C23" s="209"/>
      <c r="D23" s="35" t="s">
        <v>97</v>
      </c>
      <c r="E23" s="36">
        <f>IFERROR(aurora_data!D1743,0)</f>
        <v>0</v>
      </c>
      <c r="F23" s="62">
        <f>IFERROR(aurora_data!E1743,0)</f>
        <v>0</v>
      </c>
      <c r="G23" s="62">
        <f>IFERROR(aurora_data!F1743,0)</f>
        <v>0</v>
      </c>
      <c r="H23" s="62">
        <f>IFERROR(aurora_data!G1743,0)</f>
        <v>0</v>
      </c>
      <c r="I23" s="63">
        <f>IFERROR(aurora_data!H1743,0)</f>
        <v>0</v>
      </c>
      <c r="J23" s="36">
        <f>IFERROR(aurora_data!I1743,0)</f>
        <v>0</v>
      </c>
      <c r="K23" s="62">
        <f>IFERROR(aurora_data!J1743,0)</f>
        <v>0</v>
      </c>
      <c r="L23" s="62">
        <f>IFERROR(aurora_data!K1743,0)</f>
        <v>0</v>
      </c>
      <c r="M23" s="62">
        <f>IFERROR(aurora_data!L1743,0)</f>
        <v>0</v>
      </c>
      <c r="N23" s="63">
        <f>IFERROR(aurora_data!M1743,0)</f>
        <v>0</v>
      </c>
      <c r="O23" s="36">
        <f>IFERROR(aurora_data!N1743,0)</f>
        <v>0</v>
      </c>
      <c r="P23" s="62">
        <f>IFERROR(aurora_data!O1743,0)</f>
        <v>0</v>
      </c>
      <c r="Q23" s="62">
        <f>IFERROR(aurora_data!P1743,0)</f>
        <v>0</v>
      </c>
      <c r="R23" s="63">
        <f>IFERROR(aurora_data!Q1743,0)</f>
        <v>0</v>
      </c>
      <c r="S23" s="62">
        <f>IFERROR(aurora_data!R1743,0)</f>
        <v>0</v>
      </c>
      <c r="T23" s="62">
        <f>IFERROR(aurora_data!S1743,0)</f>
        <v>0</v>
      </c>
      <c r="U23" s="63">
        <f>IFERROR(aurora_data!T1743,0)</f>
        <v>0</v>
      </c>
      <c r="V23" s="64" t="s">
        <v>95</v>
      </c>
      <c r="W23" s="36">
        <f>IFERROR(aurora_data!U1743,0)</f>
        <v>0</v>
      </c>
      <c r="X23" s="71">
        <f t="shared" si="1"/>
        <v>0</v>
      </c>
      <c r="Y23" s="2"/>
    </row>
    <row r="24" spans="1:25" customFormat="1" ht="16.5" customHeight="1">
      <c r="A24" s="2"/>
      <c r="B24" s="207"/>
      <c r="C24" s="209"/>
      <c r="D24" s="35" t="s">
        <v>98</v>
      </c>
      <c r="E24" s="36">
        <f>IFERROR(aurora_data!D1744,0)</f>
        <v>0</v>
      </c>
      <c r="F24" s="62">
        <f>IFERROR(aurora_data!E1744,0)</f>
        <v>0</v>
      </c>
      <c r="G24" s="62">
        <f>IFERROR(aurora_data!F1744,0)</f>
        <v>0</v>
      </c>
      <c r="H24" s="62">
        <f>IFERROR(aurora_data!G1744,0)</f>
        <v>0</v>
      </c>
      <c r="I24" s="63">
        <f>IFERROR(aurora_data!H1744,0)</f>
        <v>0</v>
      </c>
      <c r="J24" s="36">
        <f>IFERROR(aurora_data!I1744,0)</f>
        <v>0</v>
      </c>
      <c r="K24" s="62">
        <f>IFERROR(aurora_data!J1744,0)</f>
        <v>0</v>
      </c>
      <c r="L24" s="62">
        <f>IFERROR(aurora_data!K1744,0)</f>
        <v>0</v>
      </c>
      <c r="M24" s="62">
        <f>IFERROR(aurora_data!L1744,0)</f>
        <v>0</v>
      </c>
      <c r="N24" s="63">
        <f>IFERROR(aurora_data!M1744,0)</f>
        <v>0</v>
      </c>
      <c r="O24" s="36">
        <f>IFERROR(aurora_data!N1744,0)</f>
        <v>0</v>
      </c>
      <c r="P24" s="62">
        <f>IFERROR(aurora_data!O1744,0)</f>
        <v>0</v>
      </c>
      <c r="Q24" s="62">
        <f>IFERROR(aurora_data!P1744,0)</f>
        <v>0</v>
      </c>
      <c r="R24" s="63">
        <f>IFERROR(aurora_data!Q1744,0)</f>
        <v>0</v>
      </c>
      <c r="S24" s="62">
        <f>IFERROR(aurora_data!R1744,0)</f>
        <v>0</v>
      </c>
      <c r="T24" s="62">
        <f>IFERROR(aurora_data!S1744,0)</f>
        <v>0</v>
      </c>
      <c r="U24" s="63">
        <f>IFERROR(aurora_data!T1744,0)</f>
        <v>0</v>
      </c>
      <c r="V24" s="64" t="s">
        <v>95</v>
      </c>
      <c r="W24" s="36">
        <f>IFERROR(aurora_data!U1744,0)</f>
        <v>0</v>
      </c>
      <c r="X24" s="71">
        <f t="shared" si="1"/>
        <v>0</v>
      </c>
      <c r="Y24" s="2"/>
    </row>
    <row r="25" spans="1:25" customFormat="1" ht="16.5" customHeight="1" thickBot="1">
      <c r="A25" s="2"/>
      <c r="B25" s="207"/>
      <c r="C25" s="209"/>
      <c r="D25" s="35" t="s">
        <v>99</v>
      </c>
      <c r="E25" s="36">
        <f>IFERROR(aurora_data!D1745,0)</f>
        <v>0</v>
      </c>
      <c r="F25" s="62">
        <f>IFERROR(aurora_data!E1745,0)</f>
        <v>0</v>
      </c>
      <c r="G25" s="62">
        <f>IFERROR(aurora_data!F1745,0)</f>
        <v>0</v>
      </c>
      <c r="H25" s="62">
        <f>IFERROR(aurora_data!G1745,0)</f>
        <v>0</v>
      </c>
      <c r="I25" s="63">
        <f>IFERROR(aurora_data!H1745,0)</f>
        <v>0</v>
      </c>
      <c r="J25" s="36">
        <f>IFERROR(aurora_data!I1745,0)</f>
        <v>0</v>
      </c>
      <c r="K25" s="62">
        <f>IFERROR(aurora_data!J1745,0)</f>
        <v>0</v>
      </c>
      <c r="L25" s="62">
        <f>IFERROR(aurora_data!K1745,0)</f>
        <v>0</v>
      </c>
      <c r="M25" s="62">
        <f>IFERROR(aurora_data!L1745,0)</f>
        <v>0</v>
      </c>
      <c r="N25" s="63">
        <f>IFERROR(aurora_data!M1745,0)</f>
        <v>0</v>
      </c>
      <c r="O25" s="36">
        <f>IFERROR(aurora_data!N1745,0)</f>
        <v>0</v>
      </c>
      <c r="P25" s="62">
        <f>IFERROR(aurora_data!O1745,0)</f>
        <v>0</v>
      </c>
      <c r="Q25" s="62">
        <f>IFERROR(aurora_data!P1745,0)</f>
        <v>0</v>
      </c>
      <c r="R25" s="63">
        <f>IFERROR(aurora_data!Q1745,0)</f>
        <v>0</v>
      </c>
      <c r="S25" s="62">
        <f>IFERROR(aurora_data!R1745,0)</f>
        <v>0</v>
      </c>
      <c r="T25" s="62">
        <f>IFERROR(aurora_data!S1745,0)</f>
        <v>0</v>
      </c>
      <c r="U25" s="63">
        <f>IFERROR(aurora_data!T1745,0)</f>
        <v>0</v>
      </c>
      <c r="V25" s="64" t="s">
        <v>95</v>
      </c>
      <c r="W25" s="36">
        <f>IFERROR(aurora_data!U1745,0)</f>
        <v>0</v>
      </c>
      <c r="X25" s="71">
        <f t="shared" si="1"/>
        <v>0</v>
      </c>
      <c r="Y25" s="2"/>
    </row>
    <row r="26" spans="1:25" customFormat="1" ht="16.5" customHeight="1" thickBot="1">
      <c r="A26" s="2"/>
      <c r="B26" s="207"/>
      <c r="C26" s="209"/>
      <c r="D26" s="37" t="s">
        <v>64</v>
      </c>
      <c r="E26" s="59">
        <f>IFERROR(aurora_data!D1746,0)</f>
        <v>0</v>
      </c>
      <c r="F26" s="65">
        <f>IFERROR(aurora_data!E1746,0)</f>
        <v>0</v>
      </c>
      <c r="G26" s="65">
        <f>IFERROR(aurora_data!F1746,0)</f>
        <v>0</v>
      </c>
      <c r="H26" s="65">
        <f>IFERROR(aurora_data!G1746,0)</f>
        <v>0</v>
      </c>
      <c r="I26" s="66">
        <f>IFERROR(aurora_data!H1746,0)</f>
        <v>0</v>
      </c>
      <c r="J26" s="59">
        <f>IFERROR(aurora_data!I1746,0)</f>
        <v>0</v>
      </c>
      <c r="K26" s="65">
        <f>IFERROR(aurora_data!J1746,0)</f>
        <v>0</v>
      </c>
      <c r="L26" s="65">
        <f>IFERROR(aurora_data!K1746,0)</f>
        <v>0</v>
      </c>
      <c r="M26" s="65">
        <f>IFERROR(aurora_data!L1746,0)</f>
        <v>0</v>
      </c>
      <c r="N26" s="66">
        <f>IFERROR(aurora_data!M1746,0)</f>
        <v>0</v>
      </c>
      <c r="O26" s="59">
        <f>IFERROR(aurora_data!N1746,0)</f>
        <v>0</v>
      </c>
      <c r="P26" s="65">
        <f>IFERROR(aurora_data!O1746,0)</f>
        <v>0</v>
      </c>
      <c r="Q26" s="65">
        <f>IFERROR(aurora_data!P1746,0)</f>
        <v>0</v>
      </c>
      <c r="R26" s="66">
        <f>IFERROR(aurora_data!Q1746,0)</f>
        <v>0</v>
      </c>
      <c r="S26" s="65">
        <f>IFERROR(aurora_data!R1746,0)</f>
        <v>0</v>
      </c>
      <c r="T26" s="65">
        <f>IFERROR(aurora_data!S1746,0)</f>
        <v>0</v>
      </c>
      <c r="U26" s="66">
        <f>IFERROR(aurora_data!T1746,0)</f>
        <v>0</v>
      </c>
      <c r="V26" s="67" t="s">
        <v>95</v>
      </c>
      <c r="W26" s="59">
        <f>IFERROR(aurora_data!U1746,0)</f>
        <v>0</v>
      </c>
      <c r="X26" s="72">
        <f t="shared" si="1"/>
        <v>0</v>
      </c>
      <c r="Y26" s="2"/>
    </row>
    <row r="27" spans="1:25" customFormat="1" ht="16.5" customHeight="1" thickBot="1">
      <c r="A27" s="2"/>
      <c r="B27" s="207"/>
      <c r="C27" s="209"/>
      <c r="D27" s="38" t="s">
        <v>100</v>
      </c>
      <c r="E27" s="60">
        <f>IFERROR(aurora_data!D1747,0)</f>
        <v>0</v>
      </c>
      <c r="F27" s="68">
        <f>IFERROR(aurora_data!E1747,0)</f>
        <v>0</v>
      </c>
      <c r="G27" s="68">
        <f>IFERROR(aurora_data!F1747,0)</f>
        <v>0</v>
      </c>
      <c r="H27" s="68">
        <f>IFERROR(aurora_data!G1747,0)</f>
        <v>0</v>
      </c>
      <c r="I27" s="69">
        <f>IFERROR(aurora_data!H1747,0)</f>
        <v>0</v>
      </c>
      <c r="J27" s="60">
        <f>IFERROR(aurora_data!I1747,0)</f>
        <v>0</v>
      </c>
      <c r="K27" s="68">
        <f>IFERROR(aurora_data!J1747,0)</f>
        <v>0</v>
      </c>
      <c r="L27" s="68">
        <f>IFERROR(aurora_data!K1747,0)</f>
        <v>0</v>
      </c>
      <c r="M27" s="68">
        <f>IFERROR(aurora_data!L1747,0)</f>
        <v>0</v>
      </c>
      <c r="N27" s="69">
        <f>IFERROR(aurora_data!M1747,0)</f>
        <v>0</v>
      </c>
      <c r="O27" s="60">
        <f>IFERROR(aurora_data!N1747,0)</f>
        <v>0</v>
      </c>
      <c r="P27" s="68">
        <f>IFERROR(aurora_data!O1747,0)</f>
        <v>0</v>
      </c>
      <c r="Q27" s="68">
        <f>IFERROR(aurora_data!P1747,0)</f>
        <v>0</v>
      </c>
      <c r="R27" s="69">
        <f>IFERROR(aurora_data!Q1747,0)</f>
        <v>0</v>
      </c>
      <c r="S27" s="68">
        <f>IFERROR(aurora_data!R1747,0)</f>
        <v>0</v>
      </c>
      <c r="T27" s="68">
        <f>IFERROR(aurora_data!S1747,0)</f>
        <v>0</v>
      </c>
      <c r="U27" s="74">
        <f>IFERROR(aurora_data!T1747,0)</f>
        <v>0</v>
      </c>
      <c r="V27" s="75" t="s">
        <v>95</v>
      </c>
      <c r="W27" s="60">
        <f>IFERROR(aurora_data!U1747,0)</f>
        <v>0</v>
      </c>
      <c r="X27" s="73">
        <f t="shared" si="1"/>
        <v>0</v>
      </c>
      <c r="Y27" s="2"/>
    </row>
    <row r="28" spans="1:25" ht="16.5" customHeight="1">
      <c r="B28" s="97"/>
      <c r="C28" s="97"/>
    </row>
  </sheetData>
  <mergeCells count="26">
    <mergeCell ref="B20:B27"/>
    <mergeCell ref="C20:C27"/>
    <mergeCell ref="J10:N10"/>
    <mergeCell ref="O10:R10"/>
    <mergeCell ref="S10:U10"/>
    <mergeCell ref="B12:B19"/>
    <mergeCell ref="C12:C19"/>
    <mergeCell ref="B8:D8"/>
    <mergeCell ref="E8:U8"/>
    <mergeCell ref="W8:X11"/>
    <mergeCell ref="B9:C9"/>
    <mergeCell ref="E9:I9"/>
    <mergeCell ref="J9:N9"/>
    <mergeCell ref="O9:R9"/>
    <mergeCell ref="S9:U9"/>
    <mergeCell ref="B10:B11"/>
    <mergeCell ref="E10:I10"/>
    <mergeCell ref="A1:C1"/>
    <mergeCell ref="D1:H1"/>
    <mergeCell ref="A2:C2"/>
    <mergeCell ref="D2:H2"/>
    <mergeCell ref="K2:X6"/>
    <mergeCell ref="D3:E3"/>
    <mergeCell ref="F3:H3"/>
    <mergeCell ref="D5:G5"/>
    <mergeCell ref="D6:H6"/>
  </mergeCells>
  <conditionalFormatting sqref="E13:W13">
    <cfRule type="expression" dxfId="55" priority="22">
      <formula>ROUND(E$13,0) &gt;= ROUND(E$12,0)</formula>
    </cfRule>
  </conditionalFormatting>
  <conditionalFormatting sqref="E18:W18">
    <cfRule type="expression" dxfId="54" priority="23">
      <formula>ROUND(E$18,0) &lt; ROUND(E$12,0)</formula>
    </cfRule>
  </conditionalFormatting>
  <conditionalFormatting sqref="E21:W21">
    <cfRule type="expression" dxfId="53" priority="21">
      <formula>ROUND(E$21,0) &gt;= ROUND(E$20,0)</formula>
    </cfRule>
  </conditionalFormatting>
  <conditionalFormatting sqref="E26:W26">
    <cfRule type="expression" dxfId="52" priority="24">
      <formula>ROUND(E$26,0) &lt; ROUND(E$20,0)</formula>
    </cfRule>
  </conditionalFormatting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6EFD25-3374-4697-998F-26752148F146}">
  <sheetPr>
    <tabColor theme="6" tint="0.39997558519241921"/>
  </sheetPr>
  <dimension ref="A1:Y28"/>
  <sheetViews>
    <sheetView zoomScale="85" zoomScaleNormal="85" workbookViewId="0">
      <selection sqref="A1:C1"/>
    </sheetView>
  </sheetViews>
  <sheetFormatPr defaultColWidth="2.625" defaultRowHeight="15.75"/>
  <cols>
    <col min="1" max="1" width="1.375" style="2" customWidth="1"/>
    <col min="2" max="2" width="10.875" style="2" customWidth="1"/>
    <col min="3" max="3" width="15.625" style="2" customWidth="1"/>
    <col min="4" max="4" width="22.625" style="4" customWidth="1"/>
    <col min="5" max="8" width="7.625" style="4" customWidth="1"/>
    <col min="9" max="9" width="6.625" style="4" hidden="1" customWidth="1"/>
    <col min="10" max="21" width="7.625" style="4" customWidth="1"/>
    <col min="22" max="22" width="0.625" style="2" customWidth="1"/>
    <col min="23" max="24" width="5.875" style="2" customWidth="1"/>
    <col min="25" max="25" width="12.5" style="2" customWidth="1"/>
    <col min="26" max="26" width="2.625" style="2" customWidth="1"/>
    <col min="27" max="64" width="7.625" style="2" customWidth="1"/>
    <col min="65" max="16323" width="2.625" style="2"/>
    <col min="16324" max="16324" width="1.375" style="2" customWidth="1"/>
    <col min="16325" max="16325" width="2.625" style="2" customWidth="1"/>
    <col min="16326" max="16326" width="3.5" style="2" customWidth="1"/>
    <col min="16327" max="16327" width="1" style="2" customWidth="1"/>
    <col min="16328" max="16328" width="0.875" style="2" customWidth="1"/>
    <col min="16329" max="16329" width="2.375" style="2" customWidth="1"/>
    <col min="16330" max="16384" width="20.375" style="2" customWidth="1"/>
  </cols>
  <sheetData>
    <row r="1" spans="1:25" customFormat="1" ht="25.5" customHeight="1">
      <c r="A1" s="151" t="s">
        <v>77</v>
      </c>
      <c r="B1" s="152"/>
      <c r="C1" s="153"/>
      <c r="D1" s="154" t="s">
        <v>78</v>
      </c>
      <c r="E1" s="155"/>
      <c r="F1" s="155"/>
      <c r="G1" s="155"/>
      <c r="H1" s="156"/>
      <c r="I1" s="98"/>
      <c r="J1" s="88"/>
      <c r="K1" s="100"/>
      <c r="L1" s="100"/>
      <c r="M1" s="100"/>
      <c r="N1" s="100" t="s">
        <v>79</v>
      </c>
      <c r="O1" s="100"/>
      <c r="P1" s="100"/>
      <c r="Q1" s="100"/>
      <c r="R1" s="100"/>
      <c r="S1" s="100"/>
      <c r="T1" s="100"/>
      <c r="U1" s="100"/>
      <c r="V1" s="100"/>
      <c r="W1" s="100"/>
      <c r="X1" s="106"/>
      <c r="Y1" s="108"/>
    </row>
    <row r="2" spans="1:25" customFormat="1" ht="31.5" customHeight="1">
      <c r="A2" s="157" t="s">
        <v>80</v>
      </c>
      <c r="B2" s="157"/>
      <c r="C2" s="158"/>
      <c r="D2" s="217" t="str">
        <f>_xlfn.CONCAT("Study Name: ","
OSEP – Traumatic Brain Injury - Digital")</f>
        <v>Study Name: 
OSEP – Traumatic Brain Injury - Digital</v>
      </c>
      <c r="E2" s="218"/>
      <c r="F2" s="218"/>
      <c r="G2" s="218"/>
      <c r="H2" s="219"/>
      <c r="I2" s="4"/>
      <c r="J2" s="4"/>
      <c r="K2" s="162" t="s">
        <v>81</v>
      </c>
      <c r="L2" s="163"/>
      <c r="M2" s="163"/>
      <c r="N2" s="163"/>
      <c r="O2" s="163"/>
      <c r="P2" s="163"/>
      <c r="Q2" s="163"/>
      <c r="R2" s="163"/>
      <c r="S2" s="163"/>
      <c r="T2" s="163"/>
      <c r="U2" s="163"/>
      <c r="V2" s="163"/>
      <c r="W2" s="163"/>
      <c r="X2" s="164"/>
      <c r="Y2" s="103"/>
    </row>
    <row r="3" spans="1:25" customFormat="1" ht="30.75" customHeight="1" thickBot="1">
      <c r="A3" s="2"/>
      <c r="B3" s="2"/>
      <c r="C3" s="2"/>
      <c r="D3" s="169" t="str">
        <f>_xlfn.CONCAT("Study Acronym: ","
OSEP_TBI_D")</f>
        <v>Study Acronym: 
OSEP_TBI_D</v>
      </c>
      <c r="E3" s="170"/>
      <c r="F3" s="171" t="s">
        <v>278</v>
      </c>
      <c r="G3" s="172"/>
      <c r="H3" s="173"/>
      <c r="I3" s="4"/>
      <c r="J3" s="4"/>
      <c r="K3" s="165"/>
      <c r="L3" s="163"/>
      <c r="M3" s="163"/>
      <c r="N3" s="163"/>
      <c r="O3" s="163"/>
      <c r="P3" s="163"/>
      <c r="Q3" s="163"/>
      <c r="R3" s="163"/>
      <c r="S3" s="163"/>
      <c r="T3" s="163"/>
      <c r="U3" s="163"/>
      <c r="V3" s="163"/>
      <c r="W3" s="163"/>
      <c r="X3" s="164"/>
      <c r="Y3" s="103"/>
    </row>
    <row r="4" spans="1:25" customFormat="1" ht="16.5" customHeight="1">
      <c r="A4" s="2"/>
      <c r="B4" s="24"/>
      <c r="C4" s="2"/>
      <c r="D4" s="2"/>
      <c r="E4" s="25"/>
      <c r="F4" s="25"/>
      <c r="G4" s="25"/>
      <c r="H4" s="25"/>
      <c r="I4" s="25"/>
      <c r="J4" s="25"/>
      <c r="K4" s="165"/>
      <c r="L4" s="163"/>
      <c r="M4" s="163"/>
      <c r="N4" s="163"/>
      <c r="O4" s="163"/>
      <c r="P4" s="163"/>
      <c r="Q4" s="163"/>
      <c r="R4" s="163"/>
      <c r="S4" s="163"/>
      <c r="T4" s="163"/>
      <c r="U4" s="163"/>
      <c r="V4" s="163"/>
      <c r="W4" s="163"/>
      <c r="X4" s="164"/>
      <c r="Y4" s="104"/>
    </row>
    <row r="5" spans="1:25" customFormat="1" ht="21.95" customHeight="1" thickBot="1">
      <c r="A5" s="2"/>
      <c r="B5" s="2"/>
      <c r="C5" s="102"/>
      <c r="D5" s="154" t="s">
        <v>82</v>
      </c>
      <c r="E5" s="155"/>
      <c r="F5" s="155"/>
      <c r="G5" s="155"/>
      <c r="H5" s="101"/>
      <c r="I5" s="98"/>
      <c r="J5" s="98"/>
      <c r="K5" s="165"/>
      <c r="L5" s="163"/>
      <c r="M5" s="163"/>
      <c r="N5" s="163"/>
      <c r="O5" s="163"/>
      <c r="P5" s="163"/>
      <c r="Q5" s="163"/>
      <c r="R5" s="163"/>
      <c r="S5" s="163"/>
      <c r="T5" s="163"/>
      <c r="U5" s="163"/>
      <c r="V5" s="163"/>
      <c r="W5" s="163"/>
      <c r="X5" s="164"/>
      <c r="Y5" s="105"/>
    </row>
    <row r="6" spans="1:25" customFormat="1" ht="60.95" customHeight="1" thickBot="1">
      <c r="A6" s="2"/>
      <c r="B6" s="2"/>
      <c r="C6" s="99"/>
      <c r="D6" s="214" t="s">
        <v>101</v>
      </c>
      <c r="E6" s="215"/>
      <c r="F6" s="215"/>
      <c r="G6" s="215"/>
      <c r="H6" s="216"/>
      <c r="I6" s="124"/>
      <c r="J6" s="125"/>
      <c r="K6" s="166"/>
      <c r="L6" s="167"/>
      <c r="M6" s="167"/>
      <c r="N6" s="167"/>
      <c r="O6" s="167"/>
      <c r="P6" s="167"/>
      <c r="Q6" s="167"/>
      <c r="R6" s="167"/>
      <c r="S6" s="167"/>
      <c r="T6" s="167"/>
      <c r="U6" s="167"/>
      <c r="V6" s="167"/>
      <c r="W6" s="167"/>
      <c r="X6" s="168"/>
      <c r="Y6" s="107"/>
    </row>
    <row r="7" spans="1:25" customFormat="1" ht="16.5" customHeight="1" thickBot="1">
      <c r="A7" s="2"/>
      <c r="B7" s="3"/>
      <c r="C7" s="26"/>
      <c r="D7" s="27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8"/>
      <c r="W7" s="3"/>
      <c r="X7" s="3"/>
      <c r="Y7" s="2"/>
    </row>
    <row r="8" spans="1:25" customFormat="1">
      <c r="A8" s="2"/>
      <c r="B8" s="177" t="str">
        <f>_xlfn.CONCAT("Last Refreshed at: ",aurora_data!V1832)</f>
        <v>Last Refreshed at: 09/17/2026 @ 7:20 AM</v>
      </c>
      <c r="C8" s="178"/>
      <c r="D8" s="178"/>
      <c r="E8" s="179" t="s">
        <v>83</v>
      </c>
      <c r="F8" s="180"/>
      <c r="G8" s="180"/>
      <c r="H8" s="180"/>
      <c r="I8" s="180"/>
      <c r="J8" s="180"/>
      <c r="K8" s="180"/>
      <c r="L8" s="180"/>
      <c r="M8" s="180"/>
      <c r="N8" s="180"/>
      <c r="O8" s="180"/>
      <c r="P8" s="180"/>
      <c r="Q8" s="180"/>
      <c r="R8" s="180"/>
      <c r="S8" s="180"/>
      <c r="T8" s="180"/>
      <c r="U8" s="181"/>
      <c r="V8" s="44"/>
      <c r="W8" s="182" t="s">
        <v>84</v>
      </c>
      <c r="X8" s="183"/>
      <c r="Y8" s="2"/>
    </row>
    <row r="9" spans="1:25" customFormat="1" ht="16.5" customHeight="1" thickBot="1">
      <c r="A9" s="2"/>
      <c r="B9" s="188"/>
      <c r="C9" s="189"/>
      <c r="D9" s="29" t="s">
        <v>85</v>
      </c>
      <c r="E9" s="190" t="s">
        <v>86</v>
      </c>
      <c r="F9" s="191"/>
      <c r="G9" s="191"/>
      <c r="H9" s="191"/>
      <c r="I9" s="191"/>
      <c r="J9" s="192" t="s">
        <v>86</v>
      </c>
      <c r="K9" s="193"/>
      <c r="L9" s="193"/>
      <c r="M9" s="193"/>
      <c r="N9" s="193"/>
      <c r="O9" s="194" t="s">
        <v>86</v>
      </c>
      <c r="P9" s="195"/>
      <c r="Q9" s="195"/>
      <c r="R9" s="195"/>
      <c r="S9" s="196" t="s">
        <v>86</v>
      </c>
      <c r="T9" s="197"/>
      <c r="U9" s="197"/>
      <c r="V9" s="28"/>
      <c r="W9" s="184"/>
      <c r="X9" s="185"/>
      <c r="Y9" s="2"/>
    </row>
    <row r="10" spans="1:25" customFormat="1" ht="17.25" thickTop="1" thickBot="1">
      <c r="A10" s="2"/>
      <c r="B10" s="198" t="s">
        <v>87</v>
      </c>
      <c r="C10" s="30"/>
      <c r="D10" s="31"/>
      <c r="E10" s="199" t="s">
        <v>88</v>
      </c>
      <c r="F10" s="200"/>
      <c r="G10" s="200"/>
      <c r="H10" s="200"/>
      <c r="I10" s="201"/>
      <c r="J10" s="200" t="s">
        <v>89</v>
      </c>
      <c r="K10" s="200"/>
      <c r="L10" s="200"/>
      <c r="M10" s="200"/>
      <c r="N10" s="201"/>
      <c r="O10" s="202" t="s">
        <v>90</v>
      </c>
      <c r="P10" s="202"/>
      <c r="Q10" s="202"/>
      <c r="R10" s="202"/>
      <c r="S10" s="203" t="s">
        <v>91</v>
      </c>
      <c r="T10" s="204"/>
      <c r="U10" s="205"/>
      <c r="V10" s="32"/>
      <c r="W10" s="184"/>
      <c r="X10" s="185"/>
      <c r="Y10" s="2"/>
    </row>
    <row r="11" spans="1:25" customFormat="1" ht="17.25" thickTop="1" thickBot="1">
      <c r="A11" s="2"/>
      <c r="B11" s="198"/>
      <c r="C11" s="30" t="s">
        <v>35</v>
      </c>
      <c r="D11" s="33" t="s">
        <v>37</v>
      </c>
      <c r="E11" s="96">
        <v>1</v>
      </c>
      <c r="F11" s="94">
        <v>2</v>
      </c>
      <c r="G11" s="95" t="s">
        <v>40</v>
      </c>
      <c r="H11" s="95">
        <v>4</v>
      </c>
      <c r="I11" s="95">
        <v>5</v>
      </c>
      <c r="J11" s="89" t="s">
        <v>43</v>
      </c>
      <c r="K11" s="89" t="s">
        <v>44</v>
      </c>
      <c r="L11" s="89" t="s">
        <v>45</v>
      </c>
      <c r="M11" s="93" t="s">
        <v>92</v>
      </c>
      <c r="N11" s="93" t="s">
        <v>47</v>
      </c>
      <c r="O11" s="89" t="s">
        <v>48</v>
      </c>
      <c r="P11" s="89" t="s">
        <v>49</v>
      </c>
      <c r="Q11" s="89" t="s">
        <v>50</v>
      </c>
      <c r="R11" s="89" t="s">
        <v>51</v>
      </c>
      <c r="S11" s="90" t="s">
        <v>52</v>
      </c>
      <c r="T11" s="91" t="s">
        <v>53</v>
      </c>
      <c r="U11" s="92" t="s">
        <v>93</v>
      </c>
      <c r="V11" s="28"/>
      <c r="W11" s="186"/>
      <c r="X11" s="187"/>
      <c r="Y11" s="2"/>
    </row>
    <row r="12" spans="1:25" customFormat="1">
      <c r="A12" s="2"/>
      <c r="B12" s="210" t="s">
        <v>94</v>
      </c>
      <c r="C12" s="212" t="str">
        <f>aurora_data!A1832</f>
        <v>06.00.00-16.11.30</v>
      </c>
      <c r="D12" s="34" t="s">
        <v>71</v>
      </c>
      <c r="E12" s="39">
        <f>IFERROR(aurora_data!D1832,0)</f>
        <v>0</v>
      </c>
      <c r="F12" s="40">
        <f>IFERROR(aurora_data!E1832,0)</f>
        <v>0</v>
      </c>
      <c r="G12" s="40">
        <f>IFERROR(aurora_data!F1832,0)</f>
        <v>0</v>
      </c>
      <c r="H12" s="40">
        <f>IFERROR(aurora_data!G1832,0)</f>
        <v>0</v>
      </c>
      <c r="I12" s="41">
        <f>IFERROR(aurora_data!H1832,0)</f>
        <v>0</v>
      </c>
      <c r="J12" s="39">
        <f>IFERROR(aurora_data!I1832,0)</f>
        <v>0</v>
      </c>
      <c r="K12" s="40">
        <f>IFERROR(aurora_data!J1832,0)</f>
        <v>0</v>
      </c>
      <c r="L12" s="40">
        <f>IFERROR(aurora_data!K1832,0)</f>
        <v>0</v>
      </c>
      <c r="M12" s="40">
        <f>IFERROR(aurora_data!L1832,0)</f>
        <v>0</v>
      </c>
      <c r="N12" s="41">
        <f>IFERROR(aurora_data!M1832,0)</f>
        <v>0</v>
      </c>
      <c r="O12" s="39">
        <f>IFERROR(aurora_data!N1832,0)</f>
        <v>0</v>
      </c>
      <c r="P12" s="40">
        <f>IFERROR(aurora_data!O1832,0)</f>
        <v>0</v>
      </c>
      <c r="Q12" s="40">
        <f>IFERROR(aurora_data!P1832,0)</f>
        <v>0</v>
      </c>
      <c r="R12" s="41">
        <f>IFERROR(aurora_data!Q1832,0)</f>
        <v>0</v>
      </c>
      <c r="S12" s="40">
        <f>IFERROR(aurora_data!R1832,0)</f>
        <v>0</v>
      </c>
      <c r="T12" s="40">
        <f>IFERROR(aurora_data!S1832,0)</f>
        <v>0</v>
      </c>
      <c r="U12" s="76">
        <f>IFERROR(aurora_data!T1832,0)</f>
        <v>0</v>
      </c>
      <c r="V12" s="61" t="s">
        <v>95</v>
      </c>
      <c r="W12" s="39">
        <f>IFERROR(aurora_data!U1832,0)</f>
        <v>1</v>
      </c>
      <c r="X12" s="70">
        <f>IFERROR(W12/$W$12,0)</f>
        <v>1</v>
      </c>
      <c r="Y12" s="2"/>
    </row>
    <row r="13" spans="1:25" customFormat="1">
      <c r="A13" s="2"/>
      <c r="B13" s="211"/>
      <c r="C13" s="213"/>
      <c r="D13" s="35" t="s">
        <v>96</v>
      </c>
      <c r="E13" s="110">
        <f>IFERROR(aurora_data!D1833,0)</f>
        <v>0</v>
      </c>
      <c r="F13" s="62">
        <f>IFERROR(aurora_data!E1833,0)</f>
        <v>0</v>
      </c>
      <c r="G13" s="62">
        <f>IFERROR(aurora_data!F1833,0)</f>
        <v>0</v>
      </c>
      <c r="H13" s="62">
        <f>IFERROR(aurora_data!G1833,0)</f>
        <v>0</v>
      </c>
      <c r="I13" s="63">
        <f>IFERROR(aurora_data!H1833,0)</f>
        <v>0</v>
      </c>
      <c r="J13" s="36">
        <f>IFERROR(aurora_data!I1833,0)</f>
        <v>0</v>
      </c>
      <c r="K13" s="62">
        <f>IFERROR(aurora_data!J1833,0)</f>
        <v>0</v>
      </c>
      <c r="L13" s="62">
        <f>IFERROR(aurora_data!K1833,0)</f>
        <v>0</v>
      </c>
      <c r="M13" s="62">
        <f>IFERROR(aurora_data!L1833,0)</f>
        <v>0</v>
      </c>
      <c r="N13" s="63">
        <f>IFERROR(aurora_data!M1833,0)</f>
        <v>0</v>
      </c>
      <c r="O13" s="36">
        <f>IFERROR(aurora_data!N1833,0)</f>
        <v>0</v>
      </c>
      <c r="P13" s="62">
        <f>IFERROR(aurora_data!O1833,0)</f>
        <v>0</v>
      </c>
      <c r="Q13" s="62">
        <f>IFERROR(aurora_data!P1833,0)</f>
        <v>0</v>
      </c>
      <c r="R13" s="63">
        <f>IFERROR(aurora_data!Q1833,0)</f>
        <v>0</v>
      </c>
      <c r="S13" s="62">
        <f>IFERROR(aurora_data!R1833,0)</f>
        <v>0</v>
      </c>
      <c r="T13" s="62">
        <f>IFERROR(aurora_data!S1833,0)</f>
        <v>0</v>
      </c>
      <c r="U13" s="63">
        <f>IFERROR(aurora_data!T1833,0)</f>
        <v>0</v>
      </c>
      <c r="V13" s="64" t="s">
        <v>95</v>
      </c>
      <c r="W13" s="36">
        <f>IFERROR(aurora_data!U1833,0)</f>
        <v>0</v>
      </c>
      <c r="X13" s="71">
        <f t="shared" ref="X13:X19" si="0">IFERROR(W13/$W$12,0)</f>
        <v>0</v>
      </c>
      <c r="Y13" s="2"/>
    </row>
    <row r="14" spans="1:25" customFormat="1">
      <c r="A14" s="2"/>
      <c r="B14" s="211"/>
      <c r="C14" s="213"/>
      <c r="D14" s="35" t="s">
        <v>60</v>
      </c>
      <c r="E14" s="110">
        <f>IFERROR(aurora_data!D1834,0)</f>
        <v>0</v>
      </c>
      <c r="F14" s="62">
        <f>IFERROR(aurora_data!E1834,0)</f>
        <v>0</v>
      </c>
      <c r="G14" s="62">
        <f>IFERROR(aurora_data!F1834,0)</f>
        <v>0</v>
      </c>
      <c r="H14" s="62">
        <f>IFERROR(aurora_data!G1834,0)</f>
        <v>0</v>
      </c>
      <c r="I14" s="63">
        <f>IFERROR(aurora_data!H1834,0)</f>
        <v>0</v>
      </c>
      <c r="J14" s="36">
        <f>IFERROR(aurora_data!I1834,0)</f>
        <v>0</v>
      </c>
      <c r="K14" s="62">
        <f>IFERROR(aurora_data!J1834,0)</f>
        <v>0</v>
      </c>
      <c r="L14" s="62">
        <f>IFERROR(aurora_data!K1834,0)</f>
        <v>0</v>
      </c>
      <c r="M14" s="62">
        <f>IFERROR(aurora_data!L1834,0)</f>
        <v>0</v>
      </c>
      <c r="N14" s="63">
        <f>IFERROR(aurora_data!M1834,0)</f>
        <v>0</v>
      </c>
      <c r="O14" s="36">
        <f>IFERROR(aurora_data!N1834,0)</f>
        <v>0</v>
      </c>
      <c r="P14" s="62">
        <f>IFERROR(aurora_data!O1834,0)</f>
        <v>0</v>
      </c>
      <c r="Q14" s="62">
        <f>IFERROR(aurora_data!P1834,0)</f>
        <v>0</v>
      </c>
      <c r="R14" s="63">
        <f>IFERROR(aurora_data!Q1834,0)</f>
        <v>0</v>
      </c>
      <c r="S14" s="62">
        <f>IFERROR(aurora_data!R1834,0)</f>
        <v>0</v>
      </c>
      <c r="T14" s="62">
        <f>IFERROR(aurora_data!S1834,0)</f>
        <v>0</v>
      </c>
      <c r="U14" s="63">
        <f>IFERROR(aurora_data!T1834,0)</f>
        <v>0</v>
      </c>
      <c r="V14" s="64" t="s">
        <v>95</v>
      </c>
      <c r="W14" s="36">
        <f>IFERROR(aurora_data!U1834,0)</f>
        <v>0</v>
      </c>
      <c r="X14" s="71">
        <f t="shared" si="0"/>
        <v>0</v>
      </c>
      <c r="Y14" s="2"/>
    </row>
    <row r="15" spans="1:25" customFormat="1">
      <c r="A15" s="2"/>
      <c r="B15" s="211"/>
      <c r="C15" s="213"/>
      <c r="D15" s="35" t="s">
        <v>97</v>
      </c>
      <c r="E15" s="36">
        <f>IFERROR(aurora_data!D1835,0)</f>
        <v>0</v>
      </c>
      <c r="F15" s="62">
        <f>IFERROR(aurora_data!E1835,0)</f>
        <v>0</v>
      </c>
      <c r="G15" s="62">
        <f>IFERROR(aurora_data!F1835,0)</f>
        <v>0</v>
      </c>
      <c r="H15" s="62">
        <f>IFERROR(aurora_data!G1835,0)</f>
        <v>0</v>
      </c>
      <c r="I15" s="63">
        <f>IFERROR(aurora_data!H1835,0)</f>
        <v>0</v>
      </c>
      <c r="J15" s="36">
        <f>IFERROR(aurora_data!I1835,0)</f>
        <v>0</v>
      </c>
      <c r="K15" s="62">
        <f>IFERROR(aurora_data!J1835,0)</f>
        <v>0</v>
      </c>
      <c r="L15" s="62">
        <f>IFERROR(aurora_data!K1835,0)</f>
        <v>0</v>
      </c>
      <c r="M15" s="62">
        <f>IFERROR(aurora_data!L1835,0)</f>
        <v>0</v>
      </c>
      <c r="N15" s="63">
        <f>IFERROR(aurora_data!M1835,0)</f>
        <v>0</v>
      </c>
      <c r="O15" s="36">
        <f>IFERROR(aurora_data!N1835,0)</f>
        <v>0</v>
      </c>
      <c r="P15" s="62">
        <f>IFERROR(aurora_data!O1835,0)</f>
        <v>0</v>
      </c>
      <c r="Q15" s="62">
        <f>IFERROR(aurora_data!P1835,0)</f>
        <v>0</v>
      </c>
      <c r="R15" s="63">
        <f>IFERROR(aurora_data!Q1835,0)</f>
        <v>0</v>
      </c>
      <c r="S15" s="62">
        <f>IFERROR(aurora_data!R1835,0)</f>
        <v>0</v>
      </c>
      <c r="T15" s="62">
        <f>IFERROR(aurora_data!S1835,0)</f>
        <v>0</v>
      </c>
      <c r="U15" s="63">
        <f>IFERROR(aurora_data!T1835,0)</f>
        <v>0</v>
      </c>
      <c r="V15" s="64" t="s">
        <v>95</v>
      </c>
      <c r="W15" s="36">
        <f>IFERROR(aurora_data!U1835,0)</f>
        <v>0</v>
      </c>
      <c r="X15" s="71">
        <f t="shared" si="0"/>
        <v>0</v>
      </c>
      <c r="Y15" s="2"/>
    </row>
    <row r="16" spans="1:25" customFormat="1">
      <c r="A16" s="2"/>
      <c r="B16" s="211"/>
      <c r="C16" s="213"/>
      <c r="D16" s="35" t="s">
        <v>98</v>
      </c>
      <c r="E16" s="36">
        <f>IFERROR(aurora_data!D1836,0)</f>
        <v>0</v>
      </c>
      <c r="F16" s="62">
        <f>IFERROR(aurora_data!E1836,0)</f>
        <v>0</v>
      </c>
      <c r="G16" s="62">
        <f>IFERROR(aurora_data!F1836,0)</f>
        <v>0</v>
      </c>
      <c r="H16" s="62">
        <f>IFERROR(aurora_data!G1836,0)</f>
        <v>0</v>
      </c>
      <c r="I16" s="63">
        <f>IFERROR(aurora_data!H1836,0)</f>
        <v>0</v>
      </c>
      <c r="J16" s="36">
        <f>IFERROR(aurora_data!I1836,0)</f>
        <v>0</v>
      </c>
      <c r="K16" s="62">
        <f>IFERROR(aurora_data!J1836,0)</f>
        <v>0</v>
      </c>
      <c r="L16" s="62">
        <f>IFERROR(aurora_data!K1836,0)</f>
        <v>0</v>
      </c>
      <c r="M16" s="62">
        <f>IFERROR(aurora_data!L1836,0)</f>
        <v>0</v>
      </c>
      <c r="N16" s="63">
        <f>IFERROR(aurora_data!M1836,0)</f>
        <v>0</v>
      </c>
      <c r="O16" s="36">
        <f>IFERROR(aurora_data!N1836,0)</f>
        <v>0</v>
      </c>
      <c r="P16" s="62">
        <f>IFERROR(aurora_data!O1836,0)</f>
        <v>0</v>
      </c>
      <c r="Q16" s="62">
        <f>IFERROR(aurora_data!P1836,0)</f>
        <v>0</v>
      </c>
      <c r="R16" s="63">
        <f>IFERROR(aurora_data!Q1836,0)</f>
        <v>0</v>
      </c>
      <c r="S16" s="62">
        <f>IFERROR(aurora_data!R1836,0)</f>
        <v>0</v>
      </c>
      <c r="T16" s="62">
        <f>IFERROR(aurora_data!S1836,0)</f>
        <v>0</v>
      </c>
      <c r="U16" s="63">
        <f>IFERROR(aurora_data!T1836,0)</f>
        <v>0</v>
      </c>
      <c r="V16" s="64" t="s">
        <v>95</v>
      </c>
      <c r="W16" s="36">
        <f>IFERROR(aurora_data!U1836,0)</f>
        <v>0</v>
      </c>
      <c r="X16" s="71">
        <f t="shared" si="0"/>
        <v>0</v>
      </c>
      <c r="Y16" s="2"/>
    </row>
    <row r="17" spans="1:25" customFormat="1" ht="16.5" thickBot="1">
      <c r="A17" s="2"/>
      <c r="B17" s="211"/>
      <c r="C17" s="213"/>
      <c r="D17" s="35" t="s">
        <v>99</v>
      </c>
      <c r="E17" s="36">
        <f>IFERROR(aurora_data!D1837,0)</f>
        <v>0</v>
      </c>
      <c r="F17" s="62">
        <f>IFERROR(aurora_data!E1837,0)</f>
        <v>0</v>
      </c>
      <c r="G17" s="62">
        <f>IFERROR(aurora_data!F1837,0)</f>
        <v>0</v>
      </c>
      <c r="H17" s="62">
        <f>IFERROR(aurora_data!G1837,0)</f>
        <v>0</v>
      </c>
      <c r="I17" s="63">
        <f>IFERROR(aurora_data!H1837,0)</f>
        <v>0</v>
      </c>
      <c r="J17" s="36">
        <f>IFERROR(aurora_data!I1837,0)</f>
        <v>0</v>
      </c>
      <c r="K17" s="62">
        <f>IFERROR(aurora_data!J1837,0)</f>
        <v>0</v>
      </c>
      <c r="L17" s="62">
        <f>IFERROR(aurora_data!K1837,0)</f>
        <v>0</v>
      </c>
      <c r="M17" s="62">
        <f>IFERROR(aurora_data!L1837,0)</f>
        <v>0</v>
      </c>
      <c r="N17" s="63">
        <f>IFERROR(aurora_data!M1837,0)</f>
        <v>0</v>
      </c>
      <c r="O17" s="36">
        <f>IFERROR(aurora_data!N1837,0)</f>
        <v>0</v>
      </c>
      <c r="P17" s="62">
        <f>IFERROR(aurora_data!O1837,0)</f>
        <v>0</v>
      </c>
      <c r="Q17" s="62">
        <f>IFERROR(aurora_data!P1837,0)</f>
        <v>0</v>
      </c>
      <c r="R17" s="63">
        <f>IFERROR(aurora_data!Q1837,0)</f>
        <v>0</v>
      </c>
      <c r="S17" s="62">
        <f>IFERROR(aurora_data!R1837,0)</f>
        <v>0</v>
      </c>
      <c r="T17" s="62">
        <f>IFERROR(aurora_data!S1837,0)</f>
        <v>0</v>
      </c>
      <c r="U17" s="63">
        <f>IFERROR(aurora_data!T1837,0)</f>
        <v>0</v>
      </c>
      <c r="V17" s="64" t="s">
        <v>95</v>
      </c>
      <c r="W17" s="36">
        <f>IFERROR(aurora_data!U1837,0)</f>
        <v>0</v>
      </c>
      <c r="X17" s="71">
        <f t="shared" si="0"/>
        <v>0</v>
      </c>
      <c r="Y17" s="2"/>
    </row>
    <row r="18" spans="1:25" customFormat="1" ht="16.5" thickBot="1">
      <c r="A18" s="2"/>
      <c r="B18" s="211"/>
      <c r="C18" s="213"/>
      <c r="D18" s="37" t="s">
        <v>64</v>
      </c>
      <c r="E18" s="59">
        <f>IFERROR(aurora_data!D1838,0)</f>
        <v>0</v>
      </c>
      <c r="F18" s="65">
        <f>IFERROR(aurora_data!E1838,0)</f>
        <v>0</v>
      </c>
      <c r="G18" s="65">
        <f>IFERROR(aurora_data!F1838,0)</f>
        <v>0</v>
      </c>
      <c r="H18" s="65">
        <f>IFERROR(aurora_data!G1838,0)</f>
        <v>0</v>
      </c>
      <c r="I18" s="66">
        <f>IFERROR(aurora_data!H1838,0)</f>
        <v>0</v>
      </c>
      <c r="J18" s="59">
        <f>IFERROR(aurora_data!I1838,0)</f>
        <v>0</v>
      </c>
      <c r="K18" s="65">
        <f>IFERROR(aurora_data!J1838,0)</f>
        <v>0</v>
      </c>
      <c r="L18" s="65">
        <f>IFERROR(aurora_data!K1838,0)</f>
        <v>0</v>
      </c>
      <c r="M18" s="65">
        <f>IFERROR(aurora_data!L1838,0)</f>
        <v>0</v>
      </c>
      <c r="N18" s="66">
        <f>IFERROR(aurora_data!M1838,0)</f>
        <v>0</v>
      </c>
      <c r="O18" s="59">
        <f>IFERROR(aurora_data!N1838,0)</f>
        <v>0</v>
      </c>
      <c r="P18" s="65">
        <f>IFERROR(aurora_data!O1838,0)</f>
        <v>0</v>
      </c>
      <c r="Q18" s="65">
        <f>IFERROR(aurora_data!P1838,0)</f>
        <v>0</v>
      </c>
      <c r="R18" s="66">
        <f>IFERROR(aurora_data!Q1838,0)</f>
        <v>0</v>
      </c>
      <c r="S18" s="65">
        <f>IFERROR(aurora_data!R1838,0)</f>
        <v>0</v>
      </c>
      <c r="T18" s="65">
        <f>IFERROR(aurora_data!S1838,0)</f>
        <v>0</v>
      </c>
      <c r="U18" s="66">
        <f>IFERROR(aurora_data!T1838,0)</f>
        <v>0</v>
      </c>
      <c r="V18" s="67" t="s">
        <v>95</v>
      </c>
      <c r="W18" s="59">
        <f>IFERROR(aurora_data!U1838,0)</f>
        <v>0</v>
      </c>
      <c r="X18" s="72">
        <f t="shared" si="0"/>
        <v>0</v>
      </c>
      <c r="Y18" s="2"/>
    </row>
    <row r="19" spans="1:25" customFormat="1" ht="16.5" thickBot="1">
      <c r="A19" s="2"/>
      <c r="B19" s="211"/>
      <c r="C19" s="213"/>
      <c r="D19" s="38" t="s">
        <v>100</v>
      </c>
      <c r="E19" s="60">
        <f>IFERROR(aurora_data!D1839,0)</f>
        <v>0</v>
      </c>
      <c r="F19" s="68">
        <f>IFERROR(aurora_data!E1839,0)</f>
        <v>0</v>
      </c>
      <c r="G19" s="68">
        <f>IFERROR(aurora_data!F1839,0)</f>
        <v>0</v>
      </c>
      <c r="H19" s="68">
        <f>IFERROR(aurora_data!G1839,0)</f>
        <v>0</v>
      </c>
      <c r="I19" s="69">
        <f>IFERROR(aurora_data!H1839,0)</f>
        <v>0</v>
      </c>
      <c r="J19" s="60">
        <f>IFERROR(aurora_data!I1839,0)</f>
        <v>0</v>
      </c>
      <c r="K19" s="68">
        <f>IFERROR(aurora_data!J1839,0)</f>
        <v>0</v>
      </c>
      <c r="L19" s="68">
        <f>IFERROR(aurora_data!K1839,0)</f>
        <v>0</v>
      </c>
      <c r="M19" s="68">
        <f>IFERROR(aurora_data!L1839,0)</f>
        <v>0</v>
      </c>
      <c r="N19" s="69">
        <f>IFERROR(aurora_data!M1839,0)</f>
        <v>0</v>
      </c>
      <c r="O19" s="60">
        <f>IFERROR(aurora_data!N1839,0)</f>
        <v>0</v>
      </c>
      <c r="P19" s="68">
        <f>IFERROR(aurora_data!O1839,0)</f>
        <v>0</v>
      </c>
      <c r="Q19" s="68">
        <f>IFERROR(aurora_data!P1839,0)</f>
        <v>0</v>
      </c>
      <c r="R19" s="69">
        <f>IFERROR(aurora_data!Q1839,0)</f>
        <v>0</v>
      </c>
      <c r="S19" s="68">
        <f>IFERROR(aurora_data!R1839,0)</f>
        <v>0</v>
      </c>
      <c r="T19" s="68">
        <f>IFERROR(aurora_data!S1839,0)</f>
        <v>0</v>
      </c>
      <c r="U19" s="74">
        <f>IFERROR(aurora_data!T1839,0)</f>
        <v>0</v>
      </c>
      <c r="V19" s="75" t="s">
        <v>95</v>
      </c>
      <c r="W19" s="60">
        <f>IFERROR(aurora_data!U1839,0)</f>
        <v>0</v>
      </c>
      <c r="X19" s="73">
        <f t="shared" si="0"/>
        <v>0</v>
      </c>
      <c r="Y19" s="2"/>
    </row>
    <row r="20" spans="1:25" customFormat="1" ht="15.75" customHeight="1">
      <c r="A20" s="2"/>
      <c r="B20" s="206" t="s">
        <v>94</v>
      </c>
      <c r="C20" s="208" t="s">
        <v>55</v>
      </c>
      <c r="D20" s="34" t="s">
        <v>71</v>
      </c>
      <c r="E20" s="39">
        <f>IFERROR(aurora_data!D1840,0)</f>
        <v>0</v>
      </c>
      <c r="F20" s="40">
        <f>IFERROR(aurora_data!E1840,0)</f>
        <v>0</v>
      </c>
      <c r="G20" s="40">
        <f>IFERROR(aurora_data!F1840,0)</f>
        <v>0</v>
      </c>
      <c r="H20" s="40">
        <f>IFERROR(aurora_data!G1840,0)</f>
        <v>0</v>
      </c>
      <c r="I20" s="41">
        <f>IFERROR(aurora_data!H1840,0)</f>
        <v>0</v>
      </c>
      <c r="J20" s="39">
        <f>IFERROR(aurora_data!I1840,0)</f>
        <v>0</v>
      </c>
      <c r="K20" s="40">
        <f>IFERROR(aurora_data!J1840,0)</f>
        <v>0</v>
      </c>
      <c r="L20" s="40">
        <f>IFERROR(aurora_data!K1840,0)</f>
        <v>0</v>
      </c>
      <c r="M20" s="40">
        <f>IFERROR(aurora_data!L1840,0)</f>
        <v>0</v>
      </c>
      <c r="N20" s="41">
        <f>IFERROR(aurora_data!M1840,0)</f>
        <v>0</v>
      </c>
      <c r="O20" s="39">
        <f>IFERROR(aurora_data!N1840,0)</f>
        <v>0</v>
      </c>
      <c r="P20" s="40">
        <f>IFERROR(aurora_data!O1840,0)</f>
        <v>0</v>
      </c>
      <c r="Q20" s="40">
        <f>IFERROR(aurora_data!P1840,0)</f>
        <v>0</v>
      </c>
      <c r="R20" s="41">
        <f>IFERROR(aurora_data!Q1840,0)</f>
        <v>0</v>
      </c>
      <c r="S20" s="40">
        <f>IFERROR(aurora_data!R1840,0)</f>
        <v>0</v>
      </c>
      <c r="T20" s="40">
        <f>IFERROR(aurora_data!S1840,0)</f>
        <v>0</v>
      </c>
      <c r="U20" s="41">
        <f>IFERROR(aurora_data!T1840,0)</f>
        <v>0</v>
      </c>
      <c r="V20" s="61" t="s">
        <v>95</v>
      </c>
      <c r="W20" s="39">
        <f>IFERROR(aurora_data!U1840,0)</f>
        <v>1</v>
      </c>
      <c r="X20" s="70">
        <f>IFERROR(W20/$W$20,0)</f>
        <v>1</v>
      </c>
      <c r="Y20" s="2"/>
    </row>
    <row r="21" spans="1:25" customFormat="1" ht="15.75" customHeight="1">
      <c r="A21" s="2"/>
      <c r="B21" s="207"/>
      <c r="C21" s="209"/>
      <c r="D21" s="35" t="s">
        <v>96</v>
      </c>
      <c r="E21" s="36">
        <f>IFERROR(aurora_data!D1841,0)</f>
        <v>0</v>
      </c>
      <c r="F21" s="62">
        <f>IFERROR(aurora_data!E1841,0)</f>
        <v>0</v>
      </c>
      <c r="G21" s="62">
        <f>IFERROR(aurora_data!F1841,0)</f>
        <v>0</v>
      </c>
      <c r="H21" s="62">
        <f>IFERROR(aurora_data!G1841,0)</f>
        <v>0</v>
      </c>
      <c r="I21" s="63">
        <f>IFERROR(aurora_data!H1841,0)</f>
        <v>0</v>
      </c>
      <c r="J21" s="36">
        <f>IFERROR(aurora_data!I1841,0)</f>
        <v>0</v>
      </c>
      <c r="K21" s="62">
        <f>IFERROR(aurora_data!J1841,0)</f>
        <v>0</v>
      </c>
      <c r="L21" s="62">
        <f>IFERROR(aurora_data!K1841,0)</f>
        <v>0</v>
      </c>
      <c r="M21" s="62">
        <f>IFERROR(aurora_data!L1841,0)</f>
        <v>0</v>
      </c>
      <c r="N21" s="63">
        <f>IFERROR(aurora_data!M1841,0)</f>
        <v>0</v>
      </c>
      <c r="O21" s="36">
        <f>IFERROR(aurora_data!N1841,0)</f>
        <v>0</v>
      </c>
      <c r="P21" s="62">
        <f>IFERROR(aurora_data!O1841,0)</f>
        <v>0</v>
      </c>
      <c r="Q21" s="62">
        <f>IFERROR(aurora_data!P1841,0)</f>
        <v>0</v>
      </c>
      <c r="R21" s="63">
        <f>IFERROR(aurora_data!Q1841,0)</f>
        <v>0</v>
      </c>
      <c r="S21" s="62">
        <f>IFERROR(aurora_data!R1841,0)</f>
        <v>0</v>
      </c>
      <c r="T21" s="62">
        <f>IFERROR(aurora_data!S1841,0)</f>
        <v>0</v>
      </c>
      <c r="U21" s="63">
        <f>IFERROR(aurora_data!T1841,0)</f>
        <v>0</v>
      </c>
      <c r="V21" s="64" t="s">
        <v>95</v>
      </c>
      <c r="W21" s="36">
        <f>IFERROR(aurora_data!U1841,0)</f>
        <v>0</v>
      </c>
      <c r="X21" s="71">
        <f t="shared" ref="X21:X27" si="1">IFERROR(W21/$W$20,0)</f>
        <v>0</v>
      </c>
      <c r="Y21" s="2"/>
    </row>
    <row r="22" spans="1:25" customFormat="1" ht="15.75" customHeight="1">
      <c r="A22" s="2"/>
      <c r="B22" s="207"/>
      <c r="C22" s="209"/>
      <c r="D22" s="35" t="s">
        <v>60</v>
      </c>
      <c r="E22" s="36">
        <f>IFERROR(aurora_data!D1842,0)</f>
        <v>0</v>
      </c>
      <c r="F22" s="62">
        <f>IFERROR(aurora_data!E1842,0)</f>
        <v>0</v>
      </c>
      <c r="G22" s="62">
        <f>IFERROR(aurora_data!F1842,0)</f>
        <v>0</v>
      </c>
      <c r="H22" s="62">
        <f>IFERROR(aurora_data!G1842,0)</f>
        <v>0</v>
      </c>
      <c r="I22" s="63">
        <f>IFERROR(aurora_data!H1842,0)</f>
        <v>0</v>
      </c>
      <c r="J22" s="36">
        <f>IFERROR(aurora_data!I1842,0)</f>
        <v>0</v>
      </c>
      <c r="K22" s="62">
        <f>IFERROR(aurora_data!J1842,0)</f>
        <v>0</v>
      </c>
      <c r="L22" s="62">
        <f>IFERROR(aurora_data!K1842,0)</f>
        <v>0</v>
      </c>
      <c r="M22" s="62">
        <f>IFERROR(aurora_data!L1842,0)</f>
        <v>0</v>
      </c>
      <c r="N22" s="63">
        <f>IFERROR(aurora_data!M1842,0)</f>
        <v>0</v>
      </c>
      <c r="O22" s="36">
        <f>IFERROR(aurora_data!N1842,0)</f>
        <v>0</v>
      </c>
      <c r="P22" s="62">
        <f>IFERROR(aurora_data!O1842,0)</f>
        <v>0</v>
      </c>
      <c r="Q22" s="62">
        <f>IFERROR(aurora_data!P1842,0)</f>
        <v>0</v>
      </c>
      <c r="R22" s="63">
        <f>IFERROR(aurora_data!Q1842,0)</f>
        <v>0</v>
      </c>
      <c r="S22" s="62">
        <f>IFERROR(aurora_data!R1842,0)</f>
        <v>0</v>
      </c>
      <c r="T22" s="62">
        <f>IFERROR(aurora_data!S1842,0)</f>
        <v>0</v>
      </c>
      <c r="U22" s="63">
        <f>IFERROR(aurora_data!T1842,0)</f>
        <v>0</v>
      </c>
      <c r="V22" s="64" t="s">
        <v>95</v>
      </c>
      <c r="W22" s="36">
        <f>IFERROR(aurora_data!U1842,0)</f>
        <v>0</v>
      </c>
      <c r="X22" s="71">
        <f t="shared" si="1"/>
        <v>0</v>
      </c>
      <c r="Y22" s="2"/>
    </row>
    <row r="23" spans="1:25" customFormat="1" ht="15.75" customHeight="1">
      <c r="A23" s="2"/>
      <c r="B23" s="207"/>
      <c r="C23" s="209"/>
      <c r="D23" s="35" t="s">
        <v>97</v>
      </c>
      <c r="E23" s="36">
        <f>IFERROR(aurora_data!D1843,0)</f>
        <v>0</v>
      </c>
      <c r="F23" s="62">
        <f>IFERROR(aurora_data!E1843,0)</f>
        <v>0</v>
      </c>
      <c r="G23" s="62">
        <f>IFERROR(aurora_data!F1843,0)</f>
        <v>0</v>
      </c>
      <c r="H23" s="62">
        <f>IFERROR(aurora_data!G1843,0)</f>
        <v>0</v>
      </c>
      <c r="I23" s="63">
        <f>IFERROR(aurora_data!H1843,0)</f>
        <v>0</v>
      </c>
      <c r="J23" s="36">
        <f>IFERROR(aurora_data!I1843,0)</f>
        <v>0</v>
      </c>
      <c r="K23" s="62">
        <f>IFERROR(aurora_data!J1843,0)</f>
        <v>0</v>
      </c>
      <c r="L23" s="62">
        <f>IFERROR(aurora_data!K1843,0)</f>
        <v>0</v>
      </c>
      <c r="M23" s="62">
        <f>IFERROR(aurora_data!L1843,0)</f>
        <v>0</v>
      </c>
      <c r="N23" s="63">
        <f>IFERROR(aurora_data!M1843,0)</f>
        <v>0</v>
      </c>
      <c r="O23" s="36">
        <f>IFERROR(aurora_data!N1843,0)</f>
        <v>0</v>
      </c>
      <c r="P23" s="62">
        <f>IFERROR(aurora_data!O1843,0)</f>
        <v>0</v>
      </c>
      <c r="Q23" s="62">
        <f>IFERROR(aurora_data!P1843,0)</f>
        <v>0</v>
      </c>
      <c r="R23" s="63">
        <f>IFERROR(aurora_data!Q1843,0)</f>
        <v>0</v>
      </c>
      <c r="S23" s="62">
        <f>IFERROR(aurora_data!R1843,0)</f>
        <v>0</v>
      </c>
      <c r="T23" s="62">
        <f>IFERROR(aurora_data!S1843,0)</f>
        <v>0</v>
      </c>
      <c r="U23" s="63">
        <f>IFERROR(aurora_data!T1843,0)</f>
        <v>0</v>
      </c>
      <c r="V23" s="64" t="s">
        <v>95</v>
      </c>
      <c r="W23" s="36">
        <f>IFERROR(aurora_data!U1843,0)</f>
        <v>0</v>
      </c>
      <c r="X23" s="71">
        <f t="shared" si="1"/>
        <v>0</v>
      </c>
      <c r="Y23" s="2"/>
    </row>
    <row r="24" spans="1:25" customFormat="1" ht="16.5" customHeight="1">
      <c r="A24" s="2"/>
      <c r="B24" s="207"/>
      <c r="C24" s="209"/>
      <c r="D24" s="35" t="s">
        <v>98</v>
      </c>
      <c r="E24" s="36">
        <f>IFERROR(aurora_data!D1844,0)</f>
        <v>0</v>
      </c>
      <c r="F24" s="62">
        <f>IFERROR(aurora_data!E1844,0)</f>
        <v>0</v>
      </c>
      <c r="G24" s="62">
        <f>IFERROR(aurora_data!F1844,0)</f>
        <v>0</v>
      </c>
      <c r="H24" s="62">
        <f>IFERROR(aurora_data!G1844,0)</f>
        <v>0</v>
      </c>
      <c r="I24" s="63">
        <f>IFERROR(aurora_data!H1844,0)</f>
        <v>0</v>
      </c>
      <c r="J24" s="36">
        <f>IFERROR(aurora_data!I1844,0)</f>
        <v>0</v>
      </c>
      <c r="K24" s="62">
        <f>IFERROR(aurora_data!J1844,0)</f>
        <v>0</v>
      </c>
      <c r="L24" s="62">
        <f>IFERROR(aurora_data!K1844,0)</f>
        <v>0</v>
      </c>
      <c r="M24" s="62">
        <f>IFERROR(aurora_data!L1844,0)</f>
        <v>0</v>
      </c>
      <c r="N24" s="63">
        <f>IFERROR(aurora_data!M1844,0)</f>
        <v>0</v>
      </c>
      <c r="O24" s="36">
        <f>IFERROR(aurora_data!N1844,0)</f>
        <v>0</v>
      </c>
      <c r="P24" s="62">
        <f>IFERROR(aurora_data!O1844,0)</f>
        <v>0</v>
      </c>
      <c r="Q24" s="62">
        <f>IFERROR(aurora_data!P1844,0)</f>
        <v>0</v>
      </c>
      <c r="R24" s="63">
        <f>IFERROR(aurora_data!Q1844,0)</f>
        <v>0</v>
      </c>
      <c r="S24" s="62">
        <f>IFERROR(aurora_data!R1844,0)</f>
        <v>0</v>
      </c>
      <c r="T24" s="62">
        <f>IFERROR(aurora_data!S1844,0)</f>
        <v>0</v>
      </c>
      <c r="U24" s="63">
        <f>IFERROR(aurora_data!T1844,0)</f>
        <v>0</v>
      </c>
      <c r="V24" s="64" t="s">
        <v>95</v>
      </c>
      <c r="W24" s="36">
        <f>IFERROR(aurora_data!U1844,0)</f>
        <v>0</v>
      </c>
      <c r="X24" s="71">
        <f t="shared" si="1"/>
        <v>0</v>
      </c>
      <c r="Y24" s="2"/>
    </row>
    <row r="25" spans="1:25" customFormat="1" ht="16.5" customHeight="1" thickBot="1">
      <c r="A25" s="2"/>
      <c r="B25" s="207"/>
      <c r="C25" s="209"/>
      <c r="D25" s="35" t="s">
        <v>99</v>
      </c>
      <c r="E25" s="36">
        <f>IFERROR(aurora_data!D1845,0)</f>
        <v>0</v>
      </c>
      <c r="F25" s="62">
        <f>IFERROR(aurora_data!E1845,0)</f>
        <v>0</v>
      </c>
      <c r="G25" s="62">
        <f>IFERROR(aurora_data!F1845,0)</f>
        <v>0</v>
      </c>
      <c r="H25" s="62">
        <f>IFERROR(aurora_data!G1845,0)</f>
        <v>0</v>
      </c>
      <c r="I25" s="63">
        <f>IFERROR(aurora_data!H1845,0)</f>
        <v>0</v>
      </c>
      <c r="J25" s="36">
        <f>IFERROR(aurora_data!I1845,0)</f>
        <v>0</v>
      </c>
      <c r="K25" s="62">
        <f>IFERROR(aurora_data!J1845,0)</f>
        <v>0</v>
      </c>
      <c r="L25" s="62">
        <f>IFERROR(aurora_data!K1845,0)</f>
        <v>0</v>
      </c>
      <c r="M25" s="62">
        <f>IFERROR(aurora_data!L1845,0)</f>
        <v>0</v>
      </c>
      <c r="N25" s="63">
        <f>IFERROR(aurora_data!M1845,0)</f>
        <v>0</v>
      </c>
      <c r="O25" s="36">
        <f>IFERROR(aurora_data!N1845,0)</f>
        <v>0</v>
      </c>
      <c r="P25" s="62">
        <f>IFERROR(aurora_data!O1845,0)</f>
        <v>0</v>
      </c>
      <c r="Q25" s="62">
        <f>IFERROR(aurora_data!P1845,0)</f>
        <v>0</v>
      </c>
      <c r="R25" s="63">
        <f>IFERROR(aurora_data!Q1845,0)</f>
        <v>0</v>
      </c>
      <c r="S25" s="62">
        <f>IFERROR(aurora_data!R1845,0)</f>
        <v>0</v>
      </c>
      <c r="T25" s="62">
        <f>IFERROR(aurora_data!S1845,0)</f>
        <v>0</v>
      </c>
      <c r="U25" s="63">
        <f>IFERROR(aurora_data!T1845,0)</f>
        <v>0</v>
      </c>
      <c r="V25" s="64" t="s">
        <v>95</v>
      </c>
      <c r="W25" s="36">
        <f>IFERROR(aurora_data!U1845,0)</f>
        <v>0</v>
      </c>
      <c r="X25" s="71">
        <f t="shared" si="1"/>
        <v>0</v>
      </c>
      <c r="Y25" s="2"/>
    </row>
    <row r="26" spans="1:25" customFormat="1" ht="16.5" customHeight="1" thickBot="1">
      <c r="A26" s="2"/>
      <c r="B26" s="207"/>
      <c r="C26" s="209"/>
      <c r="D26" s="37" t="s">
        <v>64</v>
      </c>
      <c r="E26" s="59">
        <f>IFERROR(aurora_data!D1846,0)</f>
        <v>0</v>
      </c>
      <c r="F26" s="65">
        <f>IFERROR(aurora_data!E1846,0)</f>
        <v>0</v>
      </c>
      <c r="G26" s="65">
        <f>IFERROR(aurora_data!F1846,0)</f>
        <v>0</v>
      </c>
      <c r="H26" s="65">
        <f>IFERROR(aurora_data!G1846,0)</f>
        <v>0</v>
      </c>
      <c r="I26" s="66">
        <f>IFERROR(aurora_data!H1846,0)</f>
        <v>0</v>
      </c>
      <c r="J26" s="59">
        <f>IFERROR(aurora_data!I1846,0)</f>
        <v>0</v>
      </c>
      <c r="K26" s="65">
        <f>IFERROR(aurora_data!J1846,0)</f>
        <v>0</v>
      </c>
      <c r="L26" s="65">
        <f>IFERROR(aurora_data!K1846,0)</f>
        <v>0</v>
      </c>
      <c r="M26" s="65">
        <f>IFERROR(aurora_data!L1846,0)</f>
        <v>0</v>
      </c>
      <c r="N26" s="66">
        <f>IFERROR(aurora_data!M1846,0)</f>
        <v>0</v>
      </c>
      <c r="O26" s="59">
        <f>IFERROR(aurora_data!N1846,0)</f>
        <v>0</v>
      </c>
      <c r="P26" s="65">
        <f>IFERROR(aurora_data!O1846,0)</f>
        <v>0</v>
      </c>
      <c r="Q26" s="65">
        <f>IFERROR(aurora_data!P1846,0)</f>
        <v>0</v>
      </c>
      <c r="R26" s="66">
        <f>IFERROR(aurora_data!Q1846,0)</f>
        <v>0</v>
      </c>
      <c r="S26" s="65">
        <f>IFERROR(aurora_data!R1846,0)</f>
        <v>0</v>
      </c>
      <c r="T26" s="65">
        <f>IFERROR(aurora_data!S1846,0)</f>
        <v>0</v>
      </c>
      <c r="U26" s="66">
        <f>IFERROR(aurora_data!T1846,0)</f>
        <v>0</v>
      </c>
      <c r="V26" s="67" t="s">
        <v>95</v>
      </c>
      <c r="W26" s="59">
        <f>IFERROR(aurora_data!U1846,0)</f>
        <v>0</v>
      </c>
      <c r="X26" s="72">
        <f t="shared" si="1"/>
        <v>0</v>
      </c>
      <c r="Y26" s="2"/>
    </row>
    <row r="27" spans="1:25" customFormat="1" ht="16.5" customHeight="1" thickBot="1">
      <c r="A27" s="2"/>
      <c r="B27" s="207"/>
      <c r="C27" s="209"/>
      <c r="D27" s="38" t="s">
        <v>100</v>
      </c>
      <c r="E27" s="60">
        <f>IFERROR(aurora_data!D1847,0)</f>
        <v>0</v>
      </c>
      <c r="F27" s="68">
        <f>IFERROR(aurora_data!E1847,0)</f>
        <v>0</v>
      </c>
      <c r="G27" s="68">
        <f>IFERROR(aurora_data!F1847,0)</f>
        <v>0</v>
      </c>
      <c r="H27" s="68">
        <f>IFERROR(aurora_data!G1847,0)</f>
        <v>0</v>
      </c>
      <c r="I27" s="69">
        <f>IFERROR(aurora_data!H1847,0)</f>
        <v>0</v>
      </c>
      <c r="J27" s="60">
        <f>IFERROR(aurora_data!I1847,0)</f>
        <v>0</v>
      </c>
      <c r="K27" s="68">
        <f>IFERROR(aurora_data!J1847,0)</f>
        <v>0</v>
      </c>
      <c r="L27" s="68">
        <f>IFERROR(aurora_data!K1847,0)</f>
        <v>0</v>
      </c>
      <c r="M27" s="68">
        <f>IFERROR(aurora_data!L1847,0)</f>
        <v>0</v>
      </c>
      <c r="N27" s="69">
        <f>IFERROR(aurora_data!M1847,0)</f>
        <v>0</v>
      </c>
      <c r="O27" s="60">
        <f>IFERROR(aurora_data!N1847,0)</f>
        <v>0</v>
      </c>
      <c r="P27" s="68">
        <f>IFERROR(aurora_data!O1847,0)</f>
        <v>0</v>
      </c>
      <c r="Q27" s="68">
        <f>IFERROR(aurora_data!P1847,0)</f>
        <v>0</v>
      </c>
      <c r="R27" s="69">
        <f>IFERROR(aurora_data!Q1847,0)</f>
        <v>0</v>
      </c>
      <c r="S27" s="68">
        <f>IFERROR(aurora_data!R1847,0)</f>
        <v>0</v>
      </c>
      <c r="T27" s="68">
        <f>IFERROR(aurora_data!S1847,0)</f>
        <v>0</v>
      </c>
      <c r="U27" s="74">
        <f>IFERROR(aurora_data!T1847,0)</f>
        <v>0</v>
      </c>
      <c r="V27" s="75" t="s">
        <v>95</v>
      </c>
      <c r="W27" s="60">
        <f>IFERROR(aurora_data!U1847,0)</f>
        <v>0</v>
      </c>
      <c r="X27" s="73">
        <f t="shared" si="1"/>
        <v>0</v>
      </c>
      <c r="Y27" s="2"/>
    </row>
    <row r="28" spans="1:25" ht="16.5" customHeight="1">
      <c r="B28" s="97"/>
      <c r="C28" s="97"/>
    </row>
  </sheetData>
  <mergeCells count="26">
    <mergeCell ref="C12:C19"/>
    <mergeCell ref="B20:B27"/>
    <mergeCell ref="C20:C27"/>
    <mergeCell ref="B8:D8"/>
    <mergeCell ref="E8:U8"/>
    <mergeCell ref="B12:B19"/>
    <mergeCell ref="W8:X11"/>
    <mergeCell ref="B9:C9"/>
    <mergeCell ref="E9:I9"/>
    <mergeCell ref="J9:N9"/>
    <mergeCell ref="O9:R9"/>
    <mergeCell ref="S9:U9"/>
    <mergeCell ref="B10:B11"/>
    <mergeCell ref="E10:I10"/>
    <mergeCell ref="J10:N10"/>
    <mergeCell ref="O10:R10"/>
    <mergeCell ref="S10:U10"/>
    <mergeCell ref="A1:C1"/>
    <mergeCell ref="D1:H1"/>
    <mergeCell ref="A2:C2"/>
    <mergeCell ref="D2:H2"/>
    <mergeCell ref="K2:X6"/>
    <mergeCell ref="D3:E3"/>
    <mergeCell ref="F3:H3"/>
    <mergeCell ref="D5:G5"/>
    <mergeCell ref="D6:H6"/>
  </mergeCells>
  <conditionalFormatting sqref="E13:W13">
    <cfRule type="expression" dxfId="51" priority="2">
      <formula>ROUND(E$13,0) &gt;= ROUND(E$12,0)</formula>
    </cfRule>
  </conditionalFormatting>
  <conditionalFormatting sqref="E18:W18">
    <cfRule type="expression" dxfId="50" priority="3">
      <formula>ROUND(E$18,0) &lt; ROUND(E$12,0)</formula>
    </cfRule>
  </conditionalFormatting>
  <conditionalFormatting sqref="E21:W21">
    <cfRule type="expression" dxfId="49" priority="1">
      <formula>ROUND(E$21,0) &gt;= ROUND(E$20,0)</formula>
    </cfRule>
  </conditionalFormatting>
  <conditionalFormatting sqref="E26:W26">
    <cfRule type="expression" dxfId="48" priority="4">
      <formula>ROUND(E$26,0) &lt; ROUND(E$20,0)</formula>
    </cfRule>
  </conditionalFormatting>
  <pageMargins left="0.7" right="0.7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B40E4B-735B-43EA-9742-62372490754D}">
  <sheetPr>
    <tabColor rgb="FF00B050"/>
  </sheetPr>
  <dimension ref="A1:Y108"/>
  <sheetViews>
    <sheetView zoomScale="85" zoomScaleNormal="85" workbookViewId="0">
      <selection sqref="A1:C1"/>
    </sheetView>
  </sheetViews>
  <sheetFormatPr defaultColWidth="2.625" defaultRowHeight="15.75"/>
  <cols>
    <col min="1" max="1" width="1.375" style="2" customWidth="1"/>
    <col min="2" max="2" width="10.875" style="2" customWidth="1"/>
    <col min="3" max="3" width="15.625" style="2" customWidth="1"/>
    <col min="4" max="4" width="22.625" style="4" customWidth="1"/>
    <col min="5" max="8" width="7.625" style="4" customWidth="1"/>
    <col min="9" max="9" width="6.625" style="4" hidden="1" customWidth="1"/>
    <col min="10" max="21" width="7.625" style="4" customWidth="1"/>
    <col min="22" max="22" width="0.625" style="2" customWidth="1"/>
    <col min="23" max="24" width="5.875" style="2" customWidth="1"/>
    <col min="25" max="25" width="12.5" style="2" customWidth="1"/>
    <col min="26" max="26" width="2.625" style="2" customWidth="1"/>
    <col min="27" max="64" width="7.625" style="2" customWidth="1"/>
    <col min="65" max="16323" width="2.625" style="2"/>
    <col min="16324" max="16324" width="1.375" style="2" customWidth="1"/>
    <col min="16325" max="16325" width="2.625" style="2" customWidth="1"/>
    <col min="16326" max="16326" width="3.5" style="2" customWidth="1"/>
    <col min="16327" max="16327" width="1" style="2" customWidth="1"/>
    <col min="16328" max="16328" width="0.875" style="2" customWidth="1"/>
    <col min="16329" max="16329" width="2.375" style="2" customWidth="1"/>
    <col min="16330" max="16384" width="20.375" style="2" customWidth="1"/>
  </cols>
  <sheetData>
    <row r="1" spans="1:25" customFormat="1" ht="25.5" customHeight="1">
      <c r="A1" s="151" t="s">
        <v>77</v>
      </c>
      <c r="B1" s="152"/>
      <c r="C1" s="153"/>
      <c r="D1" s="154" t="s">
        <v>78</v>
      </c>
      <c r="E1" s="155"/>
      <c r="F1" s="155"/>
      <c r="G1" s="155"/>
      <c r="H1" s="156"/>
      <c r="I1" s="98"/>
      <c r="J1" s="88"/>
      <c r="K1" s="100"/>
      <c r="L1" s="100"/>
      <c r="M1" s="100"/>
      <c r="N1" s="100" t="s">
        <v>79</v>
      </c>
      <c r="O1" s="100"/>
      <c r="P1" s="100"/>
      <c r="Q1" s="100"/>
      <c r="R1" s="100"/>
      <c r="S1" s="100"/>
      <c r="T1" s="100"/>
      <c r="U1" s="100"/>
      <c r="V1" s="100"/>
      <c r="W1" s="100"/>
      <c r="X1" s="106"/>
      <c r="Y1" s="108"/>
    </row>
    <row r="2" spans="1:25" customFormat="1" ht="31.5" customHeight="1">
      <c r="A2" s="157" t="s">
        <v>80</v>
      </c>
      <c r="B2" s="157"/>
      <c r="C2" s="158"/>
      <c r="D2" s="217" t="str">
        <f>_xlfn.CONCAT("Study Name: ","
OSEP – ADHD - Paper")</f>
        <v>Study Name: 
OSEP – ADHD - Paper</v>
      </c>
      <c r="E2" s="218"/>
      <c r="F2" s="218"/>
      <c r="G2" s="218"/>
      <c r="H2" s="219"/>
      <c r="I2" s="4"/>
      <c r="J2" s="4"/>
      <c r="K2" s="162" t="s">
        <v>81</v>
      </c>
      <c r="L2" s="163"/>
      <c r="M2" s="163"/>
      <c r="N2" s="163"/>
      <c r="O2" s="163"/>
      <c r="P2" s="163"/>
      <c r="Q2" s="163"/>
      <c r="R2" s="163"/>
      <c r="S2" s="163"/>
      <c r="T2" s="163"/>
      <c r="U2" s="163"/>
      <c r="V2" s="163"/>
      <c r="W2" s="163"/>
      <c r="X2" s="164"/>
      <c r="Y2" s="103"/>
    </row>
    <row r="3" spans="1:25" customFormat="1" ht="30.75" customHeight="1" thickBot="1">
      <c r="A3" s="2"/>
      <c r="B3" s="2"/>
      <c r="C3" s="2"/>
      <c r="D3" s="169" t="str">
        <f>_xlfn.CONCAT("Study Acronym: ","
OSEP_ADHD_P")</f>
        <v>Study Acronym: 
OSEP_ADHD_P</v>
      </c>
      <c r="E3" s="170"/>
      <c r="F3" s="171" t="s">
        <v>279</v>
      </c>
      <c r="G3" s="172"/>
      <c r="H3" s="173"/>
      <c r="I3" s="4"/>
      <c r="J3" s="4"/>
      <c r="K3" s="165"/>
      <c r="L3" s="163"/>
      <c r="M3" s="163"/>
      <c r="N3" s="163"/>
      <c r="O3" s="163"/>
      <c r="P3" s="163"/>
      <c r="Q3" s="163"/>
      <c r="R3" s="163"/>
      <c r="S3" s="163"/>
      <c r="T3" s="163"/>
      <c r="U3" s="163"/>
      <c r="V3" s="163"/>
      <c r="W3" s="163"/>
      <c r="X3" s="164"/>
      <c r="Y3" s="103"/>
    </row>
    <row r="4" spans="1:25" customFormat="1" ht="16.5" customHeight="1">
      <c r="A4" s="2"/>
      <c r="B4" s="24"/>
      <c r="C4" s="2"/>
      <c r="D4" s="2"/>
      <c r="E4" s="25"/>
      <c r="F4" s="25"/>
      <c r="G4" s="25"/>
      <c r="H4" s="25"/>
      <c r="I4" s="25"/>
      <c r="J4" s="25"/>
      <c r="K4" s="165"/>
      <c r="L4" s="163"/>
      <c r="M4" s="163"/>
      <c r="N4" s="163"/>
      <c r="O4" s="163"/>
      <c r="P4" s="163"/>
      <c r="Q4" s="163"/>
      <c r="R4" s="163"/>
      <c r="S4" s="163"/>
      <c r="T4" s="163"/>
      <c r="U4" s="163"/>
      <c r="V4" s="163"/>
      <c r="W4" s="163"/>
      <c r="X4" s="164"/>
      <c r="Y4" s="104"/>
    </row>
    <row r="5" spans="1:25" customFormat="1" ht="21.95" customHeight="1" thickBot="1">
      <c r="A5" s="2"/>
      <c r="B5" s="2"/>
      <c r="C5" s="102"/>
      <c r="D5" s="154" t="s">
        <v>82</v>
      </c>
      <c r="E5" s="155"/>
      <c r="F5" s="155"/>
      <c r="G5" s="155"/>
      <c r="H5" s="101"/>
      <c r="I5" s="98"/>
      <c r="J5" s="98"/>
      <c r="K5" s="165"/>
      <c r="L5" s="163"/>
      <c r="M5" s="163"/>
      <c r="N5" s="163"/>
      <c r="O5" s="163"/>
      <c r="P5" s="163"/>
      <c r="Q5" s="163"/>
      <c r="R5" s="163"/>
      <c r="S5" s="163"/>
      <c r="T5" s="163"/>
      <c r="U5" s="163"/>
      <c r="V5" s="163"/>
      <c r="W5" s="163"/>
      <c r="X5" s="164"/>
      <c r="Y5" s="105"/>
    </row>
    <row r="6" spans="1:25" customFormat="1" ht="60.95" customHeight="1" thickBot="1">
      <c r="A6" s="2"/>
      <c r="B6" s="2"/>
      <c r="C6" s="99"/>
      <c r="D6" s="214" t="s">
        <v>101</v>
      </c>
      <c r="E6" s="215"/>
      <c r="F6" s="215"/>
      <c r="G6" s="215"/>
      <c r="H6" s="216"/>
      <c r="I6" s="124"/>
      <c r="J6" s="125"/>
      <c r="K6" s="166"/>
      <c r="L6" s="167"/>
      <c r="M6" s="167"/>
      <c r="N6" s="167"/>
      <c r="O6" s="167"/>
      <c r="P6" s="167"/>
      <c r="Q6" s="167"/>
      <c r="R6" s="167"/>
      <c r="S6" s="167"/>
      <c r="T6" s="167"/>
      <c r="U6" s="167"/>
      <c r="V6" s="167"/>
      <c r="W6" s="167"/>
      <c r="X6" s="168"/>
      <c r="Y6" s="107"/>
    </row>
    <row r="7" spans="1:25" customFormat="1" ht="16.5" customHeight="1" thickBot="1">
      <c r="A7" s="2"/>
      <c r="B7" s="3"/>
      <c r="C7" s="26"/>
      <c r="D7" s="27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8"/>
      <c r="W7" s="3"/>
      <c r="X7" s="3"/>
      <c r="Y7" s="2"/>
    </row>
    <row r="8" spans="1:25" customFormat="1">
      <c r="A8" s="2"/>
      <c r="B8" s="177" t="str">
        <f>_xlfn.CONCAT("Last Refreshed at: ",aurora_data!V1932)</f>
        <v>Last Refreshed at: 09/17/2026 @ 7:20 AM</v>
      </c>
      <c r="C8" s="178"/>
      <c r="D8" s="178"/>
      <c r="E8" s="179" t="s">
        <v>83</v>
      </c>
      <c r="F8" s="180"/>
      <c r="G8" s="180"/>
      <c r="H8" s="180"/>
      <c r="I8" s="180"/>
      <c r="J8" s="180"/>
      <c r="K8" s="180"/>
      <c r="L8" s="180"/>
      <c r="M8" s="180"/>
      <c r="N8" s="180"/>
      <c r="O8" s="180"/>
      <c r="P8" s="180"/>
      <c r="Q8" s="180"/>
      <c r="R8" s="180"/>
      <c r="S8" s="180"/>
      <c r="T8" s="180"/>
      <c r="U8" s="181"/>
      <c r="V8" s="44"/>
      <c r="W8" s="182" t="s">
        <v>84</v>
      </c>
      <c r="X8" s="183"/>
      <c r="Y8" s="2"/>
    </row>
    <row r="9" spans="1:25" customFormat="1" ht="16.5" customHeight="1" thickBot="1">
      <c r="A9" s="2"/>
      <c r="B9" s="188"/>
      <c r="C9" s="189"/>
      <c r="D9" s="29" t="s">
        <v>85</v>
      </c>
      <c r="E9" s="190" t="s">
        <v>86</v>
      </c>
      <c r="F9" s="191"/>
      <c r="G9" s="191"/>
      <c r="H9" s="191"/>
      <c r="I9" s="191"/>
      <c r="J9" s="192" t="s">
        <v>86</v>
      </c>
      <c r="K9" s="193"/>
      <c r="L9" s="193"/>
      <c r="M9" s="193"/>
      <c r="N9" s="193"/>
      <c r="O9" s="194" t="s">
        <v>86</v>
      </c>
      <c r="P9" s="195"/>
      <c r="Q9" s="195"/>
      <c r="R9" s="195"/>
      <c r="S9" s="196" t="s">
        <v>86</v>
      </c>
      <c r="T9" s="197"/>
      <c r="U9" s="197"/>
      <c r="V9" s="28"/>
      <c r="W9" s="184"/>
      <c r="X9" s="185"/>
      <c r="Y9" s="2"/>
    </row>
    <row r="10" spans="1:25" customFormat="1" ht="17.25" thickTop="1" thickBot="1">
      <c r="A10" s="2"/>
      <c r="B10" s="198" t="s">
        <v>87</v>
      </c>
      <c r="C10" s="30"/>
      <c r="D10" s="31"/>
      <c r="E10" s="199" t="s">
        <v>88</v>
      </c>
      <c r="F10" s="200"/>
      <c r="G10" s="200"/>
      <c r="H10" s="200"/>
      <c r="I10" s="201"/>
      <c r="J10" s="200" t="s">
        <v>89</v>
      </c>
      <c r="K10" s="200"/>
      <c r="L10" s="200"/>
      <c r="M10" s="200"/>
      <c r="N10" s="201"/>
      <c r="O10" s="202" t="s">
        <v>90</v>
      </c>
      <c r="P10" s="202"/>
      <c r="Q10" s="202"/>
      <c r="R10" s="202"/>
      <c r="S10" s="203" t="s">
        <v>91</v>
      </c>
      <c r="T10" s="204"/>
      <c r="U10" s="205"/>
      <c r="V10" s="32"/>
      <c r="W10" s="184"/>
      <c r="X10" s="185"/>
      <c r="Y10" s="2"/>
    </row>
    <row r="11" spans="1:25" customFormat="1" ht="17.25" thickTop="1" thickBot="1">
      <c r="A11" s="2"/>
      <c r="B11" s="198"/>
      <c r="C11" s="30" t="s">
        <v>35</v>
      </c>
      <c r="D11" s="33" t="s">
        <v>37</v>
      </c>
      <c r="E11" s="96">
        <v>1</v>
      </c>
      <c r="F11" s="94">
        <v>2</v>
      </c>
      <c r="G11" s="95" t="s">
        <v>40</v>
      </c>
      <c r="H11" s="95">
        <v>4</v>
      </c>
      <c r="I11" s="95">
        <v>5</v>
      </c>
      <c r="J11" s="89" t="s">
        <v>43</v>
      </c>
      <c r="K11" s="89" t="s">
        <v>44</v>
      </c>
      <c r="L11" s="89" t="s">
        <v>45</v>
      </c>
      <c r="M11" s="93" t="s">
        <v>92</v>
      </c>
      <c r="N11" s="93" t="s">
        <v>47</v>
      </c>
      <c r="O11" s="89" t="s">
        <v>48</v>
      </c>
      <c r="P11" s="89" t="s">
        <v>49</v>
      </c>
      <c r="Q11" s="89" t="s">
        <v>50</v>
      </c>
      <c r="R11" s="89" t="s">
        <v>51</v>
      </c>
      <c r="S11" s="90" t="s">
        <v>52</v>
      </c>
      <c r="T11" s="91" t="s">
        <v>53</v>
      </c>
      <c r="U11" s="92" t="s">
        <v>93</v>
      </c>
      <c r="V11" s="28"/>
      <c r="W11" s="186"/>
      <c r="X11" s="187"/>
      <c r="Y11" s="2"/>
    </row>
    <row r="12" spans="1:25" customFormat="1">
      <c r="A12" s="2"/>
      <c r="B12" s="210" t="s">
        <v>94</v>
      </c>
      <c r="C12" s="212" t="str">
        <f>aurora_data!A1932</f>
        <v>06.00.00-06.11.30</v>
      </c>
      <c r="D12" s="34" t="s">
        <v>71</v>
      </c>
      <c r="E12" s="39">
        <f>IFERROR(aurora_data!D1932,0)</f>
        <v>0</v>
      </c>
      <c r="F12" s="40">
        <f>IFERROR(aurora_data!E1932,0)</f>
        <v>0</v>
      </c>
      <c r="G12" s="40">
        <f>IFERROR(aurora_data!F1932,0)</f>
        <v>0</v>
      </c>
      <c r="H12" s="40">
        <f>IFERROR(aurora_data!G1932,0)</f>
        <v>0</v>
      </c>
      <c r="I12" s="41">
        <f>IFERROR(aurora_data!H1932,0)</f>
        <v>0</v>
      </c>
      <c r="J12" s="39">
        <f>IFERROR(aurora_data!I1932,0)</f>
        <v>0</v>
      </c>
      <c r="K12" s="40">
        <f>IFERROR(aurora_data!J1932,0)</f>
        <v>0</v>
      </c>
      <c r="L12" s="40">
        <f>IFERROR(aurora_data!K1932,0)</f>
        <v>0</v>
      </c>
      <c r="M12" s="40">
        <f>IFERROR(aurora_data!L1932,0)</f>
        <v>0</v>
      </c>
      <c r="N12" s="41">
        <f>IFERROR(aurora_data!M1932,0)</f>
        <v>0</v>
      </c>
      <c r="O12" s="39">
        <f>IFERROR(aurora_data!N1932,0)</f>
        <v>0</v>
      </c>
      <c r="P12" s="40">
        <f>IFERROR(aurora_data!O1932,0)</f>
        <v>0</v>
      </c>
      <c r="Q12" s="40">
        <f>IFERROR(aurora_data!P1932,0)</f>
        <v>0</v>
      </c>
      <c r="R12" s="41">
        <f>IFERROR(aurora_data!Q1932,0)</f>
        <v>0</v>
      </c>
      <c r="S12" s="40">
        <f>IFERROR(aurora_data!R1932,0)</f>
        <v>0</v>
      </c>
      <c r="T12" s="40">
        <f>IFERROR(aurora_data!S1932,0)</f>
        <v>0</v>
      </c>
      <c r="U12" s="76">
        <f>IFERROR(aurora_data!T1932,0)</f>
        <v>0</v>
      </c>
      <c r="V12" s="61" t="s">
        <v>95</v>
      </c>
      <c r="W12" s="39">
        <f>IFERROR(aurora_data!U1932,0)</f>
        <v>19</v>
      </c>
      <c r="X12" s="70">
        <f>IFERROR(W12/$W$12,0)</f>
        <v>1</v>
      </c>
      <c r="Y12" s="2"/>
    </row>
    <row r="13" spans="1:25" customFormat="1">
      <c r="A13" s="2"/>
      <c r="B13" s="211"/>
      <c r="C13" s="213"/>
      <c r="D13" s="35" t="s">
        <v>96</v>
      </c>
      <c r="E13" s="110">
        <f>IFERROR(aurora_data!D1933,0)</f>
        <v>0</v>
      </c>
      <c r="F13" s="62">
        <f>IFERROR(aurora_data!E1933,0)</f>
        <v>0</v>
      </c>
      <c r="G13" s="62">
        <f>IFERROR(aurora_data!F1933,0)</f>
        <v>2</v>
      </c>
      <c r="H13" s="62">
        <f>IFERROR(aurora_data!G1933,0)</f>
        <v>1</v>
      </c>
      <c r="I13" s="63">
        <f>IFERROR(aurora_data!H1933,0)</f>
        <v>0</v>
      </c>
      <c r="J13" s="36">
        <f>IFERROR(aurora_data!I1933,0)</f>
        <v>0</v>
      </c>
      <c r="K13" s="62">
        <f>IFERROR(aurora_data!J1933,0)</f>
        <v>1</v>
      </c>
      <c r="L13" s="62">
        <f>IFERROR(aurora_data!K1933,0)</f>
        <v>0</v>
      </c>
      <c r="M13" s="62">
        <f>IFERROR(aurora_data!L1933,0)</f>
        <v>1</v>
      </c>
      <c r="N13" s="63">
        <f>IFERROR(aurora_data!M1933,0)</f>
        <v>1</v>
      </c>
      <c r="O13" s="36">
        <f>IFERROR(aurora_data!N1933,0)</f>
        <v>1</v>
      </c>
      <c r="P13" s="62">
        <f>IFERROR(aurora_data!O1933,0)</f>
        <v>0</v>
      </c>
      <c r="Q13" s="62">
        <f>IFERROR(aurora_data!P1933,0)</f>
        <v>2</v>
      </c>
      <c r="R13" s="63">
        <f>IFERROR(aurora_data!Q1933,0)</f>
        <v>0</v>
      </c>
      <c r="S13" s="62">
        <f>IFERROR(aurora_data!R1933,0)</f>
        <v>0</v>
      </c>
      <c r="T13" s="62">
        <f>IFERROR(aurora_data!S1933,0)</f>
        <v>3</v>
      </c>
      <c r="U13" s="63">
        <f>IFERROR(aurora_data!T1933,0)</f>
        <v>0</v>
      </c>
      <c r="V13" s="64" t="s">
        <v>95</v>
      </c>
      <c r="W13" s="36">
        <f>IFERROR(aurora_data!U1933,0)</f>
        <v>3</v>
      </c>
      <c r="X13" s="71">
        <f t="shared" ref="X13:X19" si="0">IFERROR(W13/$W$12,0)</f>
        <v>0.15789473684210525</v>
      </c>
      <c r="Y13" s="2"/>
    </row>
    <row r="14" spans="1:25" customFormat="1">
      <c r="A14" s="2"/>
      <c r="B14" s="211"/>
      <c r="C14" s="213"/>
      <c r="D14" s="35" t="s">
        <v>60</v>
      </c>
      <c r="E14" s="110">
        <f>IFERROR(aurora_data!D1934,0)</f>
        <v>0</v>
      </c>
      <c r="F14" s="62">
        <f>IFERROR(aurora_data!E1934,0)</f>
        <v>0</v>
      </c>
      <c r="G14" s="62">
        <f>IFERROR(aurora_data!F1934,0)</f>
        <v>0</v>
      </c>
      <c r="H14" s="62">
        <f>IFERROR(aurora_data!G1934,0)</f>
        <v>0</v>
      </c>
      <c r="I14" s="63">
        <f>IFERROR(aurora_data!H1934,0)</f>
        <v>0</v>
      </c>
      <c r="J14" s="36">
        <f>IFERROR(aurora_data!I1934,0)</f>
        <v>0</v>
      </c>
      <c r="K14" s="62">
        <f>IFERROR(aurora_data!J1934,0)</f>
        <v>0</v>
      </c>
      <c r="L14" s="62">
        <f>IFERROR(aurora_data!K1934,0)</f>
        <v>0</v>
      </c>
      <c r="M14" s="62">
        <f>IFERROR(aurora_data!L1934,0)</f>
        <v>0</v>
      </c>
      <c r="N14" s="63">
        <f>IFERROR(aurora_data!M1934,0)</f>
        <v>0</v>
      </c>
      <c r="O14" s="36">
        <f>IFERROR(aurora_data!N1934,0)</f>
        <v>0</v>
      </c>
      <c r="P14" s="62">
        <f>IFERROR(aurora_data!O1934,0)</f>
        <v>0</v>
      </c>
      <c r="Q14" s="62">
        <f>IFERROR(aurora_data!P1934,0)</f>
        <v>0</v>
      </c>
      <c r="R14" s="63">
        <f>IFERROR(aurora_data!Q1934,0)</f>
        <v>0</v>
      </c>
      <c r="S14" s="62">
        <f>IFERROR(aurora_data!R1934,0)</f>
        <v>0</v>
      </c>
      <c r="T14" s="62">
        <f>IFERROR(aurora_data!S1934,0)</f>
        <v>0</v>
      </c>
      <c r="U14" s="63">
        <f>IFERROR(aurora_data!T1934,0)</f>
        <v>0</v>
      </c>
      <c r="V14" s="64" t="s">
        <v>95</v>
      </c>
      <c r="W14" s="36">
        <f>IFERROR(aurora_data!U1934,0)</f>
        <v>0</v>
      </c>
      <c r="X14" s="71">
        <f t="shared" si="0"/>
        <v>0</v>
      </c>
      <c r="Y14" s="2"/>
    </row>
    <row r="15" spans="1:25" customFormat="1">
      <c r="A15" s="2"/>
      <c r="B15" s="211"/>
      <c r="C15" s="213"/>
      <c r="D15" s="35" t="s">
        <v>97</v>
      </c>
      <c r="E15" s="36">
        <f>IFERROR(aurora_data!D1935,0)</f>
        <v>0</v>
      </c>
      <c r="F15" s="62">
        <f>IFERROR(aurora_data!E1935,0)</f>
        <v>0</v>
      </c>
      <c r="G15" s="62">
        <f>IFERROR(aurora_data!F1935,0)</f>
        <v>0</v>
      </c>
      <c r="H15" s="62">
        <f>IFERROR(aurora_data!G1935,0)</f>
        <v>0</v>
      </c>
      <c r="I15" s="63">
        <f>IFERROR(aurora_data!H1935,0)</f>
        <v>0</v>
      </c>
      <c r="J15" s="36">
        <f>IFERROR(aurora_data!I1935,0)</f>
        <v>0</v>
      </c>
      <c r="K15" s="62">
        <f>IFERROR(aurora_data!J1935,0)</f>
        <v>0</v>
      </c>
      <c r="L15" s="62">
        <f>IFERROR(aurora_data!K1935,0)</f>
        <v>0</v>
      </c>
      <c r="M15" s="62">
        <f>IFERROR(aurora_data!L1935,0)</f>
        <v>0</v>
      </c>
      <c r="N15" s="63">
        <f>IFERROR(aurora_data!M1935,0)</f>
        <v>0</v>
      </c>
      <c r="O15" s="36">
        <f>IFERROR(aurora_data!N1935,0)</f>
        <v>0</v>
      </c>
      <c r="P15" s="62">
        <f>IFERROR(aurora_data!O1935,0)</f>
        <v>0</v>
      </c>
      <c r="Q15" s="62">
        <f>IFERROR(aurora_data!P1935,0)</f>
        <v>0</v>
      </c>
      <c r="R15" s="63">
        <f>IFERROR(aurora_data!Q1935,0)</f>
        <v>0</v>
      </c>
      <c r="S15" s="62">
        <f>IFERROR(aurora_data!R1935,0)</f>
        <v>0</v>
      </c>
      <c r="T15" s="62">
        <f>IFERROR(aurora_data!S1935,0)</f>
        <v>0</v>
      </c>
      <c r="U15" s="63">
        <f>IFERROR(aurora_data!T1935,0)</f>
        <v>0</v>
      </c>
      <c r="V15" s="64" t="s">
        <v>95</v>
      </c>
      <c r="W15" s="36">
        <f>IFERROR(aurora_data!U1935,0)</f>
        <v>0</v>
      </c>
      <c r="X15" s="71">
        <f t="shared" si="0"/>
        <v>0</v>
      </c>
      <c r="Y15" s="2"/>
    </row>
    <row r="16" spans="1:25" customFormat="1">
      <c r="A16" s="2"/>
      <c r="B16" s="211"/>
      <c r="C16" s="213"/>
      <c r="D16" s="35" t="s">
        <v>98</v>
      </c>
      <c r="E16" s="36">
        <f>IFERROR(aurora_data!D1936,0)</f>
        <v>1</v>
      </c>
      <c r="F16" s="62">
        <f>IFERROR(aurora_data!E1936,0)</f>
        <v>0</v>
      </c>
      <c r="G16" s="62">
        <f>IFERROR(aurora_data!F1936,0)</f>
        <v>0</v>
      </c>
      <c r="H16" s="62">
        <f>IFERROR(aurora_data!G1936,0)</f>
        <v>0</v>
      </c>
      <c r="I16" s="63">
        <f>IFERROR(aurora_data!H1936,0)</f>
        <v>0</v>
      </c>
      <c r="J16" s="36">
        <f>IFERROR(aurora_data!I1936,0)</f>
        <v>0</v>
      </c>
      <c r="K16" s="62">
        <f>IFERROR(aurora_data!J1936,0)</f>
        <v>1</v>
      </c>
      <c r="L16" s="62">
        <f>IFERROR(aurora_data!K1936,0)</f>
        <v>0</v>
      </c>
      <c r="M16" s="62">
        <f>IFERROR(aurora_data!L1936,0)</f>
        <v>0</v>
      </c>
      <c r="N16" s="63">
        <f>IFERROR(aurora_data!M1936,0)</f>
        <v>0</v>
      </c>
      <c r="O16" s="36">
        <f>IFERROR(aurora_data!N1936,0)</f>
        <v>0</v>
      </c>
      <c r="P16" s="62">
        <f>IFERROR(aurora_data!O1936,0)</f>
        <v>0</v>
      </c>
      <c r="Q16" s="62">
        <f>IFERROR(aurora_data!P1936,0)</f>
        <v>1</v>
      </c>
      <c r="R16" s="63">
        <f>IFERROR(aurora_data!Q1936,0)</f>
        <v>0</v>
      </c>
      <c r="S16" s="62">
        <f>IFERROR(aurora_data!R1936,0)</f>
        <v>0</v>
      </c>
      <c r="T16" s="62">
        <f>IFERROR(aurora_data!S1936,0)</f>
        <v>1</v>
      </c>
      <c r="U16" s="63">
        <f>IFERROR(aurora_data!T1936,0)</f>
        <v>0</v>
      </c>
      <c r="V16" s="64" t="s">
        <v>95</v>
      </c>
      <c r="W16" s="36">
        <f>IFERROR(aurora_data!U1936,0)</f>
        <v>1</v>
      </c>
      <c r="X16" s="71">
        <f t="shared" si="0"/>
        <v>5.2631578947368418E-2</v>
      </c>
      <c r="Y16" s="2"/>
    </row>
    <row r="17" spans="1:25" customFormat="1" ht="16.5" thickBot="1">
      <c r="A17" s="2"/>
      <c r="B17" s="211"/>
      <c r="C17" s="213"/>
      <c r="D17" s="35" t="s">
        <v>99</v>
      </c>
      <c r="E17" s="36">
        <f>IFERROR(aurora_data!D1937,0)</f>
        <v>0</v>
      </c>
      <c r="F17" s="62">
        <f>IFERROR(aurora_data!E1937,0)</f>
        <v>0</v>
      </c>
      <c r="G17" s="62">
        <f>IFERROR(aurora_data!F1937,0)</f>
        <v>0</v>
      </c>
      <c r="H17" s="62">
        <f>IFERROR(aurora_data!G1937,0)</f>
        <v>0</v>
      </c>
      <c r="I17" s="63">
        <f>IFERROR(aurora_data!H1937,0)</f>
        <v>0</v>
      </c>
      <c r="J17" s="36">
        <f>IFERROR(aurora_data!I1937,0)</f>
        <v>0</v>
      </c>
      <c r="K17" s="62">
        <f>IFERROR(aurora_data!J1937,0)</f>
        <v>0</v>
      </c>
      <c r="L17" s="62">
        <f>IFERROR(aurora_data!K1937,0)</f>
        <v>0</v>
      </c>
      <c r="M17" s="62">
        <f>IFERROR(aurora_data!L1937,0)</f>
        <v>0</v>
      </c>
      <c r="N17" s="63">
        <f>IFERROR(aurora_data!M1937,0)</f>
        <v>0</v>
      </c>
      <c r="O17" s="36">
        <f>IFERROR(aurora_data!N1937,0)</f>
        <v>0</v>
      </c>
      <c r="P17" s="62">
        <f>IFERROR(aurora_data!O1937,0)</f>
        <v>0</v>
      </c>
      <c r="Q17" s="62">
        <f>IFERROR(aurora_data!P1937,0)</f>
        <v>0</v>
      </c>
      <c r="R17" s="63">
        <f>IFERROR(aurora_data!Q1937,0)</f>
        <v>0</v>
      </c>
      <c r="S17" s="62">
        <f>IFERROR(aurora_data!R1937,0)</f>
        <v>0</v>
      </c>
      <c r="T17" s="62">
        <f>IFERROR(aurora_data!S1937,0)</f>
        <v>0</v>
      </c>
      <c r="U17" s="63">
        <f>IFERROR(aurora_data!T1937,0)</f>
        <v>0</v>
      </c>
      <c r="V17" s="64" t="s">
        <v>95</v>
      </c>
      <c r="W17" s="36">
        <f>IFERROR(aurora_data!U1937,0)</f>
        <v>0</v>
      </c>
      <c r="X17" s="71">
        <f t="shared" si="0"/>
        <v>0</v>
      </c>
      <c r="Y17" s="2"/>
    </row>
    <row r="18" spans="1:25" customFormat="1" ht="16.5" thickBot="1">
      <c r="A18" s="2"/>
      <c r="B18" s="211"/>
      <c r="C18" s="213"/>
      <c r="D18" s="37" t="s">
        <v>64</v>
      </c>
      <c r="E18" s="59">
        <f>IFERROR(aurora_data!D1938,0)</f>
        <v>1</v>
      </c>
      <c r="F18" s="65">
        <f>IFERROR(aurora_data!E1938,0)</f>
        <v>0</v>
      </c>
      <c r="G18" s="65">
        <f>IFERROR(aurora_data!F1938,0)</f>
        <v>2</v>
      </c>
      <c r="H18" s="65">
        <f>IFERROR(aurora_data!G1938,0)</f>
        <v>1</v>
      </c>
      <c r="I18" s="66">
        <f>IFERROR(aurora_data!H1938,0)</f>
        <v>0</v>
      </c>
      <c r="J18" s="59">
        <f>IFERROR(aurora_data!I1938,0)</f>
        <v>0</v>
      </c>
      <c r="K18" s="65">
        <f>IFERROR(aurora_data!J1938,0)</f>
        <v>2</v>
      </c>
      <c r="L18" s="65">
        <f>IFERROR(aurora_data!K1938,0)</f>
        <v>0</v>
      </c>
      <c r="M18" s="65">
        <f>IFERROR(aurora_data!L1938,0)</f>
        <v>1</v>
      </c>
      <c r="N18" s="66">
        <f>IFERROR(aurora_data!M1938,0)</f>
        <v>1</v>
      </c>
      <c r="O18" s="59">
        <f>IFERROR(aurora_data!N1938,0)</f>
        <v>1</v>
      </c>
      <c r="P18" s="65">
        <f>IFERROR(aurora_data!O1938,0)</f>
        <v>0</v>
      </c>
      <c r="Q18" s="65">
        <f>IFERROR(aurora_data!P1938,0)</f>
        <v>3</v>
      </c>
      <c r="R18" s="66">
        <f>IFERROR(aurora_data!Q1938,0)</f>
        <v>0</v>
      </c>
      <c r="S18" s="65">
        <f>IFERROR(aurora_data!R1938,0)</f>
        <v>0</v>
      </c>
      <c r="T18" s="65">
        <f>IFERROR(aurora_data!S1938,0)</f>
        <v>4</v>
      </c>
      <c r="U18" s="66">
        <f>IFERROR(aurora_data!T1938,0)</f>
        <v>0</v>
      </c>
      <c r="V18" s="67" t="s">
        <v>95</v>
      </c>
      <c r="W18" s="59">
        <f>IFERROR(aurora_data!U1938,0)</f>
        <v>4</v>
      </c>
      <c r="X18" s="72">
        <f t="shared" si="0"/>
        <v>0.21052631578947367</v>
      </c>
      <c r="Y18" s="2"/>
    </row>
    <row r="19" spans="1:25" customFormat="1" ht="16.5" thickBot="1">
      <c r="A19" s="2"/>
      <c r="B19" s="211"/>
      <c r="C19" s="213"/>
      <c r="D19" s="38" t="s">
        <v>100</v>
      </c>
      <c r="E19" s="60">
        <f>IFERROR(aurora_data!D1939,0)</f>
        <v>0</v>
      </c>
      <c r="F19" s="68">
        <f>IFERROR(aurora_data!E1939,0)</f>
        <v>0</v>
      </c>
      <c r="G19" s="68">
        <f>IFERROR(aurora_data!F1939,0)</f>
        <v>0</v>
      </c>
      <c r="H19" s="68">
        <f>IFERROR(aurora_data!G1939,0)</f>
        <v>0</v>
      </c>
      <c r="I19" s="69">
        <f>IFERROR(aurora_data!H1939,0)</f>
        <v>0</v>
      </c>
      <c r="J19" s="60">
        <f>IFERROR(aurora_data!I1939,0)</f>
        <v>0</v>
      </c>
      <c r="K19" s="68">
        <f>IFERROR(aurora_data!J1939,0)</f>
        <v>0</v>
      </c>
      <c r="L19" s="68">
        <f>IFERROR(aurora_data!K1939,0)</f>
        <v>0</v>
      </c>
      <c r="M19" s="68">
        <f>IFERROR(aurora_data!L1939,0)</f>
        <v>0</v>
      </c>
      <c r="N19" s="69">
        <f>IFERROR(aurora_data!M1939,0)</f>
        <v>0</v>
      </c>
      <c r="O19" s="60">
        <f>IFERROR(aurora_data!N1939,0)</f>
        <v>0</v>
      </c>
      <c r="P19" s="68">
        <f>IFERROR(aurora_data!O1939,0)</f>
        <v>0</v>
      </c>
      <c r="Q19" s="68">
        <f>IFERROR(aurora_data!P1939,0)</f>
        <v>0</v>
      </c>
      <c r="R19" s="69">
        <f>IFERROR(aurora_data!Q1939,0)</f>
        <v>0</v>
      </c>
      <c r="S19" s="68">
        <f>IFERROR(aurora_data!R1939,0)</f>
        <v>0</v>
      </c>
      <c r="T19" s="68">
        <f>IFERROR(aurora_data!S1939,0)</f>
        <v>0</v>
      </c>
      <c r="U19" s="74">
        <f>IFERROR(aurora_data!T1939,0)</f>
        <v>0</v>
      </c>
      <c r="V19" s="75" t="s">
        <v>95</v>
      </c>
      <c r="W19" s="60">
        <f>IFERROR(aurora_data!U1939,0)</f>
        <v>0</v>
      </c>
      <c r="X19" s="73">
        <f t="shared" si="0"/>
        <v>0</v>
      </c>
      <c r="Y19" s="2"/>
    </row>
    <row r="20" spans="1:25" customFormat="1">
      <c r="A20" s="2"/>
      <c r="B20" s="210" t="s">
        <v>94</v>
      </c>
      <c r="C20" s="212" t="str">
        <f>aurora_data!A1940</f>
        <v>07.00.00-07.11.30</v>
      </c>
      <c r="D20" s="34" t="s">
        <v>71</v>
      </c>
      <c r="E20" s="39">
        <f>IFERROR(aurora_data!D1940,0)</f>
        <v>0</v>
      </c>
      <c r="F20" s="40">
        <f>IFERROR(aurora_data!E1940,0)</f>
        <v>0</v>
      </c>
      <c r="G20" s="40">
        <f>IFERROR(aurora_data!F1940,0)</f>
        <v>0</v>
      </c>
      <c r="H20" s="40">
        <f>IFERROR(aurora_data!G1940,0)</f>
        <v>0</v>
      </c>
      <c r="I20" s="41">
        <f>IFERROR(aurora_data!H1940,0)</f>
        <v>0</v>
      </c>
      <c r="J20" s="39">
        <f>IFERROR(aurora_data!I1940,0)</f>
        <v>0</v>
      </c>
      <c r="K20" s="40">
        <f>IFERROR(aurora_data!J1940,0)</f>
        <v>0</v>
      </c>
      <c r="L20" s="40">
        <f>IFERROR(aurora_data!K1940,0)</f>
        <v>0</v>
      </c>
      <c r="M20" s="40">
        <f>IFERROR(aurora_data!L1940,0)</f>
        <v>0</v>
      </c>
      <c r="N20" s="41">
        <f>IFERROR(aurora_data!M1940,0)</f>
        <v>0</v>
      </c>
      <c r="O20" s="39">
        <f>IFERROR(aurora_data!N1940,0)</f>
        <v>0</v>
      </c>
      <c r="P20" s="40">
        <f>IFERROR(aurora_data!O1940,0)</f>
        <v>0</v>
      </c>
      <c r="Q20" s="40">
        <f>IFERROR(aurora_data!P1940,0)</f>
        <v>0</v>
      </c>
      <c r="R20" s="41">
        <f>IFERROR(aurora_data!Q1940,0)</f>
        <v>0</v>
      </c>
      <c r="S20" s="40">
        <f>IFERROR(aurora_data!R1940,0)</f>
        <v>0</v>
      </c>
      <c r="T20" s="40">
        <f>IFERROR(aurora_data!S1940,0)</f>
        <v>0</v>
      </c>
      <c r="U20" s="76">
        <f>IFERROR(aurora_data!T1940,0)</f>
        <v>0</v>
      </c>
      <c r="V20" s="61" t="s">
        <v>95</v>
      </c>
      <c r="W20" s="39">
        <f>IFERROR(aurora_data!U1940,0)</f>
        <v>20</v>
      </c>
      <c r="X20" s="70">
        <f>IFERROR(W20/$W$12,0)</f>
        <v>1.0526315789473684</v>
      </c>
      <c r="Y20" s="2"/>
    </row>
    <row r="21" spans="1:25" customFormat="1">
      <c r="A21" s="2"/>
      <c r="B21" s="211"/>
      <c r="C21" s="213"/>
      <c r="D21" s="35" t="s">
        <v>96</v>
      </c>
      <c r="E21" s="110">
        <f>IFERROR(aurora_data!D1941,0)</f>
        <v>0</v>
      </c>
      <c r="F21" s="62">
        <f>IFERROR(aurora_data!E1941,0)</f>
        <v>1</v>
      </c>
      <c r="G21" s="62">
        <f>IFERROR(aurora_data!F1941,0)</f>
        <v>0</v>
      </c>
      <c r="H21" s="62">
        <f>IFERROR(aurora_data!G1941,0)</f>
        <v>4</v>
      </c>
      <c r="I21" s="63">
        <f>IFERROR(aurora_data!H1941,0)</f>
        <v>1</v>
      </c>
      <c r="J21" s="36">
        <f>IFERROR(aurora_data!I1941,0)</f>
        <v>0</v>
      </c>
      <c r="K21" s="62">
        <f>IFERROR(aurora_data!J1941,0)</f>
        <v>0</v>
      </c>
      <c r="L21" s="62">
        <f>IFERROR(aurora_data!K1941,0)</f>
        <v>2</v>
      </c>
      <c r="M21" s="62">
        <f>IFERROR(aurora_data!L1941,0)</f>
        <v>2</v>
      </c>
      <c r="N21" s="63">
        <f>IFERROR(aurora_data!M1941,0)</f>
        <v>2</v>
      </c>
      <c r="O21" s="36">
        <f>IFERROR(aurora_data!N1941,0)</f>
        <v>2</v>
      </c>
      <c r="P21" s="62">
        <f>IFERROR(aurora_data!O1941,0)</f>
        <v>0</v>
      </c>
      <c r="Q21" s="62">
        <f>IFERROR(aurora_data!P1941,0)</f>
        <v>3</v>
      </c>
      <c r="R21" s="63">
        <f>IFERROR(aurora_data!Q1941,0)</f>
        <v>1</v>
      </c>
      <c r="S21" s="62">
        <f>IFERROR(aurora_data!R1941,0)</f>
        <v>1</v>
      </c>
      <c r="T21" s="62">
        <f>IFERROR(aurora_data!S1941,0)</f>
        <v>5</v>
      </c>
      <c r="U21" s="63">
        <f>IFERROR(aurora_data!T1941,0)</f>
        <v>0</v>
      </c>
      <c r="V21" s="64" t="s">
        <v>95</v>
      </c>
      <c r="W21" s="36">
        <f>IFERROR(aurora_data!U1941,0)</f>
        <v>6</v>
      </c>
      <c r="X21" s="71">
        <f t="shared" ref="X21:X27" si="1">IFERROR(W21/$W$12,0)</f>
        <v>0.31578947368421051</v>
      </c>
      <c r="Y21" s="2"/>
    </row>
    <row r="22" spans="1:25" customFormat="1">
      <c r="A22" s="2"/>
      <c r="B22" s="211"/>
      <c r="C22" s="213"/>
      <c r="D22" s="35" t="s">
        <v>60</v>
      </c>
      <c r="E22" s="110">
        <f>IFERROR(aurora_data!D1942,0)</f>
        <v>0</v>
      </c>
      <c r="F22" s="62">
        <f>IFERROR(aurora_data!E1942,0)</f>
        <v>0</v>
      </c>
      <c r="G22" s="62">
        <f>IFERROR(aurora_data!F1942,0)</f>
        <v>0</v>
      </c>
      <c r="H22" s="62">
        <f>IFERROR(aurora_data!G1942,0)</f>
        <v>0</v>
      </c>
      <c r="I22" s="63">
        <f>IFERROR(aurora_data!H1942,0)</f>
        <v>0</v>
      </c>
      <c r="J22" s="36">
        <f>IFERROR(aurora_data!I1942,0)</f>
        <v>0</v>
      </c>
      <c r="K22" s="62">
        <f>IFERROR(aurora_data!J1942,0)</f>
        <v>0</v>
      </c>
      <c r="L22" s="62">
        <f>IFERROR(aurora_data!K1942,0)</f>
        <v>0</v>
      </c>
      <c r="M22" s="62">
        <f>IFERROR(aurora_data!L1942,0)</f>
        <v>0</v>
      </c>
      <c r="N22" s="63">
        <f>IFERROR(aurora_data!M1942,0)</f>
        <v>0</v>
      </c>
      <c r="O22" s="36">
        <f>IFERROR(aurora_data!N1942,0)</f>
        <v>0</v>
      </c>
      <c r="P22" s="62">
        <f>IFERROR(aurora_data!O1942,0)</f>
        <v>0</v>
      </c>
      <c r="Q22" s="62">
        <f>IFERROR(aurora_data!P1942,0)</f>
        <v>0</v>
      </c>
      <c r="R22" s="63">
        <f>IFERROR(aurora_data!Q1942,0)</f>
        <v>0</v>
      </c>
      <c r="S22" s="62">
        <f>IFERROR(aurora_data!R1942,0)</f>
        <v>0</v>
      </c>
      <c r="T22" s="62">
        <f>IFERROR(aurora_data!S1942,0)</f>
        <v>0</v>
      </c>
      <c r="U22" s="63">
        <f>IFERROR(aurora_data!T1942,0)</f>
        <v>0</v>
      </c>
      <c r="V22" s="64" t="s">
        <v>95</v>
      </c>
      <c r="W22" s="36">
        <f>IFERROR(aurora_data!U1942,0)</f>
        <v>0</v>
      </c>
      <c r="X22" s="71">
        <f t="shared" si="1"/>
        <v>0</v>
      </c>
      <c r="Y22" s="2"/>
    </row>
    <row r="23" spans="1:25" customFormat="1">
      <c r="A23" s="2"/>
      <c r="B23" s="211"/>
      <c r="C23" s="213"/>
      <c r="D23" s="35" t="s">
        <v>97</v>
      </c>
      <c r="E23" s="36">
        <f>IFERROR(aurora_data!D1943,0)</f>
        <v>0</v>
      </c>
      <c r="F23" s="62">
        <f>IFERROR(aurora_data!E1943,0)</f>
        <v>0</v>
      </c>
      <c r="G23" s="62">
        <f>IFERROR(aurora_data!F1943,0)</f>
        <v>0</v>
      </c>
      <c r="H23" s="62">
        <f>IFERROR(aurora_data!G1943,0)</f>
        <v>0</v>
      </c>
      <c r="I23" s="63">
        <f>IFERROR(aurora_data!H1943,0)</f>
        <v>0</v>
      </c>
      <c r="J23" s="36">
        <f>IFERROR(aurora_data!I1943,0)</f>
        <v>0</v>
      </c>
      <c r="K23" s="62">
        <f>IFERROR(aurora_data!J1943,0)</f>
        <v>0</v>
      </c>
      <c r="L23" s="62">
        <f>IFERROR(aurora_data!K1943,0)</f>
        <v>0</v>
      </c>
      <c r="M23" s="62">
        <f>IFERROR(aurora_data!L1943,0)</f>
        <v>0</v>
      </c>
      <c r="N23" s="63">
        <f>IFERROR(aurora_data!M1943,0)</f>
        <v>0</v>
      </c>
      <c r="O23" s="36">
        <f>IFERROR(aurora_data!N1943,0)</f>
        <v>0</v>
      </c>
      <c r="P23" s="62">
        <f>IFERROR(aurora_data!O1943,0)</f>
        <v>0</v>
      </c>
      <c r="Q23" s="62">
        <f>IFERROR(aurora_data!P1943,0)</f>
        <v>0</v>
      </c>
      <c r="R23" s="63">
        <f>IFERROR(aurora_data!Q1943,0)</f>
        <v>0</v>
      </c>
      <c r="S23" s="62">
        <f>IFERROR(aurora_data!R1943,0)</f>
        <v>0</v>
      </c>
      <c r="T23" s="62">
        <f>IFERROR(aurora_data!S1943,0)</f>
        <v>0</v>
      </c>
      <c r="U23" s="63">
        <f>IFERROR(aurora_data!T1943,0)</f>
        <v>0</v>
      </c>
      <c r="V23" s="64" t="s">
        <v>95</v>
      </c>
      <c r="W23" s="36">
        <f>IFERROR(aurora_data!U1943,0)</f>
        <v>0</v>
      </c>
      <c r="X23" s="71">
        <f t="shared" si="1"/>
        <v>0</v>
      </c>
      <c r="Y23" s="2"/>
    </row>
    <row r="24" spans="1:25" customFormat="1">
      <c r="A24" s="2"/>
      <c r="B24" s="211"/>
      <c r="C24" s="213"/>
      <c r="D24" s="35" t="s">
        <v>98</v>
      </c>
      <c r="E24" s="36">
        <f>IFERROR(aurora_data!D1944,0)</f>
        <v>1</v>
      </c>
      <c r="F24" s="62">
        <f>IFERROR(aurora_data!E1944,0)</f>
        <v>0</v>
      </c>
      <c r="G24" s="62">
        <f>IFERROR(aurora_data!F1944,0)</f>
        <v>1</v>
      </c>
      <c r="H24" s="62">
        <f>IFERROR(aurora_data!G1944,0)</f>
        <v>1</v>
      </c>
      <c r="I24" s="63">
        <f>IFERROR(aurora_data!H1944,0)</f>
        <v>0</v>
      </c>
      <c r="J24" s="36">
        <f>IFERROR(aurora_data!I1944,0)</f>
        <v>0</v>
      </c>
      <c r="K24" s="62">
        <f>IFERROR(aurora_data!J1944,0)</f>
        <v>0</v>
      </c>
      <c r="L24" s="62">
        <f>IFERROR(aurora_data!K1944,0)</f>
        <v>1</v>
      </c>
      <c r="M24" s="62">
        <f>IFERROR(aurora_data!L1944,0)</f>
        <v>1</v>
      </c>
      <c r="N24" s="63">
        <f>IFERROR(aurora_data!M1944,0)</f>
        <v>1</v>
      </c>
      <c r="O24" s="36">
        <f>IFERROR(aurora_data!N1944,0)</f>
        <v>1</v>
      </c>
      <c r="P24" s="62">
        <f>IFERROR(aurora_data!O1944,0)</f>
        <v>0</v>
      </c>
      <c r="Q24" s="62">
        <f>IFERROR(aurora_data!P1944,0)</f>
        <v>1</v>
      </c>
      <c r="R24" s="63">
        <f>IFERROR(aurora_data!Q1944,0)</f>
        <v>1</v>
      </c>
      <c r="S24" s="62">
        <f>IFERROR(aurora_data!R1944,0)</f>
        <v>2</v>
      </c>
      <c r="T24" s="62">
        <f>IFERROR(aurora_data!S1944,0)</f>
        <v>1</v>
      </c>
      <c r="U24" s="63">
        <f>IFERROR(aurora_data!T1944,0)</f>
        <v>0</v>
      </c>
      <c r="V24" s="64" t="s">
        <v>95</v>
      </c>
      <c r="W24" s="36">
        <f>IFERROR(aurora_data!U1944,0)</f>
        <v>3</v>
      </c>
      <c r="X24" s="71">
        <f t="shared" si="1"/>
        <v>0.15789473684210525</v>
      </c>
      <c r="Y24" s="2"/>
    </row>
    <row r="25" spans="1:25" customFormat="1" ht="16.5" thickBot="1">
      <c r="A25" s="2"/>
      <c r="B25" s="211"/>
      <c r="C25" s="213"/>
      <c r="D25" s="35" t="s">
        <v>99</v>
      </c>
      <c r="E25" s="36">
        <f>IFERROR(aurora_data!D1945,0)</f>
        <v>0</v>
      </c>
      <c r="F25" s="62">
        <f>IFERROR(aurora_data!E1945,0)</f>
        <v>0</v>
      </c>
      <c r="G25" s="62">
        <f>IFERROR(aurora_data!F1945,0)</f>
        <v>0</v>
      </c>
      <c r="H25" s="62">
        <f>IFERROR(aurora_data!G1945,0)</f>
        <v>0</v>
      </c>
      <c r="I25" s="63">
        <f>IFERROR(aurora_data!H1945,0)</f>
        <v>0</v>
      </c>
      <c r="J25" s="36">
        <f>IFERROR(aurora_data!I1945,0)</f>
        <v>0</v>
      </c>
      <c r="K25" s="62">
        <f>IFERROR(aurora_data!J1945,0)</f>
        <v>0</v>
      </c>
      <c r="L25" s="62">
        <f>IFERROR(aurora_data!K1945,0)</f>
        <v>0</v>
      </c>
      <c r="M25" s="62">
        <f>IFERROR(aurora_data!L1945,0)</f>
        <v>0</v>
      </c>
      <c r="N25" s="63">
        <f>IFERROR(aurora_data!M1945,0)</f>
        <v>0</v>
      </c>
      <c r="O25" s="36">
        <f>IFERROR(aurora_data!N1945,0)</f>
        <v>0</v>
      </c>
      <c r="P25" s="62">
        <f>IFERROR(aurora_data!O1945,0)</f>
        <v>0</v>
      </c>
      <c r="Q25" s="62">
        <f>IFERROR(aurora_data!P1945,0)</f>
        <v>0</v>
      </c>
      <c r="R25" s="63">
        <f>IFERROR(aurora_data!Q1945,0)</f>
        <v>0</v>
      </c>
      <c r="S25" s="62">
        <f>IFERROR(aurora_data!R1945,0)</f>
        <v>0</v>
      </c>
      <c r="T25" s="62">
        <f>IFERROR(aurora_data!S1945,0)</f>
        <v>0</v>
      </c>
      <c r="U25" s="63">
        <f>IFERROR(aurora_data!T1945,0)</f>
        <v>0</v>
      </c>
      <c r="V25" s="64" t="s">
        <v>95</v>
      </c>
      <c r="W25" s="36">
        <f>IFERROR(aurora_data!U1945,0)</f>
        <v>0</v>
      </c>
      <c r="X25" s="71">
        <f t="shared" si="1"/>
        <v>0</v>
      </c>
      <c r="Y25" s="2"/>
    </row>
    <row r="26" spans="1:25" customFormat="1" ht="16.5" thickBot="1">
      <c r="A26" s="2"/>
      <c r="B26" s="211"/>
      <c r="C26" s="213"/>
      <c r="D26" s="37" t="s">
        <v>64</v>
      </c>
      <c r="E26" s="59">
        <f>IFERROR(aurora_data!D1946,0)</f>
        <v>1</v>
      </c>
      <c r="F26" s="65">
        <f>IFERROR(aurora_data!E1946,0)</f>
        <v>1</v>
      </c>
      <c r="G26" s="65">
        <f>IFERROR(aurora_data!F1946,0)</f>
        <v>1</v>
      </c>
      <c r="H26" s="65">
        <f>IFERROR(aurora_data!G1946,0)</f>
        <v>5</v>
      </c>
      <c r="I26" s="66">
        <f>IFERROR(aurora_data!H1946,0)</f>
        <v>1</v>
      </c>
      <c r="J26" s="59">
        <f>IFERROR(aurora_data!I1946,0)</f>
        <v>0</v>
      </c>
      <c r="K26" s="65">
        <f>IFERROR(aurora_data!J1946,0)</f>
        <v>0</v>
      </c>
      <c r="L26" s="65">
        <f>IFERROR(aurora_data!K1946,0)</f>
        <v>3</v>
      </c>
      <c r="M26" s="65">
        <f>IFERROR(aurora_data!L1946,0)</f>
        <v>3</v>
      </c>
      <c r="N26" s="66">
        <f>IFERROR(aurora_data!M1946,0)</f>
        <v>3</v>
      </c>
      <c r="O26" s="59">
        <f>IFERROR(aurora_data!N1946,0)</f>
        <v>3</v>
      </c>
      <c r="P26" s="65">
        <f>IFERROR(aurora_data!O1946,0)</f>
        <v>0</v>
      </c>
      <c r="Q26" s="65">
        <f>IFERROR(aurora_data!P1946,0)</f>
        <v>4</v>
      </c>
      <c r="R26" s="66">
        <f>IFERROR(aurora_data!Q1946,0)</f>
        <v>2</v>
      </c>
      <c r="S26" s="65">
        <f>IFERROR(aurora_data!R1946,0)</f>
        <v>3</v>
      </c>
      <c r="T26" s="65">
        <f>IFERROR(aurora_data!S1946,0)</f>
        <v>6</v>
      </c>
      <c r="U26" s="66">
        <f>IFERROR(aurora_data!T1946,0)</f>
        <v>0</v>
      </c>
      <c r="V26" s="67" t="s">
        <v>95</v>
      </c>
      <c r="W26" s="59">
        <f>IFERROR(aurora_data!U1946,0)</f>
        <v>9</v>
      </c>
      <c r="X26" s="72">
        <f t="shared" si="1"/>
        <v>0.47368421052631576</v>
      </c>
      <c r="Y26" s="2"/>
    </row>
    <row r="27" spans="1:25" customFormat="1" ht="16.5" thickBot="1">
      <c r="A27" s="2"/>
      <c r="B27" s="211"/>
      <c r="C27" s="213"/>
      <c r="D27" s="38" t="s">
        <v>100</v>
      </c>
      <c r="E27" s="60">
        <f>IFERROR(aurora_data!D1947,0)</f>
        <v>0</v>
      </c>
      <c r="F27" s="68">
        <f>IFERROR(aurora_data!E1947,0)</f>
        <v>0</v>
      </c>
      <c r="G27" s="68">
        <f>IFERROR(aurora_data!F1947,0)</f>
        <v>0</v>
      </c>
      <c r="H27" s="68">
        <f>IFERROR(aurora_data!G1947,0)</f>
        <v>0</v>
      </c>
      <c r="I27" s="69">
        <f>IFERROR(aurora_data!H1947,0)</f>
        <v>0</v>
      </c>
      <c r="J27" s="60">
        <f>IFERROR(aurora_data!I1947,0)</f>
        <v>0</v>
      </c>
      <c r="K27" s="68">
        <f>IFERROR(aurora_data!J1947,0)</f>
        <v>0</v>
      </c>
      <c r="L27" s="68">
        <f>IFERROR(aurora_data!K1947,0)</f>
        <v>0</v>
      </c>
      <c r="M27" s="68">
        <f>IFERROR(aurora_data!L1947,0)</f>
        <v>0</v>
      </c>
      <c r="N27" s="69">
        <f>IFERROR(aurora_data!M1947,0)</f>
        <v>0</v>
      </c>
      <c r="O27" s="60">
        <f>IFERROR(aurora_data!N1947,0)</f>
        <v>0</v>
      </c>
      <c r="P27" s="68">
        <f>IFERROR(aurora_data!O1947,0)</f>
        <v>0</v>
      </c>
      <c r="Q27" s="68">
        <f>IFERROR(aurora_data!P1947,0)</f>
        <v>0</v>
      </c>
      <c r="R27" s="69">
        <f>IFERROR(aurora_data!Q1947,0)</f>
        <v>0</v>
      </c>
      <c r="S27" s="68">
        <f>IFERROR(aurora_data!R1947,0)</f>
        <v>0</v>
      </c>
      <c r="T27" s="68">
        <f>IFERROR(aurora_data!S1947,0)</f>
        <v>0</v>
      </c>
      <c r="U27" s="74">
        <f>IFERROR(aurora_data!T1947,0)</f>
        <v>0</v>
      </c>
      <c r="V27" s="75" t="s">
        <v>95</v>
      </c>
      <c r="W27" s="60">
        <f>IFERROR(aurora_data!U1947,0)</f>
        <v>0</v>
      </c>
      <c r="X27" s="73">
        <f t="shared" si="1"/>
        <v>0</v>
      </c>
      <c r="Y27" s="2"/>
    </row>
    <row r="28" spans="1:25" customFormat="1">
      <c r="A28" s="2"/>
      <c r="B28" s="210" t="s">
        <v>94</v>
      </c>
      <c r="C28" s="212" t="str">
        <f>aurora_data!A1948</f>
        <v>08.00.00-08.11.30</v>
      </c>
      <c r="D28" s="34" t="s">
        <v>71</v>
      </c>
      <c r="E28" s="39">
        <f>IFERROR(aurora_data!D1948,0)</f>
        <v>0</v>
      </c>
      <c r="F28" s="40">
        <f>IFERROR(aurora_data!E1948,0)</f>
        <v>0</v>
      </c>
      <c r="G28" s="40">
        <f>IFERROR(aurora_data!F1948,0)</f>
        <v>0</v>
      </c>
      <c r="H28" s="40">
        <f>IFERROR(aurora_data!G1948,0)</f>
        <v>0</v>
      </c>
      <c r="I28" s="41">
        <f>IFERROR(aurora_data!H1948,0)</f>
        <v>0</v>
      </c>
      <c r="J28" s="39">
        <f>IFERROR(aurora_data!I1948,0)</f>
        <v>0</v>
      </c>
      <c r="K28" s="40">
        <f>IFERROR(aurora_data!J1948,0)</f>
        <v>0</v>
      </c>
      <c r="L28" s="40">
        <f>IFERROR(aurora_data!K1948,0)</f>
        <v>0</v>
      </c>
      <c r="M28" s="40">
        <f>IFERROR(aurora_data!L1948,0)</f>
        <v>0</v>
      </c>
      <c r="N28" s="41">
        <f>IFERROR(aurora_data!M1948,0)</f>
        <v>0</v>
      </c>
      <c r="O28" s="39">
        <f>IFERROR(aurora_data!N1948,0)</f>
        <v>0</v>
      </c>
      <c r="P28" s="40">
        <f>IFERROR(aurora_data!O1948,0)</f>
        <v>0</v>
      </c>
      <c r="Q28" s="40">
        <f>IFERROR(aurora_data!P1948,0)</f>
        <v>0</v>
      </c>
      <c r="R28" s="41">
        <f>IFERROR(aurora_data!Q1948,0)</f>
        <v>0</v>
      </c>
      <c r="S28" s="40">
        <f>IFERROR(aurora_data!R1948,0)</f>
        <v>0</v>
      </c>
      <c r="T28" s="40">
        <f>IFERROR(aurora_data!S1948,0)</f>
        <v>0</v>
      </c>
      <c r="U28" s="76">
        <f>IFERROR(aurora_data!T1948,0)</f>
        <v>0</v>
      </c>
      <c r="V28" s="61" t="s">
        <v>95</v>
      </c>
      <c r="W28" s="39">
        <f>IFERROR(aurora_data!U1948,0)</f>
        <v>19</v>
      </c>
      <c r="X28" s="70">
        <f>IFERROR(W28/$W$12,0)</f>
        <v>1</v>
      </c>
      <c r="Y28" s="2"/>
    </row>
    <row r="29" spans="1:25" customFormat="1">
      <c r="A29" s="2"/>
      <c r="B29" s="211"/>
      <c r="C29" s="213"/>
      <c r="D29" s="35" t="s">
        <v>96</v>
      </c>
      <c r="E29" s="110">
        <f>IFERROR(aurora_data!D1949,0)</f>
        <v>0</v>
      </c>
      <c r="F29" s="62">
        <f>IFERROR(aurora_data!E1949,0)</f>
        <v>2</v>
      </c>
      <c r="G29" s="62">
        <f>IFERROR(aurora_data!F1949,0)</f>
        <v>3</v>
      </c>
      <c r="H29" s="62">
        <f>IFERROR(aurora_data!G1949,0)</f>
        <v>1</v>
      </c>
      <c r="I29" s="63">
        <f>IFERROR(aurora_data!H1949,0)</f>
        <v>2</v>
      </c>
      <c r="J29" s="36">
        <f>IFERROR(aurora_data!I1949,0)</f>
        <v>1</v>
      </c>
      <c r="K29" s="62">
        <f>IFERROR(aurora_data!J1949,0)</f>
        <v>0</v>
      </c>
      <c r="L29" s="62">
        <f>IFERROR(aurora_data!K1949,0)</f>
        <v>3</v>
      </c>
      <c r="M29" s="62">
        <f>IFERROR(aurora_data!L1949,0)</f>
        <v>1</v>
      </c>
      <c r="N29" s="63">
        <f>IFERROR(aurora_data!M1949,0)</f>
        <v>3</v>
      </c>
      <c r="O29" s="36">
        <f>IFERROR(aurora_data!N1949,0)</f>
        <v>0</v>
      </c>
      <c r="P29" s="62">
        <f>IFERROR(aurora_data!O1949,0)</f>
        <v>5</v>
      </c>
      <c r="Q29" s="62">
        <f>IFERROR(aurora_data!P1949,0)</f>
        <v>3</v>
      </c>
      <c r="R29" s="63">
        <f>IFERROR(aurora_data!Q1949,0)</f>
        <v>0</v>
      </c>
      <c r="S29" s="62">
        <f>IFERROR(aurora_data!R1949,0)</f>
        <v>2</v>
      </c>
      <c r="T29" s="62">
        <f>IFERROR(aurora_data!S1949,0)</f>
        <v>6</v>
      </c>
      <c r="U29" s="63">
        <f>IFERROR(aurora_data!T1949,0)</f>
        <v>0</v>
      </c>
      <c r="V29" s="64" t="s">
        <v>95</v>
      </c>
      <c r="W29" s="36">
        <f>IFERROR(aurora_data!U1949,0)</f>
        <v>8</v>
      </c>
      <c r="X29" s="71">
        <f t="shared" ref="X29:X35" si="2">IFERROR(W29/$W$12,0)</f>
        <v>0.42105263157894735</v>
      </c>
      <c r="Y29" s="2"/>
    </row>
    <row r="30" spans="1:25" customFormat="1">
      <c r="A30" s="2"/>
      <c r="B30" s="211"/>
      <c r="C30" s="213"/>
      <c r="D30" s="35" t="s">
        <v>60</v>
      </c>
      <c r="E30" s="110">
        <f>IFERROR(aurora_data!D1950,0)</f>
        <v>0</v>
      </c>
      <c r="F30" s="62">
        <f>IFERROR(aurora_data!E1950,0)</f>
        <v>0</v>
      </c>
      <c r="G30" s="62">
        <f>IFERROR(aurora_data!F1950,0)</f>
        <v>0</v>
      </c>
      <c r="H30" s="62">
        <f>IFERROR(aurora_data!G1950,0)</f>
        <v>0</v>
      </c>
      <c r="I30" s="63">
        <f>IFERROR(aurora_data!H1950,0)</f>
        <v>0</v>
      </c>
      <c r="J30" s="36">
        <f>IFERROR(aurora_data!I1950,0)</f>
        <v>0</v>
      </c>
      <c r="K30" s="62">
        <f>IFERROR(aurora_data!J1950,0)</f>
        <v>0</v>
      </c>
      <c r="L30" s="62">
        <f>IFERROR(aurora_data!K1950,0)</f>
        <v>0</v>
      </c>
      <c r="M30" s="62">
        <f>IFERROR(aurora_data!L1950,0)</f>
        <v>0</v>
      </c>
      <c r="N30" s="63">
        <f>IFERROR(aurora_data!M1950,0)</f>
        <v>0</v>
      </c>
      <c r="O30" s="36">
        <f>IFERROR(aurora_data!N1950,0)</f>
        <v>0</v>
      </c>
      <c r="P30" s="62">
        <f>IFERROR(aurora_data!O1950,0)</f>
        <v>0</v>
      </c>
      <c r="Q30" s="62">
        <f>IFERROR(aurora_data!P1950,0)</f>
        <v>0</v>
      </c>
      <c r="R30" s="63">
        <f>IFERROR(aurora_data!Q1950,0)</f>
        <v>0</v>
      </c>
      <c r="S30" s="62">
        <f>IFERROR(aurora_data!R1950,0)</f>
        <v>0</v>
      </c>
      <c r="T30" s="62">
        <f>IFERROR(aurora_data!S1950,0)</f>
        <v>0</v>
      </c>
      <c r="U30" s="63">
        <f>IFERROR(aurora_data!T1950,0)</f>
        <v>0</v>
      </c>
      <c r="V30" s="64" t="s">
        <v>95</v>
      </c>
      <c r="W30" s="36">
        <f>IFERROR(aurora_data!U1950,0)</f>
        <v>0</v>
      </c>
      <c r="X30" s="71">
        <f t="shared" si="2"/>
        <v>0</v>
      </c>
      <c r="Y30" s="2"/>
    </row>
    <row r="31" spans="1:25" customFormat="1">
      <c r="A31" s="2"/>
      <c r="B31" s="211"/>
      <c r="C31" s="213"/>
      <c r="D31" s="35" t="s">
        <v>97</v>
      </c>
      <c r="E31" s="36">
        <f>IFERROR(aurora_data!D1951,0)</f>
        <v>0</v>
      </c>
      <c r="F31" s="62">
        <f>IFERROR(aurora_data!E1951,0)</f>
        <v>0</v>
      </c>
      <c r="G31" s="62">
        <f>IFERROR(aurora_data!F1951,0)</f>
        <v>0</v>
      </c>
      <c r="H31" s="62">
        <f>IFERROR(aurora_data!G1951,0)</f>
        <v>0</v>
      </c>
      <c r="I31" s="63">
        <f>IFERROR(aurora_data!H1951,0)</f>
        <v>0</v>
      </c>
      <c r="J31" s="36">
        <f>IFERROR(aurora_data!I1951,0)</f>
        <v>0</v>
      </c>
      <c r="K31" s="62">
        <f>IFERROR(aurora_data!J1951,0)</f>
        <v>0</v>
      </c>
      <c r="L31" s="62">
        <f>IFERROR(aurora_data!K1951,0)</f>
        <v>0</v>
      </c>
      <c r="M31" s="62">
        <f>IFERROR(aurora_data!L1951,0)</f>
        <v>0</v>
      </c>
      <c r="N31" s="63">
        <f>IFERROR(aurora_data!M1951,0)</f>
        <v>0</v>
      </c>
      <c r="O31" s="36">
        <f>IFERROR(aurora_data!N1951,0)</f>
        <v>0</v>
      </c>
      <c r="P31" s="62">
        <f>IFERROR(aurora_data!O1951,0)</f>
        <v>0</v>
      </c>
      <c r="Q31" s="62">
        <f>IFERROR(aurora_data!P1951,0)</f>
        <v>0</v>
      </c>
      <c r="R31" s="63">
        <f>IFERROR(aurora_data!Q1951,0)</f>
        <v>0</v>
      </c>
      <c r="S31" s="62">
        <f>IFERROR(aurora_data!R1951,0)</f>
        <v>0</v>
      </c>
      <c r="T31" s="62">
        <f>IFERROR(aurora_data!S1951,0)</f>
        <v>0</v>
      </c>
      <c r="U31" s="63">
        <f>IFERROR(aurora_data!T1951,0)</f>
        <v>0</v>
      </c>
      <c r="V31" s="64" t="s">
        <v>95</v>
      </c>
      <c r="W31" s="36">
        <f>IFERROR(aurora_data!U1951,0)</f>
        <v>0</v>
      </c>
      <c r="X31" s="71">
        <f t="shared" si="2"/>
        <v>0</v>
      </c>
      <c r="Y31" s="2"/>
    </row>
    <row r="32" spans="1:25" customFormat="1">
      <c r="A32" s="2"/>
      <c r="B32" s="211"/>
      <c r="C32" s="213"/>
      <c r="D32" s="35" t="s">
        <v>98</v>
      </c>
      <c r="E32" s="36">
        <f>IFERROR(aurora_data!D1952,0)</f>
        <v>0</v>
      </c>
      <c r="F32" s="62">
        <f>IFERROR(aurora_data!E1952,0)</f>
        <v>0</v>
      </c>
      <c r="G32" s="62">
        <f>IFERROR(aurora_data!F1952,0)</f>
        <v>2</v>
      </c>
      <c r="H32" s="62">
        <f>IFERROR(aurora_data!G1952,0)</f>
        <v>0</v>
      </c>
      <c r="I32" s="63">
        <f>IFERROR(aurora_data!H1952,0)</f>
        <v>0</v>
      </c>
      <c r="J32" s="36">
        <f>IFERROR(aurora_data!I1952,0)</f>
        <v>0</v>
      </c>
      <c r="K32" s="62">
        <f>IFERROR(aurora_data!J1952,0)</f>
        <v>0</v>
      </c>
      <c r="L32" s="62">
        <f>IFERROR(aurora_data!K1952,0)</f>
        <v>0</v>
      </c>
      <c r="M32" s="62">
        <f>IFERROR(aurora_data!L1952,0)</f>
        <v>1</v>
      </c>
      <c r="N32" s="63">
        <f>IFERROR(aurora_data!M1952,0)</f>
        <v>1</v>
      </c>
      <c r="O32" s="36">
        <f>IFERROR(aurora_data!N1952,0)</f>
        <v>0</v>
      </c>
      <c r="P32" s="62">
        <f>IFERROR(aurora_data!O1952,0)</f>
        <v>1</v>
      </c>
      <c r="Q32" s="62">
        <f>IFERROR(aurora_data!P1952,0)</f>
        <v>1</v>
      </c>
      <c r="R32" s="63">
        <f>IFERROR(aurora_data!Q1952,0)</f>
        <v>0</v>
      </c>
      <c r="S32" s="62">
        <f>IFERROR(aurora_data!R1952,0)</f>
        <v>0</v>
      </c>
      <c r="T32" s="62">
        <f>IFERROR(aurora_data!S1952,0)</f>
        <v>2</v>
      </c>
      <c r="U32" s="63">
        <f>IFERROR(aurora_data!T1952,0)</f>
        <v>0</v>
      </c>
      <c r="V32" s="64" t="s">
        <v>95</v>
      </c>
      <c r="W32" s="36">
        <f>IFERROR(aurora_data!U1952,0)</f>
        <v>2</v>
      </c>
      <c r="X32" s="71">
        <f t="shared" si="2"/>
        <v>0.10526315789473684</v>
      </c>
      <c r="Y32" s="2"/>
    </row>
    <row r="33" spans="1:25" customFormat="1" ht="16.5" thickBot="1">
      <c r="A33" s="2"/>
      <c r="B33" s="211"/>
      <c r="C33" s="213"/>
      <c r="D33" s="35" t="s">
        <v>99</v>
      </c>
      <c r="E33" s="36">
        <f>IFERROR(aurora_data!D1953,0)</f>
        <v>0</v>
      </c>
      <c r="F33" s="62">
        <f>IFERROR(aurora_data!E1953,0)</f>
        <v>0</v>
      </c>
      <c r="G33" s="62">
        <f>IFERROR(aurora_data!F1953,0)</f>
        <v>0</v>
      </c>
      <c r="H33" s="62">
        <f>IFERROR(aurora_data!G1953,0)</f>
        <v>0</v>
      </c>
      <c r="I33" s="63">
        <f>IFERROR(aurora_data!H1953,0)</f>
        <v>0</v>
      </c>
      <c r="J33" s="36">
        <f>IFERROR(aurora_data!I1953,0)</f>
        <v>0</v>
      </c>
      <c r="K33" s="62">
        <f>IFERROR(aurora_data!J1953,0)</f>
        <v>0</v>
      </c>
      <c r="L33" s="62">
        <f>IFERROR(aurora_data!K1953,0)</f>
        <v>0</v>
      </c>
      <c r="M33" s="62">
        <f>IFERROR(aurora_data!L1953,0)</f>
        <v>0</v>
      </c>
      <c r="N33" s="63">
        <f>IFERROR(aurora_data!M1953,0)</f>
        <v>0</v>
      </c>
      <c r="O33" s="36">
        <f>IFERROR(aurora_data!N1953,0)</f>
        <v>0</v>
      </c>
      <c r="P33" s="62">
        <f>IFERROR(aurora_data!O1953,0)</f>
        <v>0</v>
      </c>
      <c r="Q33" s="62">
        <f>IFERROR(aurora_data!P1953,0)</f>
        <v>0</v>
      </c>
      <c r="R33" s="63">
        <f>IFERROR(aurora_data!Q1953,0)</f>
        <v>0</v>
      </c>
      <c r="S33" s="62">
        <f>IFERROR(aurora_data!R1953,0)</f>
        <v>0</v>
      </c>
      <c r="T33" s="62">
        <f>IFERROR(aurora_data!S1953,0)</f>
        <v>0</v>
      </c>
      <c r="U33" s="63">
        <f>IFERROR(aurora_data!T1953,0)</f>
        <v>0</v>
      </c>
      <c r="V33" s="64" t="s">
        <v>95</v>
      </c>
      <c r="W33" s="36">
        <f>IFERROR(aurora_data!U1953,0)</f>
        <v>0</v>
      </c>
      <c r="X33" s="71">
        <f t="shared" si="2"/>
        <v>0</v>
      </c>
      <c r="Y33" s="2"/>
    </row>
    <row r="34" spans="1:25" customFormat="1" ht="16.5" thickBot="1">
      <c r="A34" s="2"/>
      <c r="B34" s="211"/>
      <c r="C34" s="213"/>
      <c r="D34" s="37" t="s">
        <v>64</v>
      </c>
      <c r="E34" s="59">
        <f>IFERROR(aurora_data!D1954,0)</f>
        <v>0</v>
      </c>
      <c r="F34" s="65">
        <f>IFERROR(aurora_data!E1954,0)</f>
        <v>2</v>
      </c>
      <c r="G34" s="65">
        <f>IFERROR(aurora_data!F1954,0)</f>
        <v>5</v>
      </c>
      <c r="H34" s="65">
        <f>IFERROR(aurora_data!G1954,0)</f>
        <v>1</v>
      </c>
      <c r="I34" s="66">
        <f>IFERROR(aurora_data!H1954,0)</f>
        <v>2</v>
      </c>
      <c r="J34" s="59">
        <f>IFERROR(aurora_data!I1954,0)</f>
        <v>1</v>
      </c>
      <c r="K34" s="65">
        <f>IFERROR(aurora_data!J1954,0)</f>
        <v>0</v>
      </c>
      <c r="L34" s="65">
        <f>IFERROR(aurora_data!K1954,0)</f>
        <v>3</v>
      </c>
      <c r="M34" s="65">
        <f>IFERROR(aurora_data!L1954,0)</f>
        <v>2</v>
      </c>
      <c r="N34" s="66">
        <f>IFERROR(aurora_data!M1954,0)</f>
        <v>4</v>
      </c>
      <c r="O34" s="59">
        <f>IFERROR(aurora_data!N1954,0)</f>
        <v>0</v>
      </c>
      <c r="P34" s="65">
        <f>IFERROR(aurora_data!O1954,0)</f>
        <v>6</v>
      </c>
      <c r="Q34" s="65">
        <f>IFERROR(aurora_data!P1954,0)</f>
        <v>4</v>
      </c>
      <c r="R34" s="66">
        <f>IFERROR(aurora_data!Q1954,0)</f>
        <v>0</v>
      </c>
      <c r="S34" s="65">
        <f>IFERROR(aurora_data!R1954,0)</f>
        <v>2</v>
      </c>
      <c r="T34" s="65">
        <f>IFERROR(aurora_data!S1954,0)</f>
        <v>8</v>
      </c>
      <c r="U34" s="66">
        <f>IFERROR(aurora_data!T1954,0)</f>
        <v>0</v>
      </c>
      <c r="V34" s="67" t="s">
        <v>95</v>
      </c>
      <c r="W34" s="59">
        <f>IFERROR(aurora_data!U1954,0)</f>
        <v>10</v>
      </c>
      <c r="X34" s="72">
        <f t="shared" si="2"/>
        <v>0.52631578947368418</v>
      </c>
      <c r="Y34" s="2"/>
    </row>
    <row r="35" spans="1:25" customFormat="1" ht="16.5" thickBot="1">
      <c r="A35" s="2"/>
      <c r="B35" s="211"/>
      <c r="C35" s="213"/>
      <c r="D35" s="38" t="s">
        <v>100</v>
      </c>
      <c r="E35" s="60">
        <f>IFERROR(aurora_data!D1955,0)</f>
        <v>0</v>
      </c>
      <c r="F35" s="68">
        <f>IFERROR(aurora_data!E1955,0)</f>
        <v>0</v>
      </c>
      <c r="G35" s="68">
        <f>IFERROR(aurora_data!F1955,0)</f>
        <v>0</v>
      </c>
      <c r="H35" s="68">
        <f>IFERROR(aurora_data!G1955,0)</f>
        <v>0</v>
      </c>
      <c r="I35" s="69">
        <f>IFERROR(aurora_data!H1955,0)</f>
        <v>0</v>
      </c>
      <c r="J35" s="60">
        <f>IFERROR(aurora_data!I1955,0)</f>
        <v>0</v>
      </c>
      <c r="K35" s="68">
        <f>IFERROR(aurora_data!J1955,0)</f>
        <v>0</v>
      </c>
      <c r="L35" s="68">
        <f>IFERROR(aurora_data!K1955,0)</f>
        <v>0</v>
      </c>
      <c r="M35" s="68">
        <f>IFERROR(aurora_data!L1955,0)</f>
        <v>0</v>
      </c>
      <c r="N35" s="69">
        <f>IFERROR(aurora_data!M1955,0)</f>
        <v>0</v>
      </c>
      <c r="O35" s="60">
        <f>IFERROR(aurora_data!N1955,0)</f>
        <v>0</v>
      </c>
      <c r="P35" s="68">
        <f>IFERROR(aurora_data!O1955,0)</f>
        <v>0</v>
      </c>
      <c r="Q35" s="68">
        <f>IFERROR(aurora_data!P1955,0)</f>
        <v>0</v>
      </c>
      <c r="R35" s="69">
        <f>IFERROR(aurora_data!Q1955,0)</f>
        <v>0</v>
      </c>
      <c r="S35" s="68">
        <f>IFERROR(aurora_data!R1955,0)</f>
        <v>0</v>
      </c>
      <c r="T35" s="68">
        <f>IFERROR(aurora_data!S1955,0)</f>
        <v>0</v>
      </c>
      <c r="U35" s="74">
        <f>IFERROR(aurora_data!T1955,0)</f>
        <v>0</v>
      </c>
      <c r="V35" s="75" t="s">
        <v>95</v>
      </c>
      <c r="W35" s="60">
        <f>IFERROR(aurora_data!U1955,0)</f>
        <v>0</v>
      </c>
      <c r="X35" s="73">
        <f t="shared" si="2"/>
        <v>0</v>
      </c>
      <c r="Y35" s="2"/>
    </row>
    <row r="36" spans="1:25" customFormat="1">
      <c r="A36" s="2"/>
      <c r="B36" s="210" t="s">
        <v>94</v>
      </c>
      <c r="C36" s="212" t="str">
        <f>aurora_data!A1956</f>
        <v>09.00.00-09.11.30</v>
      </c>
      <c r="D36" s="34" t="s">
        <v>71</v>
      </c>
      <c r="E36" s="39">
        <f>IFERROR(aurora_data!D1956,0)</f>
        <v>0</v>
      </c>
      <c r="F36" s="40">
        <f>IFERROR(aurora_data!E1956,0)</f>
        <v>0</v>
      </c>
      <c r="G36" s="40">
        <f>IFERROR(aurora_data!F1956,0)</f>
        <v>0</v>
      </c>
      <c r="H36" s="40">
        <f>IFERROR(aurora_data!G1956,0)</f>
        <v>0</v>
      </c>
      <c r="I36" s="41">
        <f>IFERROR(aurora_data!H1956,0)</f>
        <v>0</v>
      </c>
      <c r="J36" s="39">
        <f>IFERROR(aurora_data!I1956,0)</f>
        <v>0</v>
      </c>
      <c r="K36" s="40">
        <f>IFERROR(aurora_data!J1956,0)</f>
        <v>0</v>
      </c>
      <c r="L36" s="40">
        <f>IFERROR(aurora_data!K1956,0)</f>
        <v>0</v>
      </c>
      <c r="M36" s="40">
        <f>IFERROR(aurora_data!L1956,0)</f>
        <v>0</v>
      </c>
      <c r="N36" s="41">
        <f>IFERROR(aurora_data!M1956,0)</f>
        <v>0</v>
      </c>
      <c r="O36" s="39">
        <f>IFERROR(aurora_data!N1956,0)</f>
        <v>0</v>
      </c>
      <c r="P36" s="40">
        <f>IFERROR(aurora_data!O1956,0)</f>
        <v>0</v>
      </c>
      <c r="Q36" s="40">
        <f>IFERROR(aurora_data!P1956,0)</f>
        <v>0</v>
      </c>
      <c r="R36" s="41">
        <f>IFERROR(aurora_data!Q1956,0)</f>
        <v>0</v>
      </c>
      <c r="S36" s="40">
        <f>IFERROR(aurora_data!R1956,0)</f>
        <v>0</v>
      </c>
      <c r="T36" s="40">
        <f>IFERROR(aurora_data!S1956,0)</f>
        <v>0</v>
      </c>
      <c r="U36" s="76">
        <f>IFERROR(aurora_data!T1956,0)</f>
        <v>0</v>
      </c>
      <c r="V36" s="61" t="s">
        <v>95</v>
      </c>
      <c r="W36" s="39">
        <f>IFERROR(aurora_data!U1956,0)</f>
        <v>20</v>
      </c>
      <c r="X36" s="70">
        <f>IFERROR(W36/$W$12,0)</f>
        <v>1.0526315789473684</v>
      </c>
      <c r="Y36" s="2"/>
    </row>
    <row r="37" spans="1:25" customFormat="1">
      <c r="A37" s="2"/>
      <c r="B37" s="211"/>
      <c r="C37" s="213"/>
      <c r="D37" s="35" t="s">
        <v>96</v>
      </c>
      <c r="E37" s="110">
        <f>IFERROR(aurora_data!D1957,0)</f>
        <v>1</v>
      </c>
      <c r="F37" s="62">
        <f>IFERROR(aurora_data!E1957,0)</f>
        <v>1</v>
      </c>
      <c r="G37" s="62">
        <f>IFERROR(aurora_data!F1957,0)</f>
        <v>2</v>
      </c>
      <c r="H37" s="62">
        <f>IFERROR(aurora_data!G1957,0)</f>
        <v>2</v>
      </c>
      <c r="I37" s="63">
        <f>IFERROR(aurora_data!H1957,0)</f>
        <v>3</v>
      </c>
      <c r="J37" s="36">
        <f>IFERROR(aurora_data!I1957,0)</f>
        <v>0</v>
      </c>
      <c r="K37" s="62">
        <f>IFERROR(aurora_data!J1957,0)</f>
        <v>0</v>
      </c>
      <c r="L37" s="62">
        <f>IFERROR(aurora_data!K1957,0)</f>
        <v>2</v>
      </c>
      <c r="M37" s="62">
        <f>IFERROR(aurora_data!L1957,0)</f>
        <v>1</v>
      </c>
      <c r="N37" s="63">
        <f>IFERROR(aurora_data!M1957,0)</f>
        <v>6</v>
      </c>
      <c r="O37" s="36">
        <f>IFERROR(aurora_data!N1957,0)</f>
        <v>4</v>
      </c>
      <c r="P37" s="62">
        <f>IFERROR(aurora_data!O1957,0)</f>
        <v>2</v>
      </c>
      <c r="Q37" s="62">
        <f>IFERROR(aurora_data!P1957,0)</f>
        <v>2</v>
      </c>
      <c r="R37" s="63">
        <f>IFERROR(aurora_data!Q1957,0)</f>
        <v>1</v>
      </c>
      <c r="S37" s="62">
        <f>IFERROR(aurora_data!R1957,0)</f>
        <v>3</v>
      </c>
      <c r="T37" s="62">
        <f>IFERROR(aurora_data!S1957,0)</f>
        <v>6</v>
      </c>
      <c r="U37" s="63">
        <f>IFERROR(aurora_data!T1957,0)</f>
        <v>0</v>
      </c>
      <c r="V37" s="64" t="s">
        <v>95</v>
      </c>
      <c r="W37" s="36">
        <f>IFERROR(aurora_data!U1957,0)</f>
        <v>9</v>
      </c>
      <c r="X37" s="71">
        <f t="shared" ref="X37:X43" si="3">IFERROR(W37/$W$12,0)</f>
        <v>0.47368421052631576</v>
      </c>
      <c r="Y37" s="2"/>
    </row>
    <row r="38" spans="1:25" customFormat="1">
      <c r="A38" s="2"/>
      <c r="B38" s="211"/>
      <c r="C38" s="213"/>
      <c r="D38" s="35" t="s">
        <v>60</v>
      </c>
      <c r="E38" s="110">
        <f>IFERROR(aurora_data!D1958,0)</f>
        <v>0</v>
      </c>
      <c r="F38" s="62">
        <f>IFERROR(aurora_data!E1958,0)</f>
        <v>0</v>
      </c>
      <c r="G38" s="62">
        <f>IFERROR(aurora_data!F1958,0)</f>
        <v>0</v>
      </c>
      <c r="H38" s="62">
        <f>IFERROR(aurora_data!G1958,0)</f>
        <v>0</v>
      </c>
      <c r="I38" s="63">
        <f>IFERROR(aurora_data!H1958,0)</f>
        <v>0</v>
      </c>
      <c r="J38" s="36">
        <f>IFERROR(aurora_data!I1958,0)</f>
        <v>0</v>
      </c>
      <c r="K38" s="62">
        <f>IFERROR(aurora_data!J1958,0)</f>
        <v>0</v>
      </c>
      <c r="L38" s="62">
        <f>IFERROR(aurora_data!K1958,0)</f>
        <v>0</v>
      </c>
      <c r="M38" s="62">
        <f>IFERROR(aurora_data!L1958,0)</f>
        <v>0</v>
      </c>
      <c r="N38" s="63">
        <f>IFERROR(aurora_data!M1958,0)</f>
        <v>0</v>
      </c>
      <c r="O38" s="36">
        <f>IFERROR(aurora_data!N1958,0)</f>
        <v>0</v>
      </c>
      <c r="P38" s="62">
        <f>IFERROR(aurora_data!O1958,0)</f>
        <v>0</v>
      </c>
      <c r="Q38" s="62">
        <f>IFERROR(aurora_data!P1958,0)</f>
        <v>0</v>
      </c>
      <c r="R38" s="63">
        <f>IFERROR(aurora_data!Q1958,0)</f>
        <v>0</v>
      </c>
      <c r="S38" s="62">
        <f>IFERROR(aurora_data!R1958,0)</f>
        <v>0</v>
      </c>
      <c r="T38" s="62">
        <f>IFERROR(aurora_data!S1958,0)</f>
        <v>0</v>
      </c>
      <c r="U38" s="63">
        <f>IFERROR(aurora_data!T1958,0)</f>
        <v>0</v>
      </c>
      <c r="V38" s="64" t="s">
        <v>95</v>
      </c>
      <c r="W38" s="36">
        <f>IFERROR(aurora_data!U1958,0)</f>
        <v>0</v>
      </c>
      <c r="X38" s="71">
        <f t="shared" si="3"/>
        <v>0</v>
      </c>
      <c r="Y38" s="2"/>
    </row>
    <row r="39" spans="1:25" customFormat="1">
      <c r="A39" s="2"/>
      <c r="B39" s="211"/>
      <c r="C39" s="213"/>
      <c r="D39" s="35" t="s">
        <v>97</v>
      </c>
      <c r="E39" s="36">
        <f>IFERROR(aurora_data!D1959,0)</f>
        <v>0</v>
      </c>
      <c r="F39" s="62">
        <f>IFERROR(aurora_data!E1959,0)</f>
        <v>0</v>
      </c>
      <c r="G39" s="62">
        <f>IFERROR(aurora_data!F1959,0)</f>
        <v>0</v>
      </c>
      <c r="H39" s="62">
        <f>IFERROR(aurora_data!G1959,0)</f>
        <v>0</v>
      </c>
      <c r="I39" s="63">
        <f>IFERROR(aurora_data!H1959,0)</f>
        <v>0</v>
      </c>
      <c r="J39" s="36">
        <f>IFERROR(aurora_data!I1959,0)</f>
        <v>0</v>
      </c>
      <c r="K39" s="62">
        <f>IFERROR(aurora_data!J1959,0)</f>
        <v>0</v>
      </c>
      <c r="L39" s="62">
        <f>IFERROR(aurora_data!K1959,0)</f>
        <v>0</v>
      </c>
      <c r="M39" s="62">
        <f>IFERROR(aurora_data!L1959,0)</f>
        <v>0</v>
      </c>
      <c r="N39" s="63">
        <f>IFERROR(aurora_data!M1959,0)</f>
        <v>0</v>
      </c>
      <c r="O39" s="36">
        <f>IFERROR(aurora_data!N1959,0)</f>
        <v>0</v>
      </c>
      <c r="P39" s="62">
        <f>IFERROR(aurora_data!O1959,0)</f>
        <v>0</v>
      </c>
      <c r="Q39" s="62">
        <f>IFERROR(aurora_data!P1959,0)</f>
        <v>0</v>
      </c>
      <c r="R39" s="63">
        <f>IFERROR(aurora_data!Q1959,0)</f>
        <v>0</v>
      </c>
      <c r="S39" s="62">
        <f>IFERROR(aurora_data!R1959,0)</f>
        <v>0</v>
      </c>
      <c r="T39" s="62">
        <f>IFERROR(aurora_data!S1959,0)</f>
        <v>0</v>
      </c>
      <c r="U39" s="63">
        <f>IFERROR(aurora_data!T1959,0)</f>
        <v>0</v>
      </c>
      <c r="V39" s="64" t="s">
        <v>95</v>
      </c>
      <c r="W39" s="36">
        <f>IFERROR(aurora_data!U1959,0)</f>
        <v>0</v>
      </c>
      <c r="X39" s="71">
        <f t="shared" si="3"/>
        <v>0</v>
      </c>
      <c r="Y39" s="2"/>
    </row>
    <row r="40" spans="1:25" customFormat="1">
      <c r="A40" s="2"/>
      <c r="B40" s="211"/>
      <c r="C40" s="213"/>
      <c r="D40" s="35" t="s">
        <v>98</v>
      </c>
      <c r="E40" s="36">
        <f>IFERROR(aurora_data!D1960,0)</f>
        <v>0</v>
      </c>
      <c r="F40" s="62">
        <f>IFERROR(aurora_data!E1960,0)</f>
        <v>0</v>
      </c>
      <c r="G40" s="62">
        <f>IFERROR(aurora_data!F1960,0)</f>
        <v>0</v>
      </c>
      <c r="H40" s="62">
        <f>IFERROR(aurora_data!G1960,0)</f>
        <v>0</v>
      </c>
      <c r="I40" s="63">
        <f>IFERROR(aurora_data!H1960,0)</f>
        <v>0</v>
      </c>
      <c r="J40" s="36">
        <f>IFERROR(aurora_data!I1960,0)</f>
        <v>0</v>
      </c>
      <c r="K40" s="62">
        <f>IFERROR(aurora_data!J1960,0)</f>
        <v>0</v>
      </c>
      <c r="L40" s="62">
        <f>IFERROR(aurora_data!K1960,0)</f>
        <v>0</v>
      </c>
      <c r="M40" s="62">
        <f>IFERROR(aurora_data!L1960,0)</f>
        <v>0</v>
      </c>
      <c r="N40" s="63">
        <f>IFERROR(aurora_data!M1960,0)</f>
        <v>0</v>
      </c>
      <c r="O40" s="36">
        <f>IFERROR(aurora_data!N1960,0)</f>
        <v>0</v>
      </c>
      <c r="P40" s="62">
        <f>IFERROR(aurora_data!O1960,0)</f>
        <v>0</v>
      </c>
      <c r="Q40" s="62">
        <f>IFERROR(aurora_data!P1960,0)</f>
        <v>0</v>
      </c>
      <c r="R40" s="63">
        <f>IFERROR(aurora_data!Q1960,0)</f>
        <v>0</v>
      </c>
      <c r="S40" s="62">
        <f>IFERROR(aurora_data!R1960,0)</f>
        <v>0</v>
      </c>
      <c r="T40" s="62">
        <f>IFERROR(aurora_data!S1960,0)</f>
        <v>0</v>
      </c>
      <c r="U40" s="63">
        <f>IFERROR(aurora_data!T1960,0)</f>
        <v>0</v>
      </c>
      <c r="V40" s="64" t="s">
        <v>95</v>
      </c>
      <c r="W40" s="36">
        <f>IFERROR(aurora_data!U1960,0)</f>
        <v>0</v>
      </c>
      <c r="X40" s="71">
        <f t="shared" si="3"/>
        <v>0</v>
      </c>
      <c r="Y40" s="2"/>
    </row>
    <row r="41" spans="1:25" customFormat="1" ht="16.5" thickBot="1">
      <c r="A41" s="2"/>
      <c r="B41" s="211"/>
      <c r="C41" s="213"/>
      <c r="D41" s="35" t="s">
        <v>99</v>
      </c>
      <c r="E41" s="36">
        <f>IFERROR(aurora_data!D1961,0)</f>
        <v>0</v>
      </c>
      <c r="F41" s="62">
        <f>IFERROR(aurora_data!E1961,0)</f>
        <v>0</v>
      </c>
      <c r="G41" s="62">
        <f>IFERROR(aurora_data!F1961,0)</f>
        <v>0</v>
      </c>
      <c r="H41" s="62">
        <f>IFERROR(aurora_data!G1961,0)</f>
        <v>0</v>
      </c>
      <c r="I41" s="63">
        <f>IFERROR(aurora_data!H1961,0)</f>
        <v>0</v>
      </c>
      <c r="J41" s="36">
        <f>IFERROR(aurora_data!I1961,0)</f>
        <v>0</v>
      </c>
      <c r="K41" s="62">
        <f>IFERROR(aurora_data!J1961,0)</f>
        <v>0</v>
      </c>
      <c r="L41" s="62">
        <f>IFERROR(aurora_data!K1961,0)</f>
        <v>0</v>
      </c>
      <c r="M41" s="62">
        <f>IFERROR(aurora_data!L1961,0)</f>
        <v>0</v>
      </c>
      <c r="N41" s="63">
        <f>IFERROR(aurora_data!M1961,0)</f>
        <v>0</v>
      </c>
      <c r="O41" s="36">
        <f>IFERROR(aurora_data!N1961,0)</f>
        <v>0</v>
      </c>
      <c r="P41" s="62">
        <f>IFERROR(aurora_data!O1961,0)</f>
        <v>0</v>
      </c>
      <c r="Q41" s="62">
        <f>IFERROR(aurora_data!P1961,0)</f>
        <v>0</v>
      </c>
      <c r="R41" s="63">
        <f>IFERROR(aurora_data!Q1961,0)</f>
        <v>0</v>
      </c>
      <c r="S41" s="62">
        <f>IFERROR(aurora_data!R1961,0)</f>
        <v>0</v>
      </c>
      <c r="T41" s="62">
        <f>IFERROR(aurora_data!S1961,0)</f>
        <v>0</v>
      </c>
      <c r="U41" s="63">
        <f>IFERROR(aurora_data!T1961,0)</f>
        <v>0</v>
      </c>
      <c r="V41" s="64" t="s">
        <v>95</v>
      </c>
      <c r="W41" s="36">
        <f>IFERROR(aurora_data!U1961,0)</f>
        <v>0</v>
      </c>
      <c r="X41" s="71">
        <f t="shared" si="3"/>
        <v>0</v>
      </c>
      <c r="Y41" s="2"/>
    </row>
    <row r="42" spans="1:25" customFormat="1" ht="16.5" thickBot="1">
      <c r="A42" s="2"/>
      <c r="B42" s="211"/>
      <c r="C42" s="213"/>
      <c r="D42" s="37" t="s">
        <v>64</v>
      </c>
      <c r="E42" s="59">
        <f>IFERROR(aurora_data!D1962,0)</f>
        <v>1</v>
      </c>
      <c r="F42" s="65">
        <f>IFERROR(aurora_data!E1962,0)</f>
        <v>1</v>
      </c>
      <c r="G42" s="65">
        <f>IFERROR(aurora_data!F1962,0)</f>
        <v>2</v>
      </c>
      <c r="H42" s="65">
        <f>IFERROR(aurora_data!G1962,0)</f>
        <v>2</v>
      </c>
      <c r="I42" s="66">
        <f>IFERROR(aurora_data!H1962,0)</f>
        <v>3</v>
      </c>
      <c r="J42" s="59">
        <f>IFERROR(aurora_data!I1962,0)</f>
        <v>0</v>
      </c>
      <c r="K42" s="65">
        <f>IFERROR(aurora_data!J1962,0)</f>
        <v>0</v>
      </c>
      <c r="L42" s="65">
        <f>IFERROR(aurora_data!K1962,0)</f>
        <v>2</v>
      </c>
      <c r="M42" s="65">
        <f>IFERROR(aurora_data!L1962,0)</f>
        <v>1</v>
      </c>
      <c r="N42" s="66">
        <f>IFERROR(aurora_data!M1962,0)</f>
        <v>6</v>
      </c>
      <c r="O42" s="59">
        <f>IFERROR(aurora_data!N1962,0)</f>
        <v>4</v>
      </c>
      <c r="P42" s="65">
        <f>IFERROR(aurora_data!O1962,0)</f>
        <v>2</v>
      </c>
      <c r="Q42" s="65">
        <f>IFERROR(aurora_data!P1962,0)</f>
        <v>2</v>
      </c>
      <c r="R42" s="66">
        <f>IFERROR(aurora_data!Q1962,0)</f>
        <v>1</v>
      </c>
      <c r="S42" s="65">
        <f>IFERROR(aurora_data!R1962,0)</f>
        <v>3</v>
      </c>
      <c r="T42" s="65">
        <f>IFERROR(aurora_data!S1962,0)</f>
        <v>6</v>
      </c>
      <c r="U42" s="66">
        <f>IFERROR(aurora_data!T1962,0)</f>
        <v>0</v>
      </c>
      <c r="V42" s="67" t="s">
        <v>95</v>
      </c>
      <c r="W42" s="59">
        <f>IFERROR(aurora_data!U1962,0)</f>
        <v>9</v>
      </c>
      <c r="X42" s="72">
        <f t="shared" si="3"/>
        <v>0.47368421052631576</v>
      </c>
      <c r="Y42" s="2"/>
    </row>
    <row r="43" spans="1:25" customFormat="1" ht="16.5" thickBot="1">
      <c r="A43" s="2"/>
      <c r="B43" s="211"/>
      <c r="C43" s="213"/>
      <c r="D43" s="38" t="s">
        <v>100</v>
      </c>
      <c r="E43" s="60">
        <f>IFERROR(aurora_data!D1963,0)</f>
        <v>0</v>
      </c>
      <c r="F43" s="68">
        <f>IFERROR(aurora_data!E1963,0)</f>
        <v>0</v>
      </c>
      <c r="G43" s="68">
        <f>IFERROR(aurora_data!F1963,0)</f>
        <v>0</v>
      </c>
      <c r="H43" s="68">
        <f>IFERROR(aurora_data!G1963,0)</f>
        <v>0</v>
      </c>
      <c r="I43" s="69">
        <f>IFERROR(aurora_data!H1963,0)</f>
        <v>0</v>
      </c>
      <c r="J43" s="60">
        <f>IFERROR(aurora_data!I1963,0)</f>
        <v>0</v>
      </c>
      <c r="K43" s="68">
        <f>IFERROR(aurora_data!J1963,0)</f>
        <v>0</v>
      </c>
      <c r="L43" s="68">
        <f>IFERROR(aurora_data!K1963,0)</f>
        <v>0</v>
      </c>
      <c r="M43" s="68">
        <f>IFERROR(aurora_data!L1963,0)</f>
        <v>0</v>
      </c>
      <c r="N43" s="69">
        <f>IFERROR(aurora_data!M1963,0)</f>
        <v>0</v>
      </c>
      <c r="O43" s="60">
        <f>IFERROR(aurora_data!N1963,0)</f>
        <v>0</v>
      </c>
      <c r="P43" s="68">
        <f>IFERROR(aurora_data!O1963,0)</f>
        <v>0</v>
      </c>
      <c r="Q43" s="68">
        <f>IFERROR(aurora_data!P1963,0)</f>
        <v>0</v>
      </c>
      <c r="R43" s="69">
        <f>IFERROR(aurora_data!Q1963,0)</f>
        <v>0</v>
      </c>
      <c r="S43" s="68">
        <f>IFERROR(aurora_data!R1963,0)</f>
        <v>0</v>
      </c>
      <c r="T43" s="68">
        <f>IFERROR(aurora_data!S1963,0)</f>
        <v>0</v>
      </c>
      <c r="U43" s="74">
        <f>IFERROR(aurora_data!T1963,0)</f>
        <v>0</v>
      </c>
      <c r="V43" s="75" t="s">
        <v>95</v>
      </c>
      <c r="W43" s="60">
        <f>IFERROR(aurora_data!U1963,0)</f>
        <v>0</v>
      </c>
      <c r="X43" s="73">
        <f t="shared" si="3"/>
        <v>0</v>
      </c>
      <c r="Y43" s="2"/>
    </row>
    <row r="44" spans="1:25" customFormat="1">
      <c r="A44" s="2"/>
      <c r="B44" s="210" t="s">
        <v>94</v>
      </c>
      <c r="C44" s="212" t="str">
        <f>aurora_data!A1964</f>
        <v>10.00.00-10.11.30</v>
      </c>
      <c r="D44" s="34" t="s">
        <v>71</v>
      </c>
      <c r="E44" s="39">
        <f>IFERROR(aurora_data!D1964,0)</f>
        <v>0</v>
      </c>
      <c r="F44" s="40">
        <f>IFERROR(aurora_data!E1964,0)</f>
        <v>0</v>
      </c>
      <c r="G44" s="40">
        <f>IFERROR(aurora_data!F1964,0)</f>
        <v>0</v>
      </c>
      <c r="H44" s="40">
        <f>IFERROR(aurora_data!G1964,0)</f>
        <v>0</v>
      </c>
      <c r="I44" s="41">
        <f>IFERROR(aurora_data!H1964,0)</f>
        <v>0</v>
      </c>
      <c r="J44" s="39">
        <f>IFERROR(aurora_data!I1964,0)</f>
        <v>0</v>
      </c>
      <c r="K44" s="40">
        <f>IFERROR(aurora_data!J1964,0)</f>
        <v>0</v>
      </c>
      <c r="L44" s="40">
        <f>IFERROR(aurora_data!K1964,0)</f>
        <v>0</v>
      </c>
      <c r="M44" s="40">
        <f>IFERROR(aurora_data!L1964,0)</f>
        <v>0</v>
      </c>
      <c r="N44" s="41">
        <f>IFERROR(aurora_data!M1964,0)</f>
        <v>0</v>
      </c>
      <c r="O44" s="39">
        <f>IFERROR(aurora_data!N1964,0)</f>
        <v>0</v>
      </c>
      <c r="P44" s="40">
        <f>IFERROR(aurora_data!O1964,0)</f>
        <v>0</v>
      </c>
      <c r="Q44" s="40">
        <f>IFERROR(aurora_data!P1964,0)</f>
        <v>0</v>
      </c>
      <c r="R44" s="41">
        <f>IFERROR(aurora_data!Q1964,0)</f>
        <v>0</v>
      </c>
      <c r="S44" s="40">
        <f>IFERROR(aurora_data!R1964,0)</f>
        <v>0</v>
      </c>
      <c r="T44" s="40">
        <f>IFERROR(aurora_data!S1964,0)</f>
        <v>0</v>
      </c>
      <c r="U44" s="76">
        <f>IFERROR(aurora_data!T1964,0)</f>
        <v>0</v>
      </c>
      <c r="V44" s="61" t="s">
        <v>95</v>
      </c>
      <c r="W44" s="39">
        <f>IFERROR(aurora_data!U1964,0)</f>
        <v>19</v>
      </c>
      <c r="X44" s="70">
        <f>IFERROR(W44/$W$12,0)</f>
        <v>1</v>
      </c>
      <c r="Y44" s="2"/>
    </row>
    <row r="45" spans="1:25" customFormat="1">
      <c r="A45" s="2"/>
      <c r="B45" s="211"/>
      <c r="C45" s="213"/>
      <c r="D45" s="35" t="s">
        <v>96</v>
      </c>
      <c r="E45" s="110">
        <f>IFERROR(aurora_data!D1965,0)</f>
        <v>1</v>
      </c>
      <c r="F45" s="62">
        <f>IFERROR(aurora_data!E1965,0)</f>
        <v>0</v>
      </c>
      <c r="G45" s="62">
        <f>IFERROR(aurora_data!F1965,0)</f>
        <v>3</v>
      </c>
      <c r="H45" s="62">
        <f>IFERROR(aurora_data!G1965,0)</f>
        <v>2</v>
      </c>
      <c r="I45" s="63">
        <f>IFERROR(aurora_data!H1965,0)</f>
        <v>1</v>
      </c>
      <c r="J45" s="36">
        <f>IFERROR(aurora_data!I1965,0)</f>
        <v>0</v>
      </c>
      <c r="K45" s="62">
        <f>IFERROR(aurora_data!J1965,0)</f>
        <v>0</v>
      </c>
      <c r="L45" s="62">
        <f>IFERROR(aurora_data!K1965,0)</f>
        <v>1</v>
      </c>
      <c r="M45" s="62">
        <f>IFERROR(aurora_data!L1965,0)</f>
        <v>1</v>
      </c>
      <c r="N45" s="63">
        <f>IFERROR(aurora_data!M1965,0)</f>
        <v>5</v>
      </c>
      <c r="O45" s="36">
        <f>IFERROR(aurora_data!N1965,0)</f>
        <v>6</v>
      </c>
      <c r="P45" s="62">
        <f>IFERROR(aurora_data!O1965,0)</f>
        <v>0</v>
      </c>
      <c r="Q45" s="62">
        <f>IFERROR(aurora_data!P1965,0)</f>
        <v>0</v>
      </c>
      <c r="R45" s="63">
        <f>IFERROR(aurora_data!Q1965,0)</f>
        <v>1</v>
      </c>
      <c r="S45" s="62">
        <f>IFERROR(aurora_data!R1965,0)</f>
        <v>5</v>
      </c>
      <c r="T45" s="62">
        <f>IFERROR(aurora_data!S1965,0)</f>
        <v>2</v>
      </c>
      <c r="U45" s="63">
        <f>IFERROR(aurora_data!T1965,0)</f>
        <v>0</v>
      </c>
      <c r="V45" s="64" t="s">
        <v>95</v>
      </c>
      <c r="W45" s="36">
        <f>IFERROR(aurora_data!U1965,0)</f>
        <v>7</v>
      </c>
      <c r="X45" s="71">
        <f t="shared" ref="X45:X51" si="4">IFERROR(W45/$W$12,0)</f>
        <v>0.36842105263157893</v>
      </c>
      <c r="Y45" s="2"/>
    </row>
    <row r="46" spans="1:25" customFormat="1">
      <c r="A46" s="2"/>
      <c r="B46" s="211"/>
      <c r="C46" s="213"/>
      <c r="D46" s="35" t="s">
        <v>60</v>
      </c>
      <c r="E46" s="110">
        <f>IFERROR(aurora_data!D1966,0)</f>
        <v>0</v>
      </c>
      <c r="F46" s="62">
        <f>IFERROR(aurora_data!E1966,0)</f>
        <v>0</v>
      </c>
      <c r="G46" s="62">
        <f>IFERROR(aurora_data!F1966,0)</f>
        <v>0</v>
      </c>
      <c r="H46" s="62">
        <f>IFERROR(aurora_data!G1966,0)</f>
        <v>0</v>
      </c>
      <c r="I46" s="63">
        <f>IFERROR(aurora_data!H1966,0)</f>
        <v>0</v>
      </c>
      <c r="J46" s="36">
        <f>IFERROR(aurora_data!I1966,0)</f>
        <v>0</v>
      </c>
      <c r="K46" s="62">
        <f>IFERROR(aurora_data!J1966,0)</f>
        <v>0</v>
      </c>
      <c r="L46" s="62">
        <f>IFERROR(aurora_data!K1966,0)</f>
        <v>0</v>
      </c>
      <c r="M46" s="62">
        <f>IFERROR(aurora_data!L1966,0)</f>
        <v>0</v>
      </c>
      <c r="N46" s="63">
        <f>IFERROR(aurora_data!M1966,0)</f>
        <v>0</v>
      </c>
      <c r="O46" s="36">
        <f>IFERROR(aurora_data!N1966,0)</f>
        <v>0</v>
      </c>
      <c r="P46" s="62">
        <f>IFERROR(aurora_data!O1966,0)</f>
        <v>0</v>
      </c>
      <c r="Q46" s="62">
        <f>IFERROR(aurora_data!P1966,0)</f>
        <v>0</v>
      </c>
      <c r="R46" s="63">
        <f>IFERROR(aurora_data!Q1966,0)</f>
        <v>0</v>
      </c>
      <c r="S46" s="62">
        <f>IFERROR(aurora_data!R1966,0)</f>
        <v>0</v>
      </c>
      <c r="T46" s="62">
        <f>IFERROR(aurora_data!S1966,0)</f>
        <v>0</v>
      </c>
      <c r="U46" s="63">
        <f>IFERROR(aurora_data!T1966,0)</f>
        <v>0</v>
      </c>
      <c r="V46" s="64" t="s">
        <v>95</v>
      </c>
      <c r="W46" s="36">
        <f>IFERROR(aurora_data!U1966,0)</f>
        <v>0</v>
      </c>
      <c r="X46" s="71">
        <f t="shared" si="4"/>
        <v>0</v>
      </c>
      <c r="Y46" s="2"/>
    </row>
    <row r="47" spans="1:25" customFormat="1">
      <c r="A47" s="2"/>
      <c r="B47" s="211"/>
      <c r="C47" s="213"/>
      <c r="D47" s="35" t="s">
        <v>97</v>
      </c>
      <c r="E47" s="36">
        <f>IFERROR(aurora_data!D1967,0)</f>
        <v>0</v>
      </c>
      <c r="F47" s="62">
        <f>IFERROR(aurora_data!E1967,0)</f>
        <v>0</v>
      </c>
      <c r="G47" s="62">
        <f>IFERROR(aurora_data!F1967,0)</f>
        <v>0</v>
      </c>
      <c r="H47" s="62">
        <f>IFERROR(aurora_data!G1967,0)</f>
        <v>0</v>
      </c>
      <c r="I47" s="63">
        <f>IFERROR(aurora_data!H1967,0)</f>
        <v>0</v>
      </c>
      <c r="J47" s="36">
        <f>IFERROR(aurora_data!I1967,0)</f>
        <v>0</v>
      </c>
      <c r="K47" s="62">
        <f>IFERROR(aurora_data!J1967,0)</f>
        <v>0</v>
      </c>
      <c r="L47" s="62">
        <f>IFERROR(aurora_data!K1967,0)</f>
        <v>0</v>
      </c>
      <c r="M47" s="62">
        <f>IFERROR(aurora_data!L1967,0)</f>
        <v>0</v>
      </c>
      <c r="N47" s="63">
        <f>IFERROR(aurora_data!M1967,0)</f>
        <v>0</v>
      </c>
      <c r="O47" s="36">
        <f>IFERROR(aurora_data!N1967,0)</f>
        <v>0</v>
      </c>
      <c r="P47" s="62">
        <f>IFERROR(aurora_data!O1967,0)</f>
        <v>0</v>
      </c>
      <c r="Q47" s="62">
        <f>IFERROR(aurora_data!P1967,0)</f>
        <v>0</v>
      </c>
      <c r="R47" s="63">
        <f>IFERROR(aurora_data!Q1967,0)</f>
        <v>0</v>
      </c>
      <c r="S47" s="62">
        <f>IFERROR(aurora_data!R1967,0)</f>
        <v>0</v>
      </c>
      <c r="T47" s="62">
        <f>IFERROR(aurora_data!S1967,0)</f>
        <v>0</v>
      </c>
      <c r="U47" s="63">
        <f>IFERROR(aurora_data!T1967,0)</f>
        <v>0</v>
      </c>
      <c r="V47" s="64" t="s">
        <v>95</v>
      </c>
      <c r="W47" s="36">
        <f>IFERROR(aurora_data!U1967,0)</f>
        <v>0</v>
      </c>
      <c r="X47" s="71">
        <f t="shared" si="4"/>
        <v>0</v>
      </c>
      <c r="Y47" s="2"/>
    </row>
    <row r="48" spans="1:25" customFormat="1">
      <c r="A48" s="2"/>
      <c r="B48" s="211"/>
      <c r="C48" s="213"/>
      <c r="D48" s="35" t="s">
        <v>98</v>
      </c>
      <c r="E48" s="36">
        <f>IFERROR(aurora_data!D1968,0)</f>
        <v>0</v>
      </c>
      <c r="F48" s="62">
        <f>IFERROR(aurora_data!E1968,0)</f>
        <v>0</v>
      </c>
      <c r="G48" s="62">
        <f>IFERROR(aurora_data!F1968,0)</f>
        <v>0</v>
      </c>
      <c r="H48" s="62">
        <f>IFERROR(aurora_data!G1968,0)</f>
        <v>0</v>
      </c>
      <c r="I48" s="63">
        <f>IFERROR(aurora_data!H1968,0)</f>
        <v>0</v>
      </c>
      <c r="J48" s="36">
        <f>IFERROR(aurora_data!I1968,0)</f>
        <v>0</v>
      </c>
      <c r="K48" s="62">
        <f>IFERROR(aurora_data!J1968,0)</f>
        <v>0</v>
      </c>
      <c r="L48" s="62">
        <f>IFERROR(aurora_data!K1968,0)</f>
        <v>0</v>
      </c>
      <c r="M48" s="62">
        <f>IFERROR(aurora_data!L1968,0)</f>
        <v>0</v>
      </c>
      <c r="N48" s="63">
        <f>IFERROR(aurora_data!M1968,0)</f>
        <v>0</v>
      </c>
      <c r="O48" s="36">
        <f>IFERROR(aurora_data!N1968,0)</f>
        <v>0</v>
      </c>
      <c r="P48" s="62">
        <f>IFERROR(aurora_data!O1968,0)</f>
        <v>0</v>
      </c>
      <c r="Q48" s="62">
        <f>IFERROR(aurora_data!P1968,0)</f>
        <v>0</v>
      </c>
      <c r="R48" s="63">
        <f>IFERROR(aurora_data!Q1968,0)</f>
        <v>0</v>
      </c>
      <c r="S48" s="62">
        <f>IFERROR(aurora_data!R1968,0)</f>
        <v>0</v>
      </c>
      <c r="T48" s="62">
        <f>IFERROR(aurora_data!S1968,0)</f>
        <v>0</v>
      </c>
      <c r="U48" s="63">
        <f>IFERROR(aurora_data!T1968,0)</f>
        <v>0</v>
      </c>
      <c r="V48" s="64" t="s">
        <v>95</v>
      </c>
      <c r="W48" s="36">
        <f>IFERROR(aurora_data!U1968,0)</f>
        <v>0</v>
      </c>
      <c r="X48" s="71">
        <f t="shared" si="4"/>
        <v>0</v>
      </c>
      <c r="Y48" s="2"/>
    </row>
    <row r="49" spans="1:25" customFormat="1" ht="16.5" thickBot="1">
      <c r="A49" s="2"/>
      <c r="B49" s="211"/>
      <c r="C49" s="213"/>
      <c r="D49" s="35" t="s">
        <v>99</v>
      </c>
      <c r="E49" s="36">
        <f>IFERROR(aurora_data!D1969,0)</f>
        <v>0</v>
      </c>
      <c r="F49" s="62">
        <f>IFERROR(aurora_data!E1969,0)</f>
        <v>0</v>
      </c>
      <c r="G49" s="62">
        <f>IFERROR(aurora_data!F1969,0)</f>
        <v>0</v>
      </c>
      <c r="H49" s="62">
        <f>IFERROR(aurora_data!G1969,0)</f>
        <v>0</v>
      </c>
      <c r="I49" s="63">
        <f>IFERROR(aurora_data!H1969,0)</f>
        <v>0</v>
      </c>
      <c r="J49" s="36">
        <f>IFERROR(aurora_data!I1969,0)</f>
        <v>0</v>
      </c>
      <c r="K49" s="62">
        <f>IFERROR(aurora_data!J1969,0)</f>
        <v>0</v>
      </c>
      <c r="L49" s="62">
        <f>IFERROR(aurora_data!K1969,0)</f>
        <v>0</v>
      </c>
      <c r="M49" s="62">
        <f>IFERROR(aurora_data!L1969,0)</f>
        <v>0</v>
      </c>
      <c r="N49" s="63">
        <f>IFERROR(aurora_data!M1969,0)</f>
        <v>0</v>
      </c>
      <c r="O49" s="36">
        <f>IFERROR(aurora_data!N1969,0)</f>
        <v>0</v>
      </c>
      <c r="P49" s="62">
        <f>IFERROR(aurora_data!O1969,0)</f>
        <v>0</v>
      </c>
      <c r="Q49" s="62">
        <f>IFERROR(aurora_data!P1969,0)</f>
        <v>0</v>
      </c>
      <c r="R49" s="63">
        <f>IFERROR(aurora_data!Q1969,0)</f>
        <v>0</v>
      </c>
      <c r="S49" s="62">
        <f>IFERROR(aurora_data!R1969,0)</f>
        <v>0</v>
      </c>
      <c r="T49" s="62">
        <f>IFERROR(aurora_data!S1969,0)</f>
        <v>0</v>
      </c>
      <c r="U49" s="63">
        <f>IFERROR(aurora_data!T1969,0)</f>
        <v>0</v>
      </c>
      <c r="V49" s="64" t="s">
        <v>95</v>
      </c>
      <c r="W49" s="36">
        <f>IFERROR(aurora_data!U1969,0)</f>
        <v>0</v>
      </c>
      <c r="X49" s="71">
        <f t="shared" si="4"/>
        <v>0</v>
      </c>
      <c r="Y49" s="2"/>
    </row>
    <row r="50" spans="1:25" customFormat="1" ht="16.5" thickBot="1">
      <c r="A50" s="2"/>
      <c r="B50" s="211"/>
      <c r="C50" s="213"/>
      <c r="D50" s="37" t="s">
        <v>64</v>
      </c>
      <c r="E50" s="59">
        <f>IFERROR(aurora_data!D1970,0)</f>
        <v>1</v>
      </c>
      <c r="F50" s="65">
        <f>IFERROR(aurora_data!E1970,0)</f>
        <v>0</v>
      </c>
      <c r="G50" s="65">
        <f>IFERROR(aurora_data!F1970,0)</f>
        <v>3</v>
      </c>
      <c r="H50" s="65">
        <f>IFERROR(aurora_data!G1970,0)</f>
        <v>2</v>
      </c>
      <c r="I50" s="66">
        <f>IFERROR(aurora_data!H1970,0)</f>
        <v>1</v>
      </c>
      <c r="J50" s="59">
        <f>IFERROR(aurora_data!I1970,0)</f>
        <v>0</v>
      </c>
      <c r="K50" s="65">
        <f>IFERROR(aurora_data!J1970,0)</f>
        <v>0</v>
      </c>
      <c r="L50" s="65">
        <f>IFERROR(aurora_data!K1970,0)</f>
        <v>1</v>
      </c>
      <c r="M50" s="65">
        <f>IFERROR(aurora_data!L1970,0)</f>
        <v>1</v>
      </c>
      <c r="N50" s="66">
        <f>IFERROR(aurora_data!M1970,0)</f>
        <v>5</v>
      </c>
      <c r="O50" s="59">
        <f>IFERROR(aurora_data!N1970,0)</f>
        <v>6</v>
      </c>
      <c r="P50" s="65">
        <f>IFERROR(aurora_data!O1970,0)</f>
        <v>0</v>
      </c>
      <c r="Q50" s="65">
        <f>IFERROR(aurora_data!P1970,0)</f>
        <v>0</v>
      </c>
      <c r="R50" s="66">
        <f>IFERROR(aurora_data!Q1970,0)</f>
        <v>1</v>
      </c>
      <c r="S50" s="65">
        <f>IFERROR(aurora_data!R1970,0)</f>
        <v>5</v>
      </c>
      <c r="T50" s="65">
        <f>IFERROR(aurora_data!S1970,0)</f>
        <v>2</v>
      </c>
      <c r="U50" s="66">
        <f>IFERROR(aurora_data!T1970,0)</f>
        <v>0</v>
      </c>
      <c r="V50" s="67" t="s">
        <v>95</v>
      </c>
      <c r="W50" s="59">
        <f>IFERROR(aurora_data!U1970,0)</f>
        <v>7</v>
      </c>
      <c r="X50" s="72">
        <f t="shared" si="4"/>
        <v>0.36842105263157893</v>
      </c>
      <c r="Y50" s="2"/>
    </row>
    <row r="51" spans="1:25" customFormat="1" ht="16.5" thickBot="1">
      <c r="A51" s="2"/>
      <c r="B51" s="211"/>
      <c r="C51" s="213"/>
      <c r="D51" s="38" t="s">
        <v>100</v>
      </c>
      <c r="E51" s="60">
        <f>IFERROR(aurora_data!D1971,0)</f>
        <v>0</v>
      </c>
      <c r="F51" s="68">
        <f>IFERROR(aurora_data!E1971,0)</f>
        <v>0</v>
      </c>
      <c r="G51" s="68">
        <f>IFERROR(aurora_data!F1971,0)</f>
        <v>0</v>
      </c>
      <c r="H51" s="68">
        <f>IFERROR(aurora_data!G1971,0)</f>
        <v>0</v>
      </c>
      <c r="I51" s="69">
        <f>IFERROR(aurora_data!H1971,0)</f>
        <v>0</v>
      </c>
      <c r="J51" s="60">
        <f>IFERROR(aurora_data!I1971,0)</f>
        <v>0</v>
      </c>
      <c r="K51" s="68">
        <f>IFERROR(aurora_data!J1971,0)</f>
        <v>0</v>
      </c>
      <c r="L51" s="68">
        <f>IFERROR(aurora_data!K1971,0)</f>
        <v>0</v>
      </c>
      <c r="M51" s="68">
        <f>IFERROR(aurora_data!L1971,0)</f>
        <v>0</v>
      </c>
      <c r="N51" s="69">
        <f>IFERROR(aurora_data!M1971,0)</f>
        <v>0</v>
      </c>
      <c r="O51" s="60">
        <f>IFERROR(aurora_data!N1971,0)</f>
        <v>0</v>
      </c>
      <c r="P51" s="68">
        <f>IFERROR(aurora_data!O1971,0)</f>
        <v>0</v>
      </c>
      <c r="Q51" s="68">
        <f>IFERROR(aurora_data!P1971,0)</f>
        <v>0</v>
      </c>
      <c r="R51" s="69">
        <f>IFERROR(aurora_data!Q1971,0)</f>
        <v>0</v>
      </c>
      <c r="S51" s="68">
        <f>IFERROR(aurora_data!R1971,0)</f>
        <v>0</v>
      </c>
      <c r="T51" s="68">
        <f>IFERROR(aurora_data!S1971,0)</f>
        <v>0</v>
      </c>
      <c r="U51" s="74">
        <f>IFERROR(aurora_data!T1971,0)</f>
        <v>0</v>
      </c>
      <c r="V51" s="75" t="s">
        <v>95</v>
      </c>
      <c r="W51" s="60">
        <f>IFERROR(aurora_data!U1971,0)</f>
        <v>0</v>
      </c>
      <c r="X51" s="73">
        <f t="shared" si="4"/>
        <v>0</v>
      </c>
      <c r="Y51" s="2"/>
    </row>
    <row r="52" spans="1:25" customFormat="1">
      <c r="A52" s="2"/>
      <c r="B52" s="210" t="s">
        <v>94</v>
      </c>
      <c r="C52" s="212" t="str">
        <f>aurora_data!A1972</f>
        <v>11.00.00-11.11.30</v>
      </c>
      <c r="D52" s="34" t="s">
        <v>71</v>
      </c>
      <c r="E52" s="39">
        <f>IFERROR(aurora_data!D1972,0)</f>
        <v>0</v>
      </c>
      <c r="F52" s="40">
        <f>IFERROR(aurora_data!E1972,0)</f>
        <v>0</v>
      </c>
      <c r="G52" s="40">
        <f>IFERROR(aurora_data!F1972,0)</f>
        <v>0</v>
      </c>
      <c r="H52" s="40">
        <f>IFERROR(aurora_data!G1972,0)</f>
        <v>0</v>
      </c>
      <c r="I52" s="41">
        <f>IFERROR(aurora_data!H1972,0)</f>
        <v>0</v>
      </c>
      <c r="J52" s="39">
        <f>IFERROR(aurora_data!I1972,0)</f>
        <v>0</v>
      </c>
      <c r="K52" s="40">
        <f>IFERROR(aurora_data!J1972,0)</f>
        <v>0</v>
      </c>
      <c r="L52" s="40">
        <f>IFERROR(aurora_data!K1972,0)</f>
        <v>0</v>
      </c>
      <c r="M52" s="40">
        <f>IFERROR(aurora_data!L1972,0)</f>
        <v>0</v>
      </c>
      <c r="N52" s="41">
        <f>IFERROR(aurora_data!M1972,0)</f>
        <v>0</v>
      </c>
      <c r="O52" s="39">
        <f>IFERROR(aurora_data!N1972,0)</f>
        <v>0</v>
      </c>
      <c r="P52" s="40">
        <f>IFERROR(aurora_data!O1972,0)</f>
        <v>0</v>
      </c>
      <c r="Q52" s="40">
        <f>IFERROR(aurora_data!P1972,0)</f>
        <v>0</v>
      </c>
      <c r="R52" s="41">
        <f>IFERROR(aurora_data!Q1972,0)</f>
        <v>0</v>
      </c>
      <c r="S52" s="40">
        <f>IFERROR(aurora_data!R1972,0)</f>
        <v>0</v>
      </c>
      <c r="T52" s="40">
        <f>IFERROR(aurora_data!S1972,0)</f>
        <v>0</v>
      </c>
      <c r="U52" s="76">
        <f>IFERROR(aurora_data!T1972,0)</f>
        <v>0</v>
      </c>
      <c r="V52" s="61" t="s">
        <v>95</v>
      </c>
      <c r="W52" s="39">
        <f>IFERROR(aurora_data!U1972,0)</f>
        <v>20</v>
      </c>
      <c r="X52" s="70">
        <f>IFERROR(W52/$W$12,0)</f>
        <v>1.0526315789473684</v>
      </c>
      <c r="Y52" s="2"/>
    </row>
    <row r="53" spans="1:25" customFormat="1">
      <c r="A53" s="2"/>
      <c r="B53" s="211"/>
      <c r="C53" s="213"/>
      <c r="D53" s="35" t="s">
        <v>96</v>
      </c>
      <c r="E53" s="110">
        <f>IFERROR(aurora_data!D1973,0)</f>
        <v>0</v>
      </c>
      <c r="F53" s="62">
        <f>IFERROR(aurora_data!E1973,0)</f>
        <v>0</v>
      </c>
      <c r="G53" s="62">
        <f>IFERROR(aurora_data!F1973,0)</f>
        <v>2</v>
      </c>
      <c r="H53" s="62">
        <f>IFERROR(aurora_data!G1973,0)</f>
        <v>2</v>
      </c>
      <c r="I53" s="63">
        <f>IFERROR(aurora_data!H1973,0)</f>
        <v>6</v>
      </c>
      <c r="J53" s="36">
        <f>IFERROR(aurora_data!I1973,0)</f>
        <v>0</v>
      </c>
      <c r="K53" s="62">
        <f>IFERROR(aurora_data!J1973,0)</f>
        <v>3</v>
      </c>
      <c r="L53" s="62">
        <f>IFERROR(aurora_data!K1973,0)</f>
        <v>2</v>
      </c>
      <c r="M53" s="62">
        <f>IFERROR(aurora_data!L1973,0)</f>
        <v>2</v>
      </c>
      <c r="N53" s="63">
        <f>IFERROR(aurora_data!M1973,0)</f>
        <v>3</v>
      </c>
      <c r="O53" s="36">
        <f>IFERROR(aurora_data!N1973,0)</f>
        <v>4</v>
      </c>
      <c r="P53" s="62">
        <f>IFERROR(aurora_data!O1973,0)</f>
        <v>3</v>
      </c>
      <c r="Q53" s="62">
        <f>IFERROR(aurora_data!P1973,0)</f>
        <v>3</v>
      </c>
      <c r="R53" s="63">
        <f>IFERROR(aurora_data!Q1973,0)</f>
        <v>0</v>
      </c>
      <c r="S53" s="62">
        <f>IFERROR(aurora_data!R1973,0)</f>
        <v>3</v>
      </c>
      <c r="T53" s="62">
        <f>IFERROR(aurora_data!S1973,0)</f>
        <v>7</v>
      </c>
      <c r="U53" s="63">
        <f>IFERROR(aurora_data!T1973,0)</f>
        <v>0</v>
      </c>
      <c r="V53" s="64" t="s">
        <v>95</v>
      </c>
      <c r="W53" s="36">
        <f>IFERROR(aurora_data!U1973,0)</f>
        <v>10</v>
      </c>
      <c r="X53" s="71">
        <f t="shared" ref="X53:X59" si="5">IFERROR(W53/$W$12,0)</f>
        <v>0.52631578947368418</v>
      </c>
      <c r="Y53" s="2"/>
    </row>
    <row r="54" spans="1:25" customFormat="1">
      <c r="A54" s="2"/>
      <c r="B54" s="211"/>
      <c r="C54" s="213"/>
      <c r="D54" s="35" t="s">
        <v>60</v>
      </c>
      <c r="E54" s="110">
        <f>IFERROR(aurora_data!D1974,0)</f>
        <v>0</v>
      </c>
      <c r="F54" s="62">
        <f>IFERROR(aurora_data!E1974,0)</f>
        <v>0</v>
      </c>
      <c r="G54" s="62">
        <f>IFERROR(aurora_data!F1974,0)</f>
        <v>0</v>
      </c>
      <c r="H54" s="62">
        <f>IFERROR(aurora_data!G1974,0)</f>
        <v>0</v>
      </c>
      <c r="I54" s="63">
        <f>IFERROR(aurora_data!H1974,0)</f>
        <v>0</v>
      </c>
      <c r="J54" s="36">
        <f>IFERROR(aurora_data!I1974,0)</f>
        <v>0</v>
      </c>
      <c r="K54" s="62">
        <f>IFERROR(aurora_data!J1974,0)</f>
        <v>0</v>
      </c>
      <c r="L54" s="62">
        <f>IFERROR(aurora_data!K1974,0)</f>
        <v>0</v>
      </c>
      <c r="M54" s="62">
        <f>IFERROR(aurora_data!L1974,0)</f>
        <v>0</v>
      </c>
      <c r="N54" s="63">
        <f>IFERROR(aurora_data!M1974,0)</f>
        <v>0</v>
      </c>
      <c r="O54" s="36">
        <f>IFERROR(aurora_data!N1974,0)</f>
        <v>0</v>
      </c>
      <c r="P54" s="62">
        <f>IFERROR(aurora_data!O1974,0)</f>
        <v>0</v>
      </c>
      <c r="Q54" s="62">
        <f>IFERROR(aurora_data!P1974,0)</f>
        <v>0</v>
      </c>
      <c r="R54" s="63">
        <f>IFERROR(aurora_data!Q1974,0)</f>
        <v>0</v>
      </c>
      <c r="S54" s="62">
        <f>IFERROR(aurora_data!R1974,0)</f>
        <v>0</v>
      </c>
      <c r="T54" s="62">
        <f>IFERROR(aurora_data!S1974,0)</f>
        <v>0</v>
      </c>
      <c r="U54" s="63">
        <f>IFERROR(aurora_data!T1974,0)</f>
        <v>0</v>
      </c>
      <c r="V54" s="64" t="s">
        <v>95</v>
      </c>
      <c r="W54" s="36">
        <f>IFERROR(aurora_data!U1974,0)</f>
        <v>0</v>
      </c>
      <c r="X54" s="71">
        <f t="shared" si="5"/>
        <v>0</v>
      </c>
      <c r="Y54" s="2"/>
    </row>
    <row r="55" spans="1:25" customFormat="1">
      <c r="A55" s="2"/>
      <c r="B55" s="211"/>
      <c r="C55" s="213"/>
      <c r="D55" s="35" t="s">
        <v>97</v>
      </c>
      <c r="E55" s="36">
        <f>IFERROR(aurora_data!D1975,0)</f>
        <v>0</v>
      </c>
      <c r="F55" s="62">
        <f>IFERROR(aurora_data!E1975,0)</f>
        <v>0</v>
      </c>
      <c r="G55" s="62">
        <f>IFERROR(aurora_data!F1975,0)</f>
        <v>0</v>
      </c>
      <c r="H55" s="62">
        <f>IFERROR(aurora_data!G1975,0)</f>
        <v>0</v>
      </c>
      <c r="I55" s="63">
        <f>IFERROR(aurora_data!H1975,0)</f>
        <v>0</v>
      </c>
      <c r="J55" s="36">
        <f>IFERROR(aurora_data!I1975,0)</f>
        <v>0</v>
      </c>
      <c r="K55" s="62">
        <f>IFERROR(aurora_data!J1975,0)</f>
        <v>0</v>
      </c>
      <c r="L55" s="62">
        <f>IFERROR(aurora_data!K1975,0)</f>
        <v>0</v>
      </c>
      <c r="M55" s="62">
        <f>IFERROR(aurora_data!L1975,0)</f>
        <v>0</v>
      </c>
      <c r="N55" s="63">
        <f>IFERROR(aurora_data!M1975,0)</f>
        <v>0</v>
      </c>
      <c r="O55" s="36">
        <f>IFERROR(aurora_data!N1975,0)</f>
        <v>0</v>
      </c>
      <c r="P55" s="62">
        <f>IFERROR(aurora_data!O1975,0)</f>
        <v>0</v>
      </c>
      <c r="Q55" s="62">
        <f>IFERROR(aurora_data!P1975,0)</f>
        <v>0</v>
      </c>
      <c r="R55" s="63">
        <f>IFERROR(aurora_data!Q1975,0)</f>
        <v>0</v>
      </c>
      <c r="S55" s="62">
        <f>IFERROR(aurora_data!R1975,0)</f>
        <v>0</v>
      </c>
      <c r="T55" s="62">
        <f>IFERROR(aurora_data!S1975,0)</f>
        <v>0</v>
      </c>
      <c r="U55" s="63">
        <f>IFERROR(aurora_data!T1975,0)</f>
        <v>0</v>
      </c>
      <c r="V55" s="64" t="s">
        <v>95</v>
      </c>
      <c r="W55" s="36">
        <f>IFERROR(aurora_data!U1975,0)</f>
        <v>0</v>
      </c>
      <c r="X55" s="71">
        <f t="shared" si="5"/>
        <v>0</v>
      </c>
      <c r="Y55" s="2"/>
    </row>
    <row r="56" spans="1:25" customFormat="1">
      <c r="A56" s="2"/>
      <c r="B56" s="211"/>
      <c r="C56" s="213"/>
      <c r="D56" s="35" t="s">
        <v>98</v>
      </c>
      <c r="E56" s="36">
        <f>IFERROR(aurora_data!D1976,0)</f>
        <v>0</v>
      </c>
      <c r="F56" s="62">
        <f>IFERROR(aurora_data!E1976,0)</f>
        <v>0</v>
      </c>
      <c r="G56" s="62">
        <f>IFERROR(aurora_data!F1976,0)</f>
        <v>0</v>
      </c>
      <c r="H56" s="62">
        <f>IFERROR(aurora_data!G1976,0)</f>
        <v>0</v>
      </c>
      <c r="I56" s="63">
        <f>IFERROR(aurora_data!H1976,0)</f>
        <v>0</v>
      </c>
      <c r="J56" s="36">
        <f>IFERROR(aurora_data!I1976,0)</f>
        <v>0</v>
      </c>
      <c r="K56" s="62">
        <f>IFERROR(aurora_data!J1976,0)</f>
        <v>0</v>
      </c>
      <c r="L56" s="62">
        <f>IFERROR(aurora_data!K1976,0)</f>
        <v>0</v>
      </c>
      <c r="M56" s="62">
        <f>IFERROR(aurora_data!L1976,0)</f>
        <v>0</v>
      </c>
      <c r="N56" s="63">
        <f>IFERROR(aurora_data!M1976,0)</f>
        <v>0</v>
      </c>
      <c r="O56" s="36">
        <f>IFERROR(aurora_data!N1976,0)</f>
        <v>0</v>
      </c>
      <c r="P56" s="62">
        <f>IFERROR(aurora_data!O1976,0)</f>
        <v>0</v>
      </c>
      <c r="Q56" s="62">
        <f>IFERROR(aurora_data!P1976,0)</f>
        <v>0</v>
      </c>
      <c r="R56" s="63">
        <f>IFERROR(aurora_data!Q1976,0)</f>
        <v>0</v>
      </c>
      <c r="S56" s="62">
        <f>IFERROR(aurora_data!R1976,0)</f>
        <v>0</v>
      </c>
      <c r="T56" s="62">
        <f>IFERROR(aurora_data!S1976,0)</f>
        <v>0</v>
      </c>
      <c r="U56" s="63">
        <f>IFERROR(aurora_data!T1976,0)</f>
        <v>0</v>
      </c>
      <c r="V56" s="64" t="s">
        <v>95</v>
      </c>
      <c r="W56" s="36">
        <f>IFERROR(aurora_data!U1976,0)</f>
        <v>0</v>
      </c>
      <c r="X56" s="71">
        <f t="shared" si="5"/>
        <v>0</v>
      </c>
      <c r="Y56" s="2"/>
    </row>
    <row r="57" spans="1:25" customFormat="1" ht="16.5" thickBot="1">
      <c r="A57" s="2"/>
      <c r="B57" s="211"/>
      <c r="C57" s="213"/>
      <c r="D57" s="35" t="s">
        <v>99</v>
      </c>
      <c r="E57" s="36">
        <f>IFERROR(aurora_data!D1977,0)</f>
        <v>0</v>
      </c>
      <c r="F57" s="62">
        <f>IFERROR(aurora_data!E1977,0)</f>
        <v>0</v>
      </c>
      <c r="G57" s="62">
        <f>IFERROR(aurora_data!F1977,0)</f>
        <v>0</v>
      </c>
      <c r="H57" s="62">
        <f>IFERROR(aurora_data!G1977,0)</f>
        <v>0</v>
      </c>
      <c r="I57" s="63">
        <f>IFERROR(aurora_data!H1977,0)</f>
        <v>0</v>
      </c>
      <c r="J57" s="36">
        <f>IFERROR(aurora_data!I1977,0)</f>
        <v>0</v>
      </c>
      <c r="K57" s="62">
        <f>IFERROR(aurora_data!J1977,0)</f>
        <v>0</v>
      </c>
      <c r="L57" s="62">
        <f>IFERROR(aurora_data!K1977,0)</f>
        <v>0</v>
      </c>
      <c r="M57" s="62">
        <f>IFERROR(aurora_data!L1977,0)</f>
        <v>0</v>
      </c>
      <c r="N57" s="63">
        <f>IFERROR(aurora_data!M1977,0)</f>
        <v>0</v>
      </c>
      <c r="O57" s="36">
        <f>IFERROR(aurora_data!N1977,0)</f>
        <v>0</v>
      </c>
      <c r="P57" s="62">
        <f>IFERROR(aurora_data!O1977,0)</f>
        <v>0</v>
      </c>
      <c r="Q57" s="62">
        <f>IFERROR(aurora_data!P1977,0)</f>
        <v>0</v>
      </c>
      <c r="R57" s="63">
        <f>IFERROR(aurora_data!Q1977,0)</f>
        <v>0</v>
      </c>
      <c r="S57" s="62">
        <f>IFERROR(aurora_data!R1977,0)</f>
        <v>0</v>
      </c>
      <c r="T57" s="62">
        <f>IFERROR(aurora_data!S1977,0)</f>
        <v>0</v>
      </c>
      <c r="U57" s="63">
        <f>IFERROR(aurora_data!T1977,0)</f>
        <v>0</v>
      </c>
      <c r="V57" s="64" t="s">
        <v>95</v>
      </c>
      <c r="W57" s="36">
        <f>IFERROR(aurora_data!U1977,0)</f>
        <v>0</v>
      </c>
      <c r="X57" s="71">
        <f t="shared" si="5"/>
        <v>0</v>
      </c>
      <c r="Y57" s="2"/>
    </row>
    <row r="58" spans="1:25" customFormat="1" ht="16.5" thickBot="1">
      <c r="A58" s="2"/>
      <c r="B58" s="211"/>
      <c r="C58" s="213"/>
      <c r="D58" s="37" t="s">
        <v>64</v>
      </c>
      <c r="E58" s="59">
        <f>IFERROR(aurora_data!D1978,0)</f>
        <v>0</v>
      </c>
      <c r="F58" s="65">
        <f>IFERROR(aurora_data!E1978,0)</f>
        <v>0</v>
      </c>
      <c r="G58" s="65">
        <f>IFERROR(aurora_data!F1978,0)</f>
        <v>2</v>
      </c>
      <c r="H58" s="65">
        <f>IFERROR(aurora_data!G1978,0)</f>
        <v>2</v>
      </c>
      <c r="I58" s="66">
        <f>IFERROR(aurora_data!H1978,0)</f>
        <v>6</v>
      </c>
      <c r="J58" s="59">
        <f>IFERROR(aurora_data!I1978,0)</f>
        <v>0</v>
      </c>
      <c r="K58" s="65">
        <f>IFERROR(aurora_data!J1978,0)</f>
        <v>3</v>
      </c>
      <c r="L58" s="65">
        <f>IFERROR(aurora_data!K1978,0)</f>
        <v>2</v>
      </c>
      <c r="M58" s="65">
        <f>IFERROR(aurora_data!L1978,0)</f>
        <v>2</v>
      </c>
      <c r="N58" s="66">
        <f>IFERROR(aurora_data!M1978,0)</f>
        <v>3</v>
      </c>
      <c r="O58" s="59">
        <f>IFERROR(aurora_data!N1978,0)</f>
        <v>4</v>
      </c>
      <c r="P58" s="65">
        <f>IFERROR(aurora_data!O1978,0)</f>
        <v>3</v>
      </c>
      <c r="Q58" s="65">
        <f>IFERROR(aurora_data!P1978,0)</f>
        <v>3</v>
      </c>
      <c r="R58" s="66">
        <f>IFERROR(aurora_data!Q1978,0)</f>
        <v>0</v>
      </c>
      <c r="S58" s="65">
        <f>IFERROR(aurora_data!R1978,0)</f>
        <v>3</v>
      </c>
      <c r="T58" s="65">
        <f>IFERROR(aurora_data!S1978,0)</f>
        <v>7</v>
      </c>
      <c r="U58" s="66">
        <f>IFERROR(aurora_data!T1978,0)</f>
        <v>0</v>
      </c>
      <c r="V58" s="67" t="s">
        <v>95</v>
      </c>
      <c r="W58" s="59">
        <f>IFERROR(aurora_data!U1978,0)</f>
        <v>10</v>
      </c>
      <c r="X58" s="72">
        <f t="shared" si="5"/>
        <v>0.52631578947368418</v>
      </c>
      <c r="Y58" s="2"/>
    </row>
    <row r="59" spans="1:25" customFormat="1" ht="16.5" thickBot="1">
      <c r="A59" s="2"/>
      <c r="B59" s="211"/>
      <c r="C59" s="213"/>
      <c r="D59" s="38" t="s">
        <v>100</v>
      </c>
      <c r="E59" s="60">
        <f>IFERROR(aurora_data!D1979,0)</f>
        <v>0</v>
      </c>
      <c r="F59" s="68">
        <f>IFERROR(aurora_data!E1979,0)</f>
        <v>0</v>
      </c>
      <c r="G59" s="68">
        <f>IFERROR(aurora_data!F1979,0)</f>
        <v>0</v>
      </c>
      <c r="H59" s="68">
        <f>IFERROR(aurora_data!G1979,0)</f>
        <v>1</v>
      </c>
      <c r="I59" s="69">
        <f>IFERROR(aurora_data!H1979,0)</f>
        <v>0</v>
      </c>
      <c r="J59" s="60">
        <f>IFERROR(aurora_data!I1979,0)</f>
        <v>0</v>
      </c>
      <c r="K59" s="68">
        <f>IFERROR(aurora_data!J1979,0)</f>
        <v>0</v>
      </c>
      <c r="L59" s="68">
        <f>IFERROR(aurora_data!K1979,0)</f>
        <v>0</v>
      </c>
      <c r="M59" s="68">
        <f>IFERROR(aurora_data!L1979,0)</f>
        <v>0</v>
      </c>
      <c r="N59" s="69">
        <f>IFERROR(aurora_data!M1979,0)</f>
        <v>1</v>
      </c>
      <c r="O59" s="60">
        <f>IFERROR(aurora_data!N1979,0)</f>
        <v>0</v>
      </c>
      <c r="P59" s="68">
        <f>IFERROR(aurora_data!O1979,0)</f>
        <v>0</v>
      </c>
      <c r="Q59" s="68">
        <f>IFERROR(aurora_data!P1979,0)</f>
        <v>1</v>
      </c>
      <c r="R59" s="69">
        <f>IFERROR(aurora_data!Q1979,0)</f>
        <v>0</v>
      </c>
      <c r="S59" s="68">
        <f>IFERROR(aurora_data!R1979,0)</f>
        <v>0</v>
      </c>
      <c r="T59" s="68">
        <f>IFERROR(aurora_data!S1979,0)</f>
        <v>1</v>
      </c>
      <c r="U59" s="74">
        <f>IFERROR(aurora_data!T1979,0)</f>
        <v>0</v>
      </c>
      <c r="V59" s="75" t="s">
        <v>95</v>
      </c>
      <c r="W59" s="60">
        <f>IFERROR(aurora_data!U1979,0)</f>
        <v>1</v>
      </c>
      <c r="X59" s="73">
        <f t="shared" si="5"/>
        <v>5.2631578947368418E-2</v>
      </c>
      <c r="Y59" s="2"/>
    </row>
    <row r="60" spans="1:25" customFormat="1">
      <c r="A60" s="2"/>
      <c r="B60" s="210" t="s">
        <v>94</v>
      </c>
      <c r="C60" s="212" t="str">
        <f>aurora_data!A1980</f>
        <v>12.00.00-12.11.30</v>
      </c>
      <c r="D60" s="34" t="s">
        <v>71</v>
      </c>
      <c r="E60" s="39">
        <f>IFERROR(aurora_data!D1980,0)</f>
        <v>0</v>
      </c>
      <c r="F60" s="40">
        <f>IFERROR(aurora_data!E1980,0)</f>
        <v>0</v>
      </c>
      <c r="G60" s="40">
        <f>IFERROR(aurora_data!F1980,0)</f>
        <v>0</v>
      </c>
      <c r="H60" s="40">
        <f>IFERROR(aurora_data!G1980,0)</f>
        <v>0</v>
      </c>
      <c r="I60" s="41">
        <f>IFERROR(aurora_data!H1980,0)</f>
        <v>0</v>
      </c>
      <c r="J60" s="39">
        <f>IFERROR(aurora_data!I1980,0)</f>
        <v>0</v>
      </c>
      <c r="K60" s="40">
        <f>IFERROR(aurora_data!J1980,0)</f>
        <v>0</v>
      </c>
      <c r="L60" s="40">
        <f>IFERROR(aurora_data!K1980,0)</f>
        <v>0</v>
      </c>
      <c r="M60" s="40">
        <f>IFERROR(aurora_data!L1980,0)</f>
        <v>0</v>
      </c>
      <c r="N60" s="41">
        <f>IFERROR(aurora_data!M1980,0)</f>
        <v>0</v>
      </c>
      <c r="O60" s="39">
        <f>IFERROR(aurora_data!N1980,0)</f>
        <v>0</v>
      </c>
      <c r="P60" s="40">
        <f>IFERROR(aurora_data!O1980,0)</f>
        <v>0</v>
      </c>
      <c r="Q60" s="40">
        <f>IFERROR(aurora_data!P1980,0)</f>
        <v>0</v>
      </c>
      <c r="R60" s="41">
        <f>IFERROR(aurora_data!Q1980,0)</f>
        <v>0</v>
      </c>
      <c r="S60" s="40">
        <f>IFERROR(aurora_data!R1980,0)</f>
        <v>0</v>
      </c>
      <c r="T60" s="40">
        <f>IFERROR(aurora_data!S1980,0)</f>
        <v>0</v>
      </c>
      <c r="U60" s="76">
        <f>IFERROR(aurora_data!T1980,0)</f>
        <v>0</v>
      </c>
      <c r="V60" s="61" t="s">
        <v>95</v>
      </c>
      <c r="W60" s="39">
        <f>IFERROR(aurora_data!U1980,0)</f>
        <v>19</v>
      </c>
      <c r="X60" s="70">
        <f>IFERROR(W60/$W$12,0)</f>
        <v>1</v>
      </c>
      <c r="Y60" s="2"/>
    </row>
    <row r="61" spans="1:25" customFormat="1">
      <c r="A61" s="2"/>
      <c r="B61" s="211"/>
      <c r="C61" s="213"/>
      <c r="D61" s="35" t="s">
        <v>96</v>
      </c>
      <c r="E61" s="110">
        <f>IFERROR(aurora_data!D1981,0)</f>
        <v>0</v>
      </c>
      <c r="F61" s="62">
        <f>IFERROR(aurora_data!E1981,0)</f>
        <v>1</v>
      </c>
      <c r="G61" s="62">
        <f>IFERROR(aurora_data!F1981,0)</f>
        <v>1</v>
      </c>
      <c r="H61" s="62">
        <f>IFERROR(aurora_data!G1981,0)</f>
        <v>1</v>
      </c>
      <c r="I61" s="63">
        <f>IFERROR(aurora_data!H1981,0)</f>
        <v>5</v>
      </c>
      <c r="J61" s="36">
        <f>IFERROR(aurora_data!I1981,0)</f>
        <v>0</v>
      </c>
      <c r="K61" s="62">
        <f>IFERROR(aurora_data!J1981,0)</f>
        <v>1</v>
      </c>
      <c r="L61" s="62">
        <f>IFERROR(aurora_data!K1981,0)</f>
        <v>2</v>
      </c>
      <c r="M61" s="62">
        <f>IFERROR(aurora_data!L1981,0)</f>
        <v>3</v>
      </c>
      <c r="N61" s="63">
        <f>IFERROR(aurora_data!M1981,0)</f>
        <v>2</v>
      </c>
      <c r="O61" s="36">
        <f>IFERROR(aurora_data!N1981,0)</f>
        <v>2</v>
      </c>
      <c r="P61" s="62">
        <f>IFERROR(aurora_data!O1981,0)</f>
        <v>2</v>
      </c>
      <c r="Q61" s="62">
        <f>IFERROR(aurora_data!P1981,0)</f>
        <v>3</v>
      </c>
      <c r="R61" s="63">
        <f>IFERROR(aurora_data!Q1981,0)</f>
        <v>1</v>
      </c>
      <c r="S61" s="62">
        <f>IFERROR(aurora_data!R1981,0)</f>
        <v>6</v>
      </c>
      <c r="T61" s="62">
        <f>IFERROR(aurora_data!S1981,0)</f>
        <v>2</v>
      </c>
      <c r="U61" s="63">
        <f>IFERROR(aurora_data!T1981,0)</f>
        <v>0</v>
      </c>
      <c r="V61" s="64" t="s">
        <v>95</v>
      </c>
      <c r="W61" s="36">
        <f>IFERROR(aurora_data!U1981,0)</f>
        <v>8</v>
      </c>
      <c r="X61" s="71">
        <f t="shared" ref="X61:X67" si="6">IFERROR(W61/$W$12,0)</f>
        <v>0.42105263157894735</v>
      </c>
      <c r="Y61" s="2"/>
    </row>
    <row r="62" spans="1:25" customFormat="1">
      <c r="A62" s="2"/>
      <c r="B62" s="211"/>
      <c r="C62" s="213"/>
      <c r="D62" s="35" t="s">
        <v>60</v>
      </c>
      <c r="E62" s="110">
        <f>IFERROR(aurora_data!D1982,0)</f>
        <v>0</v>
      </c>
      <c r="F62" s="62">
        <f>IFERROR(aurora_data!E1982,0)</f>
        <v>0</v>
      </c>
      <c r="G62" s="62">
        <f>IFERROR(aurora_data!F1982,0)</f>
        <v>0</v>
      </c>
      <c r="H62" s="62">
        <f>IFERROR(aurora_data!G1982,0)</f>
        <v>0</v>
      </c>
      <c r="I62" s="63">
        <f>IFERROR(aurora_data!H1982,0)</f>
        <v>0</v>
      </c>
      <c r="J62" s="36">
        <f>IFERROR(aurora_data!I1982,0)</f>
        <v>0</v>
      </c>
      <c r="K62" s="62">
        <f>IFERROR(aurora_data!J1982,0)</f>
        <v>0</v>
      </c>
      <c r="L62" s="62">
        <f>IFERROR(aurora_data!K1982,0)</f>
        <v>0</v>
      </c>
      <c r="M62" s="62">
        <f>IFERROR(aurora_data!L1982,0)</f>
        <v>0</v>
      </c>
      <c r="N62" s="63">
        <f>IFERROR(aurora_data!M1982,0)</f>
        <v>0</v>
      </c>
      <c r="O62" s="36">
        <f>IFERROR(aurora_data!N1982,0)</f>
        <v>0</v>
      </c>
      <c r="P62" s="62">
        <f>IFERROR(aurora_data!O1982,0)</f>
        <v>0</v>
      </c>
      <c r="Q62" s="62">
        <f>IFERROR(aurora_data!P1982,0)</f>
        <v>0</v>
      </c>
      <c r="R62" s="63">
        <f>IFERROR(aurora_data!Q1982,0)</f>
        <v>0</v>
      </c>
      <c r="S62" s="62">
        <f>IFERROR(aurora_data!R1982,0)</f>
        <v>0</v>
      </c>
      <c r="T62" s="62">
        <f>IFERROR(aurora_data!S1982,0)</f>
        <v>0</v>
      </c>
      <c r="U62" s="63">
        <f>IFERROR(aurora_data!T1982,0)</f>
        <v>0</v>
      </c>
      <c r="V62" s="64" t="s">
        <v>95</v>
      </c>
      <c r="W62" s="36">
        <f>IFERROR(aurora_data!U1982,0)</f>
        <v>0</v>
      </c>
      <c r="X62" s="71">
        <f t="shared" si="6"/>
        <v>0</v>
      </c>
      <c r="Y62" s="2"/>
    </row>
    <row r="63" spans="1:25" customFormat="1">
      <c r="A63" s="2"/>
      <c r="B63" s="211"/>
      <c r="C63" s="213"/>
      <c r="D63" s="35" t="s">
        <v>97</v>
      </c>
      <c r="E63" s="36">
        <f>IFERROR(aurora_data!D1983,0)</f>
        <v>0</v>
      </c>
      <c r="F63" s="62">
        <f>IFERROR(aurora_data!E1983,0)</f>
        <v>0</v>
      </c>
      <c r="G63" s="62">
        <f>IFERROR(aurora_data!F1983,0)</f>
        <v>0</v>
      </c>
      <c r="H63" s="62">
        <f>IFERROR(aurora_data!G1983,0)</f>
        <v>0</v>
      </c>
      <c r="I63" s="63">
        <f>IFERROR(aurora_data!H1983,0)</f>
        <v>0</v>
      </c>
      <c r="J63" s="36">
        <f>IFERROR(aurora_data!I1983,0)</f>
        <v>0</v>
      </c>
      <c r="K63" s="62">
        <f>IFERROR(aurora_data!J1983,0)</f>
        <v>0</v>
      </c>
      <c r="L63" s="62">
        <f>IFERROR(aurora_data!K1983,0)</f>
        <v>0</v>
      </c>
      <c r="M63" s="62">
        <f>IFERROR(aurora_data!L1983,0)</f>
        <v>0</v>
      </c>
      <c r="N63" s="63">
        <f>IFERROR(aurora_data!M1983,0)</f>
        <v>0</v>
      </c>
      <c r="O63" s="36">
        <f>IFERROR(aurora_data!N1983,0)</f>
        <v>0</v>
      </c>
      <c r="P63" s="62">
        <f>IFERROR(aurora_data!O1983,0)</f>
        <v>0</v>
      </c>
      <c r="Q63" s="62">
        <f>IFERROR(aurora_data!P1983,0)</f>
        <v>0</v>
      </c>
      <c r="R63" s="63">
        <f>IFERROR(aurora_data!Q1983,0)</f>
        <v>0</v>
      </c>
      <c r="S63" s="62">
        <f>IFERROR(aurora_data!R1983,0)</f>
        <v>0</v>
      </c>
      <c r="T63" s="62">
        <f>IFERROR(aurora_data!S1983,0)</f>
        <v>0</v>
      </c>
      <c r="U63" s="63">
        <f>IFERROR(aurora_data!T1983,0)</f>
        <v>0</v>
      </c>
      <c r="V63" s="64" t="s">
        <v>95</v>
      </c>
      <c r="W63" s="36">
        <f>IFERROR(aurora_data!U1983,0)</f>
        <v>0</v>
      </c>
      <c r="X63" s="71">
        <f t="shared" si="6"/>
        <v>0</v>
      </c>
      <c r="Y63" s="2"/>
    </row>
    <row r="64" spans="1:25" customFormat="1">
      <c r="A64" s="2"/>
      <c r="B64" s="211"/>
      <c r="C64" s="213"/>
      <c r="D64" s="35" t="s">
        <v>98</v>
      </c>
      <c r="E64" s="36">
        <f>IFERROR(aurora_data!D1984,0)</f>
        <v>0</v>
      </c>
      <c r="F64" s="62">
        <f>IFERROR(aurora_data!E1984,0)</f>
        <v>0</v>
      </c>
      <c r="G64" s="62">
        <f>IFERROR(aurora_data!F1984,0)</f>
        <v>0</v>
      </c>
      <c r="H64" s="62">
        <f>IFERROR(aurora_data!G1984,0)</f>
        <v>0</v>
      </c>
      <c r="I64" s="63">
        <f>IFERROR(aurora_data!H1984,0)</f>
        <v>0</v>
      </c>
      <c r="J64" s="36">
        <f>IFERROR(aurora_data!I1984,0)</f>
        <v>0</v>
      </c>
      <c r="K64" s="62">
        <f>IFERROR(aurora_data!J1984,0)</f>
        <v>0</v>
      </c>
      <c r="L64" s="62">
        <f>IFERROR(aurora_data!K1984,0)</f>
        <v>0</v>
      </c>
      <c r="M64" s="62">
        <f>IFERROR(aurora_data!L1984,0)</f>
        <v>0</v>
      </c>
      <c r="N64" s="63">
        <f>IFERROR(aurora_data!M1984,0)</f>
        <v>0</v>
      </c>
      <c r="O64" s="36">
        <f>IFERROR(aurora_data!N1984,0)</f>
        <v>0</v>
      </c>
      <c r="P64" s="62">
        <f>IFERROR(aurora_data!O1984,0)</f>
        <v>0</v>
      </c>
      <c r="Q64" s="62">
        <f>IFERROR(aurora_data!P1984,0)</f>
        <v>0</v>
      </c>
      <c r="R64" s="63">
        <f>IFERROR(aurora_data!Q1984,0)</f>
        <v>0</v>
      </c>
      <c r="S64" s="62">
        <f>IFERROR(aurora_data!R1984,0)</f>
        <v>0</v>
      </c>
      <c r="T64" s="62">
        <f>IFERROR(aurora_data!S1984,0)</f>
        <v>0</v>
      </c>
      <c r="U64" s="63">
        <f>IFERROR(aurora_data!T1984,0)</f>
        <v>0</v>
      </c>
      <c r="V64" s="64" t="s">
        <v>95</v>
      </c>
      <c r="W64" s="36">
        <f>IFERROR(aurora_data!U1984,0)</f>
        <v>0</v>
      </c>
      <c r="X64" s="71">
        <f t="shared" si="6"/>
        <v>0</v>
      </c>
      <c r="Y64" s="2"/>
    </row>
    <row r="65" spans="1:25" customFormat="1" ht="16.5" thickBot="1">
      <c r="A65" s="2"/>
      <c r="B65" s="211"/>
      <c r="C65" s="213"/>
      <c r="D65" s="35" t="s">
        <v>99</v>
      </c>
      <c r="E65" s="36">
        <f>IFERROR(aurora_data!D1985,0)</f>
        <v>0</v>
      </c>
      <c r="F65" s="62">
        <f>IFERROR(aurora_data!E1985,0)</f>
        <v>0</v>
      </c>
      <c r="G65" s="62">
        <f>IFERROR(aurora_data!F1985,0)</f>
        <v>0</v>
      </c>
      <c r="H65" s="62">
        <f>IFERROR(aurora_data!G1985,0)</f>
        <v>0</v>
      </c>
      <c r="I65" s="63">
        <f>IFERROR(aurora_data!H1985,0)</f>
        <v>0</v>
      </c>
      <c r="J65" s="36">
        <f>IFERROR(aurora_data!I1985,0)</f>
        <v>0</v>
      </c>
      <c r="K65" s="62">
        <f>IFERROR(aurora_data!J1985,0)</f>
        <v>0</v>
      </c>
      <c r="L65" s="62">
        <f>IFERROR(aurora_data!K1985,0)</f>
        <v>0</v>
      </c>
      <c r="M65" s="62">
        <f>IFERROR(aurora_data!L1985,0)</f>
        <v>0</v>
      </c>
      <c r="N65" s="63">
        <f>IFERROR(aurora_data!M1985,0)</f>
        <v>0</v>
      </c>
      <c r="O65" s="36">
        <f>IFERROR(aurora_data!N1985,0)</f>
        <v>0</v>
      </c>
      <c r="P65" s="62">
        <f>IFERROR(aurora_data!O1985,0)</f>
        <v>0</v>
      </c>
      <c r="Q65" s="62">
        <f>IFERROR(aurora_data!P1985,0)</f>
        <v>0</v>
      </c>
      <c r="R65" s="63">
        <f>IFERROR(aurora_data!Q1985,0)</f>
        <v>0</v>
      </c>
      <c r="S65" s="62">
        <f>IFERROR(aurora_data!R1985,0)</f>
        <v>0</v>
      </c>
      <c r="T65" s="62">
        <f>IFERROR(aurora_data!S1985,0)</f>
        <v>0</v>
      </c>
      <c r="U65" s="63">
        <f>IFERROR(aurora_data!T1985,0)</f>
        <v>0</v>
      </c>
      <c r="V65" s="64" t="s">
        <v>95</v>
      </c>
      <c r="W65" s="36">
        <f>IFERROR(aurora_data!U1985,0)</f>
        <v>0</v>
      </c>
      <c r="X65" s="71">
        <f t="shared" si="6"/>
        <v>0</v>
      </c>
      <c r="Y65" s="2"/>
    </row>
    <row r="66" spans="1:25" customFormat="1" ht="16.5" thickBot="1">
      <c r="A66" s="2"/>
      <c r="B66" s="211"/>
      <c r="C66" s="213"/>
      <c r="D66" s="37" t="s">
        <v>64</v>
      </c>
      <c r="E66" s="59">
        <f>IFERROR(aurora_data!D1986,0)</f>
        <v>0</v>
      </c>
      <c r="F66" s="65">
        <f>IFERROR(aurora_data!E1986,0)</f>
        <v>1</v>
      </c>
      <c r="G66" s="65">
        <f>IFERROR(aurora_data!F1986,0)</f>
        <v>1</v>
      </c>
      <c r="H66" s="65">
        <f>IFERROR(aurora_data!G1986,0)</f>
        <v>1</v>
      </c>
      <c r="I66" s="66">
        <f>IFERROR(aurora_data!H1986,0)</f>
        <v>5</v>
      </c>
      <c r="J66" s="59">
        <f>IFERROR(aurora_data!I1986,0)</f>
        <v>0</v>
      </c>
      <c r="K66" s="65">
        <f>IFERROR(aurora_data!J1986,0)</f>
        <v>1</v>
      </c>
      <c r="L66" s="65">
        <f>IFERROR(aurora_data!K1986,0)</f>
        <v>2</v>
      </c>
      <c r="M66" s="65">
        <f>IFERROR(aurora_data!L1986,0)</f>
        <v>3</v>
      </c>
      <c r="N66" s="66">
        <f>IFERROR(aurora_data!M1986,0)</f>
        <v>2</v>
      </c>
      <c r="O66" s="59">
        <f>IFERROR(aurora_data!N1986,0)</f>
        <v>2</v>
      </c>
      <c r="P66" s="65">
        <f>IFERROR(aurora_data!O1986,0)</f>
        <v>2</v>
      </c>
      <c r="Q66" s="65">
        <f>IFERROR(aurora_data!P1986,0)</f>
        <v>3</v>
      </c>
      <c r="R66" s="66">
        <f>IFERROR(aurora_data!Q1986,0)</f>
        <v>1</v>
      </c>
      <c r="S66" s="65">
        <f>IFERROR(aurora_data!R1986,0)</f>
        <v>6</v>
      </c>
      <c r="T66" s="65">
        <f>IFERROR(aurora_data!S1986,0)</f>
        <v>2</v>
      </c>
      <c r="U66" s="66">
        <f>IFERROR(aurora_data!T1986,0)</f>
        <v>0</v>
      </c>
      <c r="V66" s="67" t="s">
        <v>95</v>
      </c>
      <c r="W66" s="59">
        <f>IFERROR(aurora_data!U1986,0)</f>
        <v>8</v>
      </c>
      <c r="X66" s="72">
        <f t="shared" si="6"/>
        <v>0.42105263157894735</v>
      </c>
      <c r="Y66" s="2"/>
    </row>
    <row r="67" spans="1:25" customFormat="1" ht="16.5" thickBot="1">
      <c r="A67" s="2"/>
      <c r="B67" s="211"/>
      <c r="C67" s="213"/>
      <c r="D67" s="38" t="s">
        <v>100</v>
      </c>
      <c r="E67" s="60">
        <f>IFERROR(aurora_data!D1987,0)</f>
        <v>0</v>
      </c>
      <c r="F67" s="68">
        <f>IFERROR(aurora_data!E1987,0)</f>
        <v>0</v>
      </c>
      <c r="G67" s="68">
        <f>IFERROR(aurora_data!F1987,0)</f>
        <v>0</v>
      </c>
      <c r="H67" s="68">
        <f>IFERROR(aurora_data!G1987,0)</f>
        <v>0</v>
      </c>
      <c r="I67" s="69">
        <f>IFERROR(aurora_data!H1987,0)</f>
        <v>0</v>
      </c>
      <c r="J67" s="60">
        <f>IFERROR(aurora_data!I1987,0)</f>
        <v>0</v>
      </c>
      <c r="K67" s="68">
        <f>IFERROR(aurora_data!J1987,0)</f>
        <v>0</v>
      </c>
      <c r="L67" s="68">
        <f>IFERROR(aurora_data!K1987,0)</f>
        <v>0</v>
      </c>
      <c r="M67" s="68">
        <f>IFERROR(aurora_data!L1987,0)</f>
        <v>0</v>
      </c>
      <c r="N67" s="69">
        <f>IFERROR(aurora_data!M1987,0)</f>
        <v>0</v>
      </c>
      <c r="O67" s="60">
        <f>IFERROR(aurora_data!N1987,0)</f>
        <v>0</v>
      </c>
      <c r="P67" s="68">
        <f>IFERROR(aurora_data!O1987,0)</f>
        <v>0</v>
      </c>
      <c r="Q67" s="68">
        <f>IFERROR(aurora_data!P1987,0)</f>
        <v>0</v>
      </c>
      <c r="R67" s="69">
        <f>IFERROR(aurora_data!Q1987,0)</f>
        <v>0</v>
      </c>
      <c r="S67" s="68">
        <f>IFERROR(aurora_data!R1987,0)</f>
        <v>0</v>
      </c>
      <c r="T67" s="68">
        <f>IFERROR(aurora_data!S1987,0)</f>
        <v>0</v>
      </c>
      <c r="U67" s="74">
        <f>IFERROR(aurora_data!T1987,0)</f>
        <v>0</v>
      </c>
      <c r="V67" s="75" t="s">
        <v>95</v>
      </c>
      <c r="W67" s="60">
        <f>IFERROR(aurora_data!U1987,0)</f>
        <v>0</v>
      </c>
      <c r="X67" s="73">
        <f t="shared" si="6"/>
        <v>0</v>
      </c>
      <c r="Y67" s="2"/>
    </row>
    <row r="68" spans="1:25" customFormat="1">
      <c r="A68" s="2"/>
      <c r="B68" s="210" t="s">
        <v>94</v>
      </c>
      <c r="C68" s="212" t="str">
        <f>aurora_data!A1988</f>
        <v>13.00.00-13.11.30</v>
      </c>
      <c r="D68" s="34" t="s">
        <v>71</v>
      </c>
      <c r="E68" s="39">
        <f>IFERROR(aurora_data!D1988,0)</f>
        <v>0</v>
      </c>
      <c r="F68" s="40">
        <f>IFERROR(aurora_data!E1988,0)</f>
        <v>0</v>
      </c>
      <c r="G68" s="40">
        <f>IFERROR(aurora_data!F1988,0)</f>
        <v>0</v>
      </c>
      <c r="H68" s="40">
        <f>IFERROR(aurora_data!G1988,0)</f>
        <v>0</v>
      </c>
      <c r="I68" s="41">
        <f>IFERROR(aurora_data!H1988,0)</f>
        <v>0</v>
      </c>
      <c r="J68" s="39">
        <f>IFERROR(aurora_data!I1988,0)</f>
        <v>0</v>
      </c>
      <c r="K68" s="40">
        <f>IFERROR(aurora_data!J1988,0)</f>
        <v>0</v>
      </c>
      <c r="L68" s="40">
        <f>IFERROR(aurora_data!K1988,0)</f>
        <v>0</v>
      </c>
      <c r="M68" s="40">
        <f>IFERROR(aurora_data!L1988,0)</f>
        <v>0</v>
      </c>
      <c r="N68" s="41">
        <f>IFERROR(aurora_data!M1988,0)</f>
        <v>0</v>
      </c>
      <c r="O68" s="39">
        <f>IFERROR(aurora_data!N1988,0)</f>
        <v>0</v>
      </c>
      <c r="P68" s="40">
        <f>IFERROR(aurora_data!O1988,0)</f>
        <v>0</v>
      </c>
      <c r="Q68" s="40">
        <f>IFERROR(aurora_data!P1988,0)</f>
        <v>0</v>
      </c>
      <c r="R68" s="41">
        <f>IFERROR(aurora_data!Q1988,0)</f>
        <v>0</v>
      </c>
      <c r="S68" s="40">
        <f>IFERROR(aurora_data!R1988,0)</f>
        <v>0</v>
      </c>
      <c r="T68" s="40">
        <f>IFERROR(aurora_data!S1988,0)</f>
        <v>0</v>
      </c>
      <c r="U68" s="76">
        <f>IFERROR(aurora_data!T1988,0)</f>
        <v>0</v>
      </c>
      <c r="V68" s="61" t="s">
        <v>95</v>
      </c>
      <c r="W68" s="39">
        <f>IFERROR(aurora_data!U1988,0)</f>
        <v>20</v>
      </c>
      <c r="X68" s="70">
        <f>IFERROR(W68/$W$12,0)</f>
        <v>1.0526315789473684</v>
      </c>
      <c r="Y68" s="2"/>
    </row>
    <row r="69" spans="1:25" customFormat="1">
      <c r="A69" s="2"/>
      <c r="B69" s="211"/>
      <c r="C69" s="213"/>
      <c r="D69" s="35" t="s">
        <v>96</v>
      </c>
      <c r="E69" s="110">
        <f>IFERROR(aurora_data!D1989,0)</f>
        <v>1</v>
      </c>
      <c r="F69" s="62">
        <f>IFERROR(aurora_data!E1989,0)</f>
        <v>1</v>
      </c>
      <c r="G69" s="62">
        <f>IFERROR(aurora_data!F1989,0)</f>
        <v>6</v>
      </c>
      <c r="H69" s="62">
        <f>IFERROR(aurora_data!G1989,0)</f>
        <v>1</v>
      </c>
      <c r="I69" s="63">
        <f>IFERROR(aurora_data!H1989,0)</f>
        <v>2</v>
      </c>
      <c r="J69" s="36">
        <f>IFERROR(aurora_data!I1989,0)</f>
        <v>0</v>
      </c>
      <c r="K69" s="62">
        <f>IFERROR(aurora_data!J1989,0)</f>
        <v>0</v>
      </c>
      <c r="L69" s="62">
        <f>IFERROR(aurora_data!K1989,0)</f>
        <v>4</v>
      </c>
      <c r="M69" s="62">
        <f>IFERROR(aurora_data!L1989,0)</f>
        <v>0</v>
      </c>
      <c r="N69" s="63">
        <f>IFERROR(aurora_data!M1989,0)</f>
        <v>7</v>
      </c>
      <c r="O69" s="36">
        <f>IFERROR(aurora_data!N1989,0)</f>
        <v>1</v>
      </c>
      <c r="P69" s="62">
        <f>IFERROR(aurora_data!O1989,0)</f>
        <v>1</v>
      </c>
      <c r="Q69" s="62">
        <f>IFERROR(aurora_data!P1989,0)</f>
        <v>3</v>
      </c>
      <c r="R69" s="63">
        <f>IFERROR(aurora_data!Q1989,0)</f>
        <v>6</v>
      </c>
      <c r="S69" s="62">
        <f>IFERROR(aurora_data!R1989,0)</f>
        <v>3</v>
      </c>
      <c r="T69" s="62">
        <f>IFERROR(aurora_data!S1989,0)</f>
        <v>8</v>
      </c>
      <c r="U69" s="63">
        <f>IFERROR(aurora_data!T1989,0)</f>
        <v>0</v>
      </c>
      <c r="V69" s="64" t="s">
        <v>95</v>
      </c>
      <c r="W69" s="36">
        <f>IFERROR(aurora_data!U1989,0)</f>
        <v>11</v>
      </c>
      <c r="X69" s="71">
        <f t="shared" ref="X69:X75" si="7">IFERROR(W69/$W$12,0)</f>
        <v>0.57894736842105265</v>
      </c>
      <c r="Y69" s="2"/>
    </row>
    <row r="70" spans="1:25" customFormat="1">
      <c r="A70" s="2"/>
      <c r="B70" s="211"/>
      <c r="C70" s="213"/>
      <c r="D70" s="35" t="s">
        <v>60</v>
      </c>
      <c r="E70" s="110">
        <f>IFERROR(aurora_data!D1990,0)</f>
        <v>0</v>
      </c>
      <c r="F70" s="62">
        <f>IFERROR(aurora_data!E1990,0)</f>
        <v>0</v>
      </c>
      <c r="G70" s="62">
        <f>IFERROR(aurora_data!F1990,0)</f>
        <v>0</v>
      </c>
      <c r="H70" s="62">
        <f>IFERROR(aurora_data!G1990,0)</f>
        <v>0</v>
      </c>
      <c r="I70" s="63">
        <f>IFERROR(aurora_data!H1990,0)</f>
        <v>0</v>
      </c>
      <c r="J70" s="36">
        <f>IFERROR(aurora_data!I1990,0)</f>
        <v>0</v>
      </c>
      <c r="K70" s="62">
        <f>IFERROR(aurora_data!J1990,0)</f>
        <v>0</v>
      </c>
      <c r="L70" s="62">
        <f>IFERROR(aurora_data!K1990,0)</f>
        <v>0</v>
      </c>
      <c r="M70" s="62">
        <f>IFERROR(aurora_data!L1990,0)</f>
        <v>0</v>
      </c>
      <c r="N70" s="63">
        <f>IFERROR(aurora_data!M1990,0)</f>
        <v>0</v>
      </c>
      <c r="O70" s="36">
        <f>IFERROR(aurora_data!N1990,0)</f>
        <v>0</v>
      </c>
      <c r="P70" s="62">
        <f>IFERROR(aurora_data!O1990,0)</f>
        <v>0</v>
      </c>
      <c r="Q70" s="62">
        <f>IFERROR(aurora_data!P1990,0)</f>
        <v>0</v>
      </c>
      <c r="R70" s="63">
        <f>IFERROR(aurora_data!Q1990,0)</f>
        <v>0</v>
      </c>
      <c r="S70" s="62">
        <f>IFERROR(aurora_data!R1990,0)</f>
        <v>0</v>
      </c>
      <c r="T70" s="62">
        <f>IFERROR(aurora_data!S1990,0)</f>
        <v>0</v>
      </c>
      <c r="U70" s="63">
        <f>IFERROR(aurora_data!T1990,0)</f>
        <v>0</v>
      </c>
      <c r="V70" s="64" t="s">
        <v>95</v>
      </c>
      <c r="W70" s="36">
        <f>IFERROR(aurora_data!U1990,0)</f>
        <v>0</v>
      </c>
      <c r="X70" s="71">
        <f t="shared" si="7"/>
        <v>0</v>
      </c>
      <c r="Y70" s="2"/>
    </row>
    <row r="71" spans="1:25" customFormat="1">
      <c r="A71" s="2"/>
      <c r="B71" s="211"/>
      <c r="C71" s="213"/>
      <c r="D71" s="35" t="s">
        <v>97</v>
      </c>
      <c r="E71" s="36">
        <f>IFERROR(aurora_data!D1991,0)</f>
        <v>0</v>
      </c>
      <c r="F71" s="62">
        <f>IFERROR(aurora_data!E1991,0)</f>
        <v>0</v>
      </c>
      <c r="G71" s="62">
        <f>IFERROR(aurora_data!F1991,0)</f>
        <v>0</v>
      </c>
      <c r="H71" s="62">
        <f>IFERROR(aurora_data!G1991,0)</f>
        <v>0</v>
      </c>
      <c r="I71" s="63">
        <f>IFERROR(aurora_data!H1991,0)</f>
        <v>0</v>
      </c>
      <c r="J71" s="36">
        <f>IFERROR(aurora_data!I1991,0)</f>
        <v>0</v>
      </c>
      <c r="K71" s="62">
        <f>IFERROR(aurora_data!J1991,0)</f>
        <v>0</v>
      </c>
      <c r="L71" s="62">
        <f>IFERROR(aurora_data!K1991,0)</f>
        <v>0</v>
      </c>
      <c r="M71" s="62">
        <f>IFERROR(aurora_data!L1991,0)</f>
        <v>0</v>
      </c>
      <c r="N71" s="63">
        <f>IFERROR(aurora_data!M1991,0)</f>
        <v>0</v>
      </c>
      <c r="O71" s="36">
        <f>IFERROR(aurora_data!N1991,0)</f>
        <v>0</v>
      </c>
      <c r="P71" s="62">
        <f>IFERROR(aurora_data!O1991,0)</f>
        <v>0</v>
      </c>
      <c r="Q71" s="62">
        <f>IFERROR(aurora_data!P1991,0)</f>
        <v>0</v>
      </c>
      <c r="R71" s="63">
        <f>IFERROR(aurora_data!Q1991,0)</f>
        <v>0</v>
      </c>
      <c r="S71" s="62">
        <f>IFERROR(aurora_data!R1991,0)</f>
        <v>0</v>
      </c>
      <c r="T71" s="62">
        <f>IFERROR(aurora_data!S1991,0)</f>
        <v>0</v>
      </c>
      <c r="U71" s="63">
        <f>IFERROR(aurora_data!T1991,0)</f>
        <v>0</v>
      </c>
      <c r="V71" s="64" t="s">
        <v>95</v>
      </c>
      <c r="W71" s="36">
        <f>IFERROR(aurora_data!U1991,0)</f>
        <v>0</v>
      </c>
      <c r="X71" s="71">
        <f t="shared" si="7"/>
        <v>0</v>
      </c>
      <c r="Y71" s="2"/>
    </row>
    <row r="72" spans="1:25" customFormat="1">
      <c r="A72" s="2"/>
      <c r="B72" s="211"/>
      <c r="C72" s="213"/>
      <c r="D72" s="35" t="s">
        <v>98</v>
      </c>
      <c r="E72" s="36">
        <f>IFERROR(aurora_data!D1992,0)</f>
        <v>0</v>
      </c>
      <c r="F72" s="62">
        <f>IFERROR(aurora_data!E1992,0)</f>
        <v>1</v>
      </c>
      <c r="G72" s="62">
        <f>IFERROR(aurora_data!F1992,0)</f>
        <v>0</v>
      </c>
      <c r="H72" s="62">
        <f>IFERROR(aurora_data!G1992,0)</f>
        <v>0</v>
      </c>
      <c r="I72" s="63">
        <f>IFERROR(aurora_data!H1992,0)</f>
        <v>0</v>
      </c>
      <c r="J72" s="36">
        <f>IFERROR(aurora_data!I1992,0)</f>
        <v>0</v>
      </c>
      <c r="K72" s="62">
        <f>IFERROR(aurora_data!J1992,0)</f>
        <v>0</v>
      </c>
      <c r="L72" s="62">
        <f>IFERROR(aurora_data!K1992,0)</f>
        <v>1</v>
      </c>
      <c r="M72" s="62">
        <f>IFERROR(aurora_data!L1992,0)</f>
        <v>0</v>
      </c>
      <c r="N72" s="63">
        <f>IFERROR(aurora_data!M1992,0)</f>
        <v>0</v>
      </c>
      <c r="O72" s="36">
        <f>IFERROR(aurora_data!N1992,0)</f>
        <v>1</v>
      </c>
      <c r="P72" s="62">
        <f>IFERROR(aurora_data!O1992,0)</f>
        <v>0</v>
      </c>
      <c r="Q72" s="62">
        <f>IFERROR(aurora_data!P1992,0)</f>
        <v>0</v>
      </c>
      <c r="R72" s="63">
        <f>IFERROR(aurora_data!Q1992,0)</f>
        <v>0</v>
      </c>
      <c r="S72" s="62">
        <f>IFERROR(aurora_data!R1992,0)</f>
        <v>0</v>
      </c>
      <c r="T72" s="62">
        <f>IFERROR(aurora_data!S1992,0)</f>
        <v>1</v>
      </c>
      <c r="U72" s="63">
        <f>IFERROR(aurora_data!T1992,0)</f>
        <v>0</v>
      </c>
      <c r="V72" s="64" t="s">
        <v>95</v>
      </c>
      <c r="W72" s="36">
        <f>IFERROR(aurora_data!U1992,0)</f>
        <v>1</v>
      </c>
      <c r="X72" s="71">
        <f t="shared" si="7"/>
        <v>5.2631578947368418E-2</v>
      </c>
      <c r="Y72" s="2"/>
    </row>
    <row r="73" spans="1:25" customFormat="1" ht="16.5" thickBot="1">
      <c r="A73" s="2"/>
      <c r="B73" s="211"/>
      <c r="C73" s="213"/>
      <c r="D73" s="35" t="s">
        <v>99</v>
      </c>
      <c r="E73" s="36">
        <f>IFERROR(aurora_data!D1993,0)</f>
        <v>0</v>
      </c>
      <c r="F73" s="62">
        <f>IFERROR(aurora_data!E1993,0)</f>
        <v>0</v>
      </c>
      <c r="G73" s="62">
        <f>IFERROR(aurora_data!F1993,0)</f>
        <v>0</v>
      </c>
      <c r="H73" s="62">
        <f>IFERROR(aurora_data!G1993,0)</f>
        <v>0</v>
      </c>
      <c r="I73" s="63">
        <f>IFERROR(aurora_data!H1993,0)</f>
        <v>0</v>
      </c>
      <c r="J73" s="36">
        <f>IFERROR(aurora_data!I1993,0)</f>
        <v>0</v>
      </c>
      <c r="K73" s="62">
        <f>IFERROR(aurora_data!J1993,0)</f>
        <v>0</v>
      </c>
      <c r="L73" s="62">
        <f>IFERROR(aurora_data!K1993,0)</f>
        <v>0</v>
      </c>
      <c r="M73" s="62">
        <f>IFERROR(aurora_data!L1993,0)</f>
        <v>0</v>
      </c>
      <c r="N73" s="63">
        <f>IFERROR(aurora_data!M1993,0)</f>
        <v>0</v>
      </c>
      <c r="O73" s="36">
        <f>IFERROR(aurora_data!N1993,0)</f>
        <v>0</v>
      </c>
      <c r="P73" s="62">
        <f>IFERROR(aurora_data!O1993,0)</f>
        <v>0</v>
      </c>
      <c r="Q73" s="62">
        <f>IFERROR(aurora_data!P1993,0)</f>
        <v>0</v>
      </c>
      <c r="R73" s="63">
        <f>IFERROR(aurora_data!Q1993,0)</f>
        <v>0</v>
      </c>
      <c r="S73" s="62">
        <f>IFERROR(aurora_data!R1993,0)</f>
        <v>0</v>
      </c>
      <c r="T73" s="62">
        <f>IFERROR(aurora_data!S1993,0)</f>
        <v>0</v>
      </c>
      <c r="U73" s="63">
        <f>IFERROR(aurora_data!T1993,0)</f>
        <v>0</v>
      </c>
      <c r="V73" s="64" t="s">
        <v>95</v>
      </c>
      <c r="W73" s="36">
        <f>IFERROR(aurora_data!U1993,0)</f>
        <v>0</v>
      </c>
      <c r="X73" s="71">
        <f t="shared" si="7"/>
        <v>0</v>
      </c>
      <c r="Y73" s="2"/>
    </row>
    <row r="74" spans="1:25" customFormat="1" ht="16.5" thickBot="1">
      <c r="A74" s="2"/>
      <c r="B74" s="211"/>
      <c r="C74" s="213"/>
      <c r="D74" s="37" t="s">
        <v>64</v>
      </c>
      <c r="E74" s="59">
        <f>IFERROR(aurora_data!D1994,0)</f>
        <v>1</v>
      </c>
      <c r="F74" s="65">
        <f>IFERROR(aurora_data!E1994,0)</f>
        <v>2</v>
      </c>
      <c r="G74" s="65">
        <f>IFERROR(aurora_data!F1994,0)</f>
        <v>6</v>
      </c>
      <c r="H74" s="65">
        <f>IFERROR(aurora_data!G1994,0)</f>
        <v>1</v>
      </c>
      <c r="I74" s="66">
        <f>IFERROR(aurora_data!H1994,0)</f>
        <v>2</v>
      </c>
      <c r="J74" s="59">
        <f>IFERROR(aurora_data!I1994,0)</f>
        <v>0</v>
      </c>
      <c r="K74" s="65">
        <f>IFERROR(aurora_data!J1994,0)</f>
        <v>0</v>
      </c>
      <c r="L74" s="65">
        <f>IFERROR(aurora_data!K1994,0)</f>
        <v>5</v>
      </c>
      <c r="M74" s="65">
        <f>IFERROR(aurora_data!L1994,0)</f>
        <v>0</v>
      </c>
      <c r="N74" s="66">
        <f>IFERROR(aurora_data!M1994,0)</f>
        <v>7</v>
      </c>
      <c r="O74" s="59">
        <f>IFERROR(aurora_data!N1994,0)</f>
        <v>2</v>
      </c>
      <c r="P74" s="65">
        <f>IFERROR(aurora_data!O1994,0)</f>
        <v>1</v>
      </c>
      <c r="Q74" s="65">
        <f>IFERROR(aurora_data!P1994,0)</f>
        <v>3</v>
      </c>
      <c r="R74" s="66">
        <f>IFERROR(aurora_data!Q1994,0)</f>
        <v>6</v>
      </c>
      <c r="S74" s="65">
        <f>IFERROR(aurora_data!R1994,0)</f>
        <v>3</v>
      </c>
      <c r="T74" s="65">
        <f>IFERROR(aurora_data!S1994,0)</f>
        <v>9</v>
      </c>
      <c r="U74" s="66">
        <f>IFERROR(aurora_data!T1994,0)</f>
        <v>0</v>
      </c>
      <c r="V74" s="67" t="s">
        <v>95</v>
      </c>
      <c r="W74" s="59">
        <f>IFERROR(aurora_data!U1994,0)</f>
        <v>12</v>
      </c>
      <c r="X74" s="72">
        <f t="shared" si="7"/>
        <v>0.63157894736842102</v>
      </c>
      <c r="Y74" s="2"/>
    </row>
    <row r="75" spans="1:25" customFormat="1" ht="16.5" thickBot="1">
      <c r="A75" s="2"/>
      <c r="B75" s="211"/>
      <c r="C75" s="213"/>
      <c r="D75" s="38" t="s">
        <v>100</v>
      </c>
      <c r="E75" s="60">
        <f>IFERROR(aurora_data!D1995,0)</f>
        <v>0</v>
      </c>
      <c r="F75" s="68">
        <f>IFERROR(aurora_data!E1995,0)</f>
        <v>0</v>
      </c>
      <c r="G75" s="68">
        <f>IFERROR(aurora_data!F1995,0)</f>
        <v>0</v>
      </c>
      <c r="H75" s="68">
        <f>IFERROR(aurora_data!G1995,0)</f>
        <v>0</v>
      </c>
      <c r="I75" s="69">
        <f>IFERROR(aurora_data!H1995,0)</f>
        <v>0</v>
      </c>
      <c r="J75" s="60">
        <f>IFERROR(aurora_data!I1995,0)</f>
        <v>0</v>
      </c>
      <c r="K75" s="68">
        <f>IFERROR(aurora_data!J1995,0)</f>
        <v>0</v>
      </c>
      <c r="L75" s="68">
        <f>IFERROR(aurora_data!K1995,0)</f>
        <v>0</v>
      </c>
      <c r="M75" s="68">
        <f>IFERROR(aurora_data!L1995,0)</f>
        <v>0</v>
      </c>
      <c r="N75" s="69">
        <f>IFERROR(aurora_data!M1995,0)</f>
        <v>0</v>
      </c>
      <c r="O75" s="60">
        <f>IFERROR(aurora_data!N1995,0)</f>
        <v>0</v>
      </c>
      <c r="P75" s="68">
        <f>IFERROR(aurora_data!O1995,0)</f>
        <v>0</v>
      </c>
      <c r="Q75" s="68">
        <f>IFERROR(aurora_data!P1995,0)</f>
        <v>0</v>
      </c>
      <c r="R75" s="69">
        <f>IFERROR(aurora_data!Q1995,0)</f>
        <v>0</v>
      </c>
      <c r="S75" s="68">
        <f>IFERROR(aurora_data!R1995,0)</f>
        <v>0</v>
      </c>
      <c r="T75" s="68">
        <f>IFERROR(aurora_data!S1995,0)</f>
        <v>0</v>
      </c>
      <c r="U75" s="74">
        <f>IFERROR(aurora_data!T1995,0)</f>
        <v>0</v>
      </c>
      <c r="V75" s="75" t="s">
        <v>95</v>
      </c>
      <c r="W75" s="60">
        <f>IFERROR(aurora_data!U1995,0)</f>
        <v>0</v>
      </c>
      <c r="X75" s="73">
        <f t="shared" si="7"/>
        <v>0</v>
      </c>
      <c r="Y75" s="2"/>
    </row>
    <row r="76" spans="1:25" customFormat="1">
      <c r="A76" s="2"/>
      <c r="B76" s="210" t="s">
        <v>94</v>
      </c>
      <c r="C76" s="212" t="str">
        <f>aurora_data!A1996</f>
        <v>14.00.00-14.11.30</v>
      </c>
      <c r="D76" s="34" t="s">
        <v>71</v>
      </c>
      <c r="E76" s="39">
        <f>IFERROR(aurora_data!D1996,0)</f>
        <v>0</v>
      </c>
      <c r="F76" s="40">
        <f>IFERROR(aurora_data!E1996,0)</f>
        <v>0</v>
      </c>
      <c r="G76" s="40">
        <f>IFERROR(aurora_data!F1996,0)</f>
        <v>0</v>
      </c>
      <c r="H76" s="40">
        <f>IFERROR(aurora_data!G1996,0)</f>
        <v>0</v>
      </c>
      <c r="I76" s="41">
        <f>IFERROR(aurora_data!H1996,0)</f>
        <v>0</v>
      </c>
      <c r="J76" s="39">
        <f>IFERROR(aurora_data!I1996,0)</f>
        <v>0</v>
      </c>
      <c r="K76" s="40">
        <f>IFERROR(aurora_data!J1996,0)</f>
        <v>0</v>
      </c>
      <c r="L76" s="40">
        <f>IFERROR(aurora_data!K1996,0)</f>
        <v>0</v>
      </c>
      <c r="M76" s="40">
        <f>IFERROR(aurora_data!L1996,0)</f>
        <v>0</v>
      </c>
      <c r="N76" s="41">
        <f>IFERROR(aurora_data!M1996,0)</f>
        <v>0</v>
      </c>
      <c r="O76" s="39">
        <f>IFERROR(aurora_data!N1996,0)</f>
        <v>0</v>
      </c>
      <c r="P76" s="40">
        <f>IFERROR(aurora_data!O1996,0)</f>
        <v>0</v>
      </c>
      <c r="Q76" s="40">
        <f>IFERROR(aurora_data!P1996,0)</f>
        <v>0</v>
      </c>
      <c r="R76" s="41">
        <f>IFERROR(aurora_data!Q1996,0)</f>
        <v>0</v>
      </c>
      <c r="S76" s="40">
        <f>IFERROR(aurora_data!R1996,0)</f>
        <v>0</v>
      </c>
      <c r="T76" s="40">
        <f>IFERROR(aurora_data!S1996,0)</f>
        <v>0</v>
      </c>
      <c r="U76" s="76">
        <f>IFERROR(aurora_data!T1996,0)</f>
        <v>0</v>
      </c>
      <c r="V76" s="61" t="s">
        <v>95</v>
      </c>
      <c r="W76" s="39">
        <f>IFERROR(aurora_data!U1996,0)</f>
        <v>20</v>
      </c>
      <c r="X76" s="70">
        <f>IFERROR(W76/$W$12,0)</f>
        <v>1.0526315789473684</v>
      </c>
      <c r="Y76" s="2"/>
    </row>
    <row r="77" spans="1:25" customFormat="1">
      <c r="A77" s="2"/>
      <c r="B77" s="211"/>
      <c r="C77" s="213"/>
      <c r="D77" s="35" t="s">
        <v>96</v>
      </c>
      <c r="E77" s="110">
        <f>IFERROR(aurora_data!D1997,0)</f>
        <v>0</v>
      </c>
      <c r="F77" s="62">
        <f>IFERROR(aurora_data!E1997,0)</f>
        <v>2</v>
      </c>
      <c r="G77" s="62">
        <f>IFERROR(aurora_data!F1997,0)</f>
        <v>0</v>
      </c>
      <c r="H77" s="62">
        <f>IFERROR(aurora_data!G1997,0)</f>
        <v>5</v>
      </c>
      <c r="I77" s="63">
        <f>IFERROR(aurora_data!H1997,0)</f>
        <v>3</v>
      </c>
      <c r="J77" s="36">
        <f>IFERROR(aurora_data!I1997,0)</f>
        <v>0</v>
      </c>
      <c r="K77" s="62">
        <f>IFERROR(aurora_data!J1997,0)</f>
        <v>1</v>
      </c>
      <c r="L77" s="62">
        <f>IFERROR(aurora_data!K1997,0)</f>
        <v>3</v>
      </c>
      <c r="M77" s="62">
        <f>IFERROR(aurora_data!L1997,0)</f>
        <v>1</v>
      </c>
      <c r="N77" s="63">
        <f>IFERROR(aurora_data!M1997,0)</f>
        <v>5</v>
      </c>
      <c r="O77" s="36">
        <f>IFERROR(aurora_data!N1997,0)</f>
        <v>1</v>
      </c>
      <c r="P77" s="62">
        <f>IFERROR(aurora_data!O1997,0)</f>
        <v>4</v>
      </c>
      <c r="Q77" s="62">
        <f>IFERROR(aurora_data!P1997,0)</f>
        <v>4</v>
      </c>
      <c r="R77" s="63">
        <f>IFERROR(aurora_data!Q1997,0)</f>
        <v>1</v>
      </c>
      <c r="S77" s="62">
        <f>IFERROR(aurora_data!R1997,0)</f>
        <v>4</v>
      </c>
      <c r="T77" s="62">
        <f>IFERROR(aurora_data!S1997,0)</f>
        <v>6</v>
      </c>
      <c r="U77" s="63">
        <f>IFERROR(aurora_data!T1997,0)</f>
        <v>0</v>
      </c>
      <c r="V77" s="64" t="s">
        <v>95</v>
      </c>
      <c r="W77" s="36">
        <f>IFERROR(aurora_data!U1997,0)</f>
        <v>10</v>
      </c>
      <c r="X77" s="71">
        <f t="shared" ref="X77:X83" si="8">IFERROR(W77/$W$12,0)</f>
        <v>0.52631578947368418</v>
      </c>
      <c r="Y77" s="2"/>
    </row>
    <row r="78" spans="1:25" customFormat="1">
      <c r="A78" s="2"/>
      <c r="B78" s="211"/>
      <c r="C78" s="213"/>
      <c r="D78" s="35" t="s">
        <v>60</v>
      </c>
      <c r="E78" s="110">
        <f>IFERROR(aurora_data!D1998,0)</f>
        <v>0</v>
      </c>
      <c r="F78" s="62">
        <f>IFERROR(aurora_data!E1998,0)</f>
        <v>0</v>
      </c>
      <c r="G78" s="62">
        <f>IFERROR(aurora_data!F1998,0)</f>
        <v>0</v>
      </c>
      <c r="H78" s="62">
        <f>IFERROR(aurora_data!G1998,0)</f>
        <v>0</v>
      </c>
      <c r="I78" s="63">
        <f>IFERROR(aurora_data!H1998,0)</f>
        <v>0</v>
      </c>
      <c r="J78" s="36">
        <f>IFERROR(aurora_data!I1998,0)</f>
        <v>0</v>
      </c>
      <c r="K78" s="62">
        <f>IFERROR(aurora_data!J1998,0)</f>
        <v>0</v>
      </c>
      <c r="L78" s="62">
        <f>IFERROR(aurora_data!K1998,0)</f>
        <v>0</v>
      </c>
      <c r="M78" s="62">
        <f>IFERROR(aurora_data!L1998,0)</f>
        <v>0</v>
      </c>
      <c r="N78" s="63">
        <f>IFERROR(aurora_data!M1998,0)</f>
        <v>0</v>
      </c>
      <c r="O78" s="36">
        <f>IFERROR(aurora_data!N1998,0)</f>
        <v>0</v>
      </c>
      <c r="P78" s="62">
        <f>IFERROR(aurora_data!O1998,0)</f>
        <v>0</v>
      </c>
      <c r="Q78" s="62">
        <f>IFERROR(aurora_data!P1998,0)</f>
        <v>0</v>
      </c>
      <c r="R78" s="63">
        <f>IFERROR(aurora_data!Q1998,0)</f>
        <v>0</v>
      </c>
      <c r="S78" s="62">
        <f>IFERROR(aurora_data!R1998,0)</f>
        <v>0</v>
      </c>
      <c r="T78" s="62">
        <f>IFERROR(aurora_data!S1998,0)</f>
        <v>0</v>
      </c>
      <c r="U78" s="63">
        <f>IFERROR(aurora_data!T1998,0)</f>
        <v>0</v>
      </c>
      <c r="V78" s="64" t="s">
        <v>95</v>
      </c>
      <c r="W78" s="36">
        <f>IFERROR(aurora_data!U1998,0)</f>
        <v>0</v>
      </c>
      <c r="X78" s="71">
        <f t="shared" si="8"/>
        <v>0</v>
      </c>
      <c r="Y78" s="2"/>
    </row>
    <row r="79" spans="1:25" customFormat="1">
      <c r="A79" s="2"/>
      <c r="B79" s="211"/>
      <c r="C79" s="213"/>
      <c r="D79" s="35" t="s">
        <v>97</v>
      </c>
      <c r="E79" s="36">
        <f>IFERROR(aurora_data!D1999,0)</f>
        <v>0</v>
      </c>
      <c r="F79" s="62">
        <f>IFERROR(aurora_data!E1999,0)</f>
        <v>0</v>
      </c>
      <c r="G79" s="62">
        <f>IFERROR(aurora_data!F1999,0)</f>
        <v>0</v>
      </c>
      <c r="H79" s="62">
        <f>IFERROR(aurora_data!G1999,0)</f>
        <v>0</v>
      </c>
      <c r="I79" s="63">
        <f>IFERROR(aurora_data!H1999,0)</f>
        <v>0</v>
      </c>
      <c r="J79" s="36">
        <f>IFERROR(aurora_data!I1999,0)</f>
        <v>0</v>
      </c>
      <c r="K79" s="62">
        <f>IFERROR(aurora_data!J1999,0)</f>
        <v>0</v>
      </c>
      <c r="L79" s="62">
        <f>IFERROR(aurora_data!K1999,0)</f>
        <v>0</v>
      </c>
      <c r="M79" s="62">
        <f>IFERROR(aurora_data!L1999,0)</f>
        <v>0</v>
      </c>
      <c r="N79" s="63">
        <f>IFERROR(aurora_data!M1999,0)</f>
        <v>0</v>
      </c>
      <c r="O79" s="36">
        <f>IFERROR(aurora_data!N1999,0)</f>
        <v>0</v>
      </c>
      <c r="P79" s="62">
        <f>IFERROR(aurora_data!O1999,0)</f>
        <v>0</v>
      </c>
      <c r="Q79" s="62">
        <f>IFERROR(aurora_data!P1999,0)</f>
        <v>0</v>
      </c>
      <c r="R79" s="63">
        <f>IFERROR(aurora_data!Q1999,0)</f>
        <v>0</v>
      </c>
      <c r="S79" s="62">
        <f>IFERROR(aurora_data!R1999,0)</f>
        <v>0</v>
      </c>
      <c r="T79" s="62">
        <f>IFERROR(aurora_data!S1999,0)</f>
        <v>0</v>
      </c>
      <c r="U79" s="63">
        <f>IFERROR(aurora_data!T1999,0)</f>
        <v>0</v>
      </c>
      <c r="V79" s="64" t="s">
        <v>95</v>
      </c>
      <c r="W79" s="36">
        <f>IFERROR(aurora_data!U1999,0)</f>
        <v>0</v>
      </c>
      <c r="X79" s="71">
        <f t="shared" si="8"/>
        <v>0</v>
      </c>
      <c r="Y79" s="2"/>
    </row>
    <row r="80" spans="1:25" customFormat="1">
      <c r="A80" s="2"/>
      <c r="B80" s="211"/>
      <c r="C80" s="213"/>
      <c r="D80" s="35" t="s">
        <v>98</v>
      </c>
      <c r="E80" s="36">
        <f>IFERROR(aurora_data!D2000,0)</f>
        <v>0</v>
      </c>
      <c r="F80" s="62">
        <f>IFERROR(aurora_data!E2000,0)</f>
        <v>0</v>
      </c>
      <c r="G80" s="62">
        <f>IFERROR(aurora_data!F2000,0)</f>
        <v>1</v>
      </c>
      <c r="H80" s="62">
        <f>IFERROR(aurora_data!G2000,0)</f>
        <v>0</v>
      </c>
      <c r="I80" s="63">
        <f>IFERROR(aurora_data!H2000,0)</f>
        <v>0</v>
      </c>
      <c r="J80" s="36">
        <f>IFERROR(aurora_data!I2000,0)</f>
        <v>0</v>
      </c>
      <c r="K80" s="62">
        <f>IFERROR(aurora_data!J2000,0)</f>
        <v>0</v>
      </c>
      <c r="L80" s="62">
        <f>IFERROR(aurora_data!K2000,0)</f>
        <v>0</v>
      </c>
      <c r="M80" s="62">
        <f>IFERROR(aurora_data!L2000,0)</f>
        <v>0</v>
      </c>
      <c r="N80" s="63">
        <f>IFERROR(aurora_data!M2000,0)</f>
        <v>1</v>
      </c>
      <c r="O80" s="36">
        <f>IFERROR(aurora_data!N2000,0)</f>
        <v>0</v>
      </c>
      <c r="P80" s="62">
        <f>IFERROR(aurora_data!O2000,0)</f>
        <v>1</v>
      </c>
      <c r="Q80" s="62">
        <f>IFERROR(aurora_data!P2000,0)</f>
        <v>0</v>
      </c>
      <c r="R80" s="63">
        <f>IFERROR(aurora_data!Q2000,0)</f>
        <v>0</v>
      </c>
      <c r="S80" s="62">
        <f>IFERROR(aurora_data!R2000,0)</f>
        <v>0</v>
      </c>
      <c r="T80" s="62">
        <f>IFERROR(aurora_data!S2000,0)</f>
        <v>1</v>
      </c>
      <c r="U80" s="63">
        <f>IFERROR(aurora_data!T2000,0)</f>
        <v>0</v>
      </c>
      <c r="V80" s="64" t="s">
        <v>95</v>
      </c>
      <c r="W80" s="36">
        <f>IFERROR(aurora_data!U2000,0)</f>
        <v>1</v>
      </c>
      <c r="X80" s="71">
        <f t="shared" si="8"/>
        <v>5.2631578947368418E-2</v>
      </c>
      <c r="Y80" s="2"/>
    </row>
    <row r="81" spans="1:25" customFormat="1" ht="16.5" thickBot="1">
      <c r="A81" s="2"/>
      <c r="B81" s="211"/>
      <c r="C81" s="213"/>
      <c r="D81" s="35" t="s">
        <v>99</v>
      </c>
      <c r="E81" s="36">
        <f>IFERROR(aurora_data!D2001,0)</f>
        <v>0</v>
      </c>
      <c r="F81" s="62">
        <f>IFERROR(aurora_data!E2001,0)</f>
        <v>0</v>
      </c>
      <c r="G81" s="62">
        <f>IFERROR(aurora_data!F2001,0)</f>
        <v>0</v>
      </c>
      <c r="H81" s="62">
        <f>IFERROR(aurora_data!G2001,0)</f>
        <v>0</v>
      </c>
      <c r="I81" s="63">
        <f>IFERROR(aurora_data!H2001,0)</f>
        <v>0</v>
      </c>
      <c r="J81" s="36">
        <f>IFERROR(aurora_data!I2001,0)</f>
        <v>0</v>
      </c>
      <c r="K81" s="62">
        <f>IFERROR(aurora_data!J2001,0)</f>
        <v>0</v>
      </c>
      <c r="L81" s="62">
        <f>IFERROR(aurora_data!K2001,0)</f>
        <v>0</v>
      </c>
      <c r="M81" s="62">
        <f>IFERROR(aurora_data!L2001,0)</f>
        <v>0</v>
      </c>
      <c r="N81" s="63">
        <f>IFERROR(aurora_data!M2001,0)</f>
        <v>0</v>
      </c>
      <c r="O81" s="36">
        <f>IFERROR(aurora_data!N2001,0)</f>
        <v>0</v>
      </c>
      <c r="P81" s="62">
        <f>IFERROR(aurora_data!O2001,0)</f>
        <v>0</v>
      </c>
      <c r="Q81" s="62">
        <f>IFERROR(aurora_data!P2001,0)</f>
        <v>0</v>
      </c>
      <c r="R81" s="63">
        <f>IFERROR(aurora_data!Q2001,0)</f>
        <v>0</v>
      </c>
      <c r="S81" s="62">
        <f>IFERROR(aurora_data!R2001,0)</f>
        <v>0</v>
      </c>
      <c r="T81" s="62">
        <f>IFERROR(aurora_data!S2001,0)</f>
        <v>0</v>
      </c>
      <c r="U81" s="63">
        <f>IFERROR(aurora_data!T2001,0)</f>
        <v>0</v>
      </c>
      <c r="V81" s="64" t="s">
        <v>95</v>
      </c>
      <c r="W81" s="36">
        <f>IFERROR(aurora_data!U2001,0)</f>
        <v>0</v>
      </c>
      <c r="X81" s="71">
        <f t="shared" si="8"/>
        <v>0</v>
      </c>
      <c r="Y81" s="2"/>
    </row>
    <row r="82" spans="1:25" customFormat="1" ht="16.5" thickBot="1">
      <c r="A82" s="2"/>
      <c r="B82" s="211"/>
      <c r="C82" s="213"/>
      <c r="D82" s="37" t="s">
        <v>64</v>
      </c>
      <c r="E82" s="59">
        <f>IFERROR(aurora_data!D2002,0)</f>
        <v>0</v>
      </c>
      <c r="F82" s="65">
        <f>IFERROR(aurora_data!E2002,0)</f>
        <v>2</v>
      </c>
      <c r="G82" s="65">
        <f>IFERROR(aurora_data!F2002,0)</f>
        <v>1</v>
      </c>
      <c r="H82" s="65">
        <f>IFERROR(aurora_data!G2002,0)</f>
        <v>5</v>
      </c>
      <c r="I82" s="66">
        <f>IFERROR(aurora_data!H2002,0)</f>
        <v>3</v>
      </c>
      <c r="J82" s="59">
        <f>IFERROR(aurora_data!I2002,0)</f>
        <v>0</v>
      </c>
      <c r="K82" s="65">
        <f>IFERROR(aurora_data!J2002,0)</f>
        <v>1</v>
      </c>
      <c r="L82" s="65">
        <f>IFERROR(aurora_data!K2002,0)</f>
        <v>3</v>
      </c>
      <c r="M82" s="65">
        <f>IFERROR(aurora_data!L2002,0)</f>
        <v>1</v>
      </c>
      <c r="N82" s="66">
        <f>IFERROR(aurora_data!M2002,0)</f>
        <v>6</v>
      </c>
      <c r="O82" s="59">
        <f>IFERROR(aurora_data!N2002,0)</f>
        <v>1</v>
      </c>
      <c r="P82" s="65">
        <f>IFERROR(aurora_data!O2002,0)</f>
        <v>5</v>
      </c>
      <c r="Q82" s="65">
        <f>IFERROR(aurora_data!P2002,0)</f>
        <v>4</v>
      </c>
      <c r="R82" s="66">
        <f>IFERROR(aurora_data!Q2002,0)</f>
        <v>1</v>
      </c>
      <c r="S82" s="65">
        <f>IFERROR(aurora_data!R2002,0)</f>
        <v>4</v>
      </c>
      <c r="T82" s="65">
        <f>IFERROR(aurora_data!S2002,0)</f>
        <v>7</v>
      </c>
      <c r="U82" s="66">
        <f>IFERROR(aurora_data!T2002,0)</f>
        <v>0</v>
      </c>
      <c r="V82" s="67" t="s">
        <v>95</v>
      </c>
      <c r="W82" s="59">
        <f>IFERROR(aurora_data!U2002,0)</f>
        <v>11</v>
      </c>
      <c r="X82" s="72">
        <f t="shared" si="8"/>
        <v>0.57894736842105265</v>
      </c>
      <c r="Y82" s="2"/>
    </row>
    <row r="83" spans="1:25" customFormat="1" ht="16.5" thickBot="1">
      <c r="A83" s="2"/>
      <c r="B83" s="211"/>
      <c r="C83" s="213"/>
      <c r="D83" s="38" t="s">
        <v>100</v>
      </c>
      <c r="E83" s="60">
        <f>IFERROR(aurora_data!D2003,0)</f>
        <v>0</v>
      </c>
      <c r="F83" s="68">
        <f>IFERROR(aurora_data!E2003,0)</f>
        <v>0</v>
      </c>
      <c r="G83" s="68">
        <f>IFERROR(aurora_data!F2003,0)</f>
        <v>0</v>
      </c>
      <c r="H83" s="68">
        <f>IFERROR(aurora_data!G2003,0)</f>
        <v>0</v>
      </c>
      <c r="I83" s="69">
        <f>IFERROR(aurora_data!H2003,0)</f>
        <v>0</v>
      </c>
      <c r="J83" s="60">
        <f>IFERROR(aurora_data!I2003,0)</f>
        <v>0</v>
      </c>
      <c r="K83" s="68">
        <f>IFERROR(aurora_data!J2003,0)</f>
        <v>0</v>
      </c>
      <c r="L83" s="68">
        <f>IFERROR(aurora_data!K2003,0)</f>
        <v>0</v>
      </c>
      <c r="M83" s="68">
        <f>IFERROR(aurora_data!L2003,0)</f>
        <v>0</v>
      </c>
      <c r="N83" s="69">
        <f>IFERROR(aurora_data!M2003,0)</f>
        <v>0</v>
      </c>
      <c r="O83" s="60">
        <f>IFERROR(aurora_data!N2003,0)</f>
        <v>0</v>
      </c>
      <c r="P83" s="68">
        <f>IFERROR(aurora_data!O2003,0)</f>
        <v>0</v>
      </c>
      <c r="Q83" s="68">
        <f>IFERROR(aurora_data!P2003,0)</f>
        <v>0</v>
      </c>
      <c r="R83" s="69">
        <f>IFERROR(aurora_data!Q2003,0)</f>
        <v>0</v>
      </c>
      <c r="S83" s="68">
        <f>IFERROR(aurora_data!R2003,0)</f>
        <v>0</v>
      </c>
      <c r="T83" s="68">
        <f>IFERROR(aurora_data!S2003,0)</f>
        <v>0</v>
      </c>
      <c r="U83" s="74">
        <f>IFERROR(aurora_data!T2003,0)</f>
        <v>0</v>
      </c>
      <c r="V83" s="75" t="s">
        <v>95</v>
      </c>
      <c r="W83" s="60">
        <f>IFERROR(aurora_data!U2003,0)</f>
        <v>0</v>
      </c>
      <c r="X83" s="73">
        <f t="shared" si="8"/>
        <v>0</v>
      </c>
      <c r="Y83" s="2"/>
    </row>
    <row r="84" spans="1:25" customFormat="1">
      <c r="A84" s="2"/>
      <c r="B84" s="210" t="s">
        <v>94</v>
      </c>
      <c r="C84" s="212" t="str">
        <f>aurora_data!A2004</f>
        <v>15.00.00-15.11.30</v>
      </c>
      <c r="D84" s="34" t="s">
        <v>71</v>
      </c>
      <c r="E84" s="39">
        <f>IFERROR(aurora_data!D2004,0)</f>
        <v>0</v>
      </c>
      <c r="F84" s="40">
        <f>IFERROR(aurora_data!E2004,0)</f>
        <v>0</v>
      </c>
      <c r="G84" s="40">
        <f>IFERROR(aurora_data!F2004,0)</f>
        <v>0</v>
      </c>
      <c r="H84" s="40">
        <f>IFERROR(aurora_data!G2004,0)</f>
        <v>0</v>
      </c>
      <c r="I84" s="41">
        <f>IFERROR(aurora_data!H2004,0)</f>
        <v>0</v>
      </c>
      <c r="J84" s="39">
        <f>IFERROR(aurora_data!I2004,0)</f>
        <v>0</v>
      </c>
      <c r="K84" s="40">
        <f>IFERROR(aurora_data!J2004,0)</f>
        <v>0</v>
      </c>
      <c r="L84" s="40">
        <f>IFERROR(aurora_data!K2004,0)</f>
        <v>0</v>
      </c>
      <c r="M84" s="40">
        <f>IFERROR(aurora_data!L2004,0)</f>
        <v>0</v>
      </c>
      <c r="N84" s="41">
        <f>IFERROR(aurora_data!M2004,0)</f>
        <v>0</v>
      </c>
      <c r="O84" s="39">
        <f>IFERROR(aurora_data!N2004,0)</f>
        <v>0</v>
      </c>
      <c r="P84" s="40">
        <f>IFERROR(aurora_data!O2004,0)</f>
        <v>0</v>
      </c>
      <c r="Q84" s="40">
        <f>IFERROR(aurora_data!P2004,0)</f>
        <v>0</v>
      </c>
      <c r="R84" s="41">
        <f>IFERROR(aurora_data!Q2004,0)</f>
        <v>0</v>
      </c>
      <c r="S84" s="40">
        <f>IFERROR(aurora_data!R2004,0)</f>
        <v>0</v>
      </c>
      <c r="T84" s="40">
        <f>IFERROR(aurora_data!S2004,0)</f>
        <v>0</v>
      </c>
      <c r="U84" s="76">
        <f>IFERROR(aurora_data!T2004,0)</f>
        <v>0</v>
      </c>
      <c r="V84" s="61" t="s">
        <v>95</v>
      </c>
      <c r="W84" s="39">
        <f>IFERROR(aurora_data!U2004,0)</f>
        <v>20</v>
      </c>
      <c r="X84" s="70">
        <f>IFERROR(W84/$W$12,0)</f>
        <v>1.0526315789473684</v>
      </c>
      <c r="Y84" s="2"/>
    </row>
    <row r="85" spans="1:25" customFormat="1">
      <c r="A85" s="2"/>
      <c r="B85" s="211"/>
      <c r="C85" s="213"/>
      <c r="D85" s="35" t="s">
        <v>96</v>
      </c>
      <c r="E85" s="110">
        <f>IFERROR(aurora_data!D2005,0)</f>
        <v>0</v>
      </c>
      <c r="F85" s="62">
        <f>IFERROR(aurora_data!E2005,0)</f>
        <v>1</v>
      </c>
      <c r="G85" s="62">
        <f>IFERROR(aurora_data!F2005,0)</f>
        <v>3</v>
      </c>
      <c r="H85" s="62">
        <f>IFERROR(aurora_data!G2005,0)</f>
        <v>6</v>
      </c>
      <c r="I85" s="63">
        <f>IFERROR(aurora_data!H2005,0)</f>
        <v>3</v>
      </c>
      <c r="J85" s="36">
        <f>IFERROR(aurora_data!I2005,0)</f>
        <v>0</v>
      </c>
      <c r="K85" s="62">
        <f>IFERROR(aurora_data!J2005,0)</f>
        <v>2</v>
      </c>
      <c r="L85" s="62">
        <f>IFERROR(aurora_data!K2005,0)</f>
        <v>2</v>
      </c>
      <c r="M85" s="62">
        <f>IFERROR(aurora_data!L2005,0)</f>
        <v>3</v>
      </c>
      <c r="N85" s="63">
        <f>IFERROR(aurora_data!M2005,0)</f>
        <v>6</v>
      </c>
      <c r="O85" s="36">
        <f>IFERROR(aurora_data!N2005,0)</f>
        <v>3</v>
      </c>
      <c r="P85" s="62">
        <f>IFERROR(aurora_data!O2005,0)</f>
        <v>2</v>
      </c>
      <c r="Q85" s="62">
        <f>IFERROR(aurora_data!P2005,0)</f>
        <v>5</v>
      </c>
      <c r="R85" s="63">
        <f>IFERROR(aurora_data!Q2005,0)</f>
        <v>3</v>
      </c>
      <c r="S85" s="62">
        <f>IFERROR(aurora_data!R2005,0)</f>
        <v>5</v>
      </c>
      <c r="T85" s="62">
        <f>IFERROR(aurora_data!S2005,0)</f>
        <v>8</v>
      </c>
      <c r="U85" s="63">
        <f>IFERROR(aurora_data!T2005,0)</f>
        <v>0</v>
      </c>
      <c r="V85" s="64" t="s">
        <v>95</v>
      </c>
      <c r="W85" s="36">
        <f>IFERROR(aurora_data!U2005,0)</f>
        <v>13</v>
      </c>
      <c r="X85" s="71">
        <f t="shared" ref="X85:X91" si="9">IFERROR(W85/$W$12,0)</f>
        <v>0.68421052631578949</v>
      </c>
      <c r="Y85" s="2"/>
    </row>
    <row r="86" spans="1:25" customFormat="1">
      <c r="A86" s="2"/>
      <c r="B86" s="211"/>
      <c r="C86" s="213"/>
      <c r="D86" s="35" t="s">
        <v>60</v>
      </c>
      <c r="E86" s="110">
        <f>IFERROR(aurora_data!D2006,0)</f>
        <v>0</v>
      </c>
      <c r="F86" s="62">
        <f>IFERROR(aurora_data!E2006,0)</f>
        <v>0</v>
      </c>
      <c r="G86" s="62">
        <f>IFERROR(aurora_data!F2006,0)</f>
        <v>0</v>
      </c>
      <c r="H86" s="62">
        <f>IFERROR(aurora_data!G2006,0)</f>
        <v>0</v>
      </c>
      <c r="I86" s="63">
        <f>IFERROR(aurora_data!H2006,0)</f>
        <v>0</v>
      </c>
      <c r="J86" s="36">
        <f>IFERROR(aurora_data!I2006,0)</f>
        <v>0</v>
      </c>
      <c r="K86" s="62">
        <f>IFERROR(aurora_data!J2006,0)</f>
        <v>0</v>
      </c>
      <c r="L86" s="62">
        <f>IFERROR(aurora_data!K2006,0)</f>
        <v>0</v>
      </c>
      <c r="M86" s="62">
        <f>IFERROR(aurora_data!L2006,0)</f>
        <v>0</v>
      </c>
      <c r="N86" s="63">
        <f>IFERROR(aurora_data!M2006,0)</f>
        <v>0</v>
      </c>
      <c r="O86" s="36">
        <f>IFERROR(aurora_data!N2006,0)</f>
        <v>0</v>
      </c>
      <c r="P86" s="62">
        <f>IFERROR(aurora_data!O2006,0)</f>
        <v>0</v>
      </c>
      <c r="Q86" s="62">
        <f>IFERROR(aurora_data!P2006,0)</f>
        <v>0</v>
      </c>
      <c r="R86" s="63">
        <f>IFERROR(aurora_data!Q2006,0)</f>
        <v>0</v>
      </c>
      <c r="S86" s="62">
        <f>IFERROR(aurora_data!R2006,0)</f>
        <v>0</v>
      </c>
      <c r="T86" s="62">
        <f>IFERROR(aurora_data!S2006,0)</f>
        <v>0</v>
      </c>
      <c r="U86" s="63">
        <f>IFERROR(aurora_data!T2006,0)</f>
        <v>0</v>
      </c>
      <c r="V86" s="64" t="s">
        <v>95</v>
      </c>
      <c r="W86" s="36">
        <f>IFERROR(aurora_data!U2006,0)</f>
        <v>0</v>
      </c>
      <c r="X86" s="71">
        <f t="shared" si="9"/>
        <v>0</v>
      </c>
      <c r="Y86" s="2"/>
    </row>
    <row r="87" spans="1:25" customFormat="1">
      <c r="A87" s="2"/>
      <c r="B87" s="211"/>
      <c r="C87" s="213"/>
      <c r="D87" s="35" t="s">
        <v>97</v>
      </c>
      <c r="E87" s="36">
        <f>IFERROR(aurora_data!D2007,0)</f>
        <v>0</v>
      </c>
      <c r="F87" s="62">
        <f>IFERROR(aurora_data!E2007,0)</f>
        <v>0</v>
      </c>
      <c r="G87" s="62">
        <f>IFERROR(aurora_data!F2007,0)</f>
        <v>0</v>
      </c>
      <c r="H87" s="62">
        <f>IFERROR(aurora_data!G2007,0)</f>
        <v>0</v>
      </c>
      <c r="I87" s="63">
        <f>IFERROR(aurora_data!H2007,0)</f>
        <v>0</v>
      </c>
      <c r="J87" s="36">
        <f>IFERROR(aurora_data!I2007,0)</f>
        <v>0</v>
      </c>
      <c r="K87" s="62">
        <f>IFERROR(aurora_data!J2007,0)</f>
        <v>0</v>
      </c>
      <c r="L87" s="62">
        <f>IFERROR(aurora_data!K2007,0)</f>
        <v>0</v>
      </c>
      <c r="M87" s="62">
        <f>IFERROR(aurora_data!L2007,0)</f>
        <v>0</v>
      </c>
      <c r="N87" s="63">
        <f>IFERROR(aurora_data!M2007,0)</f>
        <v>0</v>
      </c>
      <c r="O87" s="36">
        <f>IFERROR(aurora_data!N2007,0)</f>
        <v>0</v>
      </c>
      <c r="P87" s="62">
        <f>IFERROR(aurora_data!O2007,0)</f>
        <v>0</v>
      </c>
      <c r="Q87" s="62">
        <f>IFERROR(aurora_data!P2007,0)</f>
        <v>0</v>
      </c>
      <c r="R87" s="63">
        <f>IFERROR(aurora_data!Q2007,0)</f>
        <v>0</v>
      </c>
      <c r="S87" s="62">
        <f>IFERROR(aurora_data!R2007,0)</f>
        <v>0</v>
      </c>
      <c r="T87" s="62">
        <f>IFERROR(aurora_data!S2007,0)</f>
        <v>0</v>
      </c>
      <c r="U87" s="63">
        <f>IFERROR(aurora_data!T2007,0)</f>
        <v>0</v>
      </c>
      <c r="V87" s="64" t="s">
        <v>95</v>
      </c>
      <c r="W87" s="36">
        <f>IFERROR(aurora_data!U2007,0)</f>
        <v>0</v>
      </c>
      <c r="X87" s="71">
        <f t="shared" si="9"/>
        <v>0</v>
      </c>
      <c r="Y87" s="2"/>
    </row>
    <row r="88" spans="1:25" customFormat="1">
      <c r="A88" s="2"/>
      <c r="B88" s="211"/>
      <c r="C88" s="213"/>
      <c r="D88" s="35" t="s">
        <v>98</v>
      </c>
      <c r="E88" s="36">
        <f>IFERROR(aurora_data!D2008,0)</f>
        <v>0</v>
      </c>
      <c r="F88" s="62">
        <f>IFERROR(aurora_data!E2008,0)</f>
        <v>0</v>
      </c>
      <c r="G88" s="62">
        <f>IFERROR(aurora_data!F2008,0)</f>
        <v>1</v>
      </c>
      <c r="H88" s="62">
        <f>IFERROR(aurora_data!G2008,0)</f>
        <v>0</v>
      </c>
      <c r="I88" s="63">
        <f>IFERROR(aurora_data!H2008,0)</f>
        <v>0</v>
      </c>
      <c r="J88" s="36">
        <f>IFERROR(aurora_data!I2008,0)</f>
        <v>0</v>
      </c>
      <c r="K88" s="62">
        <f>IFERROR(aurora_data!J2008,0)</f>
        <v>0</v>
      </c>
      <c r="L88" s="62">
        <f>IFERROR(aurora_data!K2008,0)</f>
        <v>0</v>
      </c>
      <c r="M88" s="62">
        <f>IFERROR(aurora_data!L2008,0)</f>
        <v>0</v>
      </c>
      <c r="N88" s="63">
        <f>IFERROR(aurora_data!M2008,0)</f>
        <v>1</v>
      </c>
      <c r="O88" s="36">
        <f>IFERROR(aurora_data!N2008,0)</f>
        <v>0</v>
      </c>
      <c r="P88" s="62">
        <f>IFERROR(aurora_data!O2008,0)</f>
        <v>1</v>
      </c>
      <c r="Q88" s="62">
        <f>IFERROR(aurora_data!P2008,0)</f>
        <v>0</v>
      </c>
      <c r="R88" s="63">
        <f>IFERROR(aurora_data!Q2008,0)</f>
        <v>0</v>
      </c>
      <c r="S88" s="62">
        <f>IFERROR(aurora_data!R2008,0)</f>
        <v>0</v>
      </c>
      <c r="T88" s="62">
        <f>IFERROR(aurora_data!S2008,0)</f>
        <v>1</v>
      </c>
      <c r="U88" s="63">
        <f>IFERROR(aurora_data!T2008,0)</f>
        <v>0</v>
      </c>
      <c r="V88" s="64" t="s">
        <v>95</v>
      </c>
      <c r="W88" s="36">
        <f>IFERROR(aurora_data!U2008,0)</f>
        <v>1</v>
      </c>
      <c r="X88" s="71">
        <f t="shared" si="9"/>
        <v>5.2631578947368418E-2</v>
      </c>
      <c r="Y88" s="2"/>
    </row>
    <row r="89" spans="1:25" customFormat="1" ht="16.5" thickBot="1">
      <c r="A89" s="2"/>
      <c r="B89" s="211"/>
      <c r="C89" s="213"/>
      <c r="D89" s="35" t="s">
        <v>99</v>
      </c>
      <c r="E89" s="36">
        <f>IFERROR(aurora_data!D2009,0)</f>
        <v>0</v>
      </c>
      <c r="F89" s="62">
        <f>IFERROR(aurora_data!E2009,0)</f>
        <v>0</v>
      </c>
      <c r="G89" s="62">
        <f>IFERROR(aurora_data!F2009,0)</f>
        <v>0</v>
      </c>
      <c r="H89" s="62">
        <f>IFERROR(aurora_data!G2009,0)</f>
        <v>0</v>
      </c>
      <c r="I89" s="63">
        <f>IFERROR(aurora_data!H2009,0)</f>
        <v>0</v>
      </c>
      <c r="J89" s="36">
        <f>IFERROR(aurora_data!I2009,0)</f>
        <v>0</v>
      </c>
      <c r="K89" s="62">
        <f>IFERROR(aurora_data!J2009,0)</f>
        <v>0</v>
      </c>
      <c r="L89" s="62">
        <f>IFERROR(aurora_data!K2009,0)</f>
        <v>0</v>
      </c>
      <c r="M89" s="62">
        <f>IFERROR(aurora_data!L2009,0)</f>
        <v>0</v>
      </c>
      <c r="N89" s="63">
        <f>IFERROR(aurora_data!M2009,0)</f>
        <v>0</v>
      </c>
      <c r="O89" s="36">
        <f>IFERROR(aurora_data!N2009,0)</f>
        <v>0</v>
      </c>
      <c r="P89" s="62">
        <f>IFERROR(aurora_data!O2009,0)</f>
        <v>0</v>
      </c>
      <c r="Q89" s="62">
        <f>IFERROR(aurora_data!P2009,0)</f>
        <v>0</v>
      </c>
      <c r="R89" s="63">
        <f>IFERROR(aurora_data!Q2009,0)</f>
        <v>0</v>
      </c>
      <c r="S89" s="62">
        <f>IFERROR(aurora_data!R2009,0)</f>
        <v>0</v>
      </c>
      <c r="T89" s="62">
        <f>IFERROR(aurora_data!S2009,0)</f>
        <v>0</v>
      </c>
      <c r="U89" s="63">
        <f>IFERROR(aurora_data!T2009,0)</f>
        <v>0</v>
      </c>
      <c r="V89" s="64" t="s">
        <v>95</v>
      </c>
      <c r="W89" s="36">
        <f>IFERROR(aurora_data!U2009,0)</f>
        <v>0</v>
      </c>
      <c r="X89" s="71">
        <f t="shared" si="9"/>
        <v>0</v>
      </c>
      <c r="Y89" s="2"/>
    </row>
    <row r="90" spans="1:25" customFormat="1" ht="16.5" thickBot="1">
      <c r="A90" s="2"/>
      <c r="B90" s="211"/>
      <c r="C90" s="213"/>
      <c r="D90" s="37" t="s">
        <v>64</v>
      </c>
      <c r="E90" s="59">
        <f>IFERROR(aurora_data!D2010,0)</f>
        <v>0</v>
      </c>
      <c r="F90" s="65">
        <f>IFERROR(aurora_data!E2010,0)</f>
        <v>1</v>
      </c>
      <c r="G90" s="65">
        <f>IFERROR(aurora_data!F2010,0)</f>
        <v>4</v>
      </c>
      <c r="H90" s="65">
        <f>IFERROR(aurora_data!G2010,0)</f>
        <v>6</v>
      </c>
      <c r="I90" s="66">
        <f>IFERROR(aurora_data!H2010,0)</f>
        <v>3</v>
      </c>
      <c r="J90" s="59">
        <f>IFERROR(aurora_data!I2010,0)</f>
        <v>0</v>
      </c>
      <c r="K90" s="65">
        <f>IFERROR(aurora_data!J2010,0)</f>
        <v>2</v>
      </c>
      <c r="L90" s="65">
        <f>IFERROR(aurora_data!K2010,0)</f>
        <v>2</v>
      </c>
      <c r="M90" s="65">
        <f>IFERROR(aurora_data!L2010,0)</f>
        <v>3</v>
      </c>
      <c r="N90" s="66">
        <f>IFERROR(aurora_data!M2010,0)</f>
        <v>7</v>
      </c>
      <c r="O90" s="59">
        <f>IFERROR(aurora_data!N2010,0)</f>
        <v>3</v>
      </c>
      <c r="P90" s="65">
        <f>IFERROR(aurora_data!O2010,0)</f>
        <v>3</v>
      </c>
      <c r="Q90" s="65">
        <f>IFERROR(aurora_data!P2010,0)</f>
        <v>5</v>
      </c>
      <c r="R90" s="66">
        <f>IFERROR(aurora_data!Q2010,0)</f>
        <v>3</v>
      </c>
      <c r="S90" s="65">
        <f>IFERROR(aurora_data!R2010,0)</f>
        <v>5</v>
      </c>
      <c r="T90" s="65">
        <f>IFERROR(aurora_data!S2010,0)</f>
        <v>9</v>
      </c>
      <c r="U90" s="66">
        <f>IFERROR(aurora_data!T2010,0)</f>
        <v>0</v>
      </c>
      <c r="V90" s="67" t="s">
        <v>95</v>
      </c>
      <c r="W90" s="59">
        <f>IFERROR(aurora_data!U2010,0)</f>
        <v>14</v>
      </c>
      <c r="X90" s="72">
        <f t="shared" si="9"/>
        <v>0.73684210526315785</v>
      </c>
      <c r="Y90" s="2"/>
    </row>
    <row r="91" spans="1:25" customFormat="1" ht="16.5" thickBot="1">
      <c r="A91" s="2"/>
      <c r="B91" s="211"/>
      <c r="C91" s="213"/>
      <c r="D91" s="38" t="s">
        <v>100</v>
      </c>
      <c r="E91" s="60">
        <f>IFERROR(aurora_data!D2011,0)</f>
        <v>0</v>
      </c>
      <c r="F91" s="68">
        <f>IFERROR(aurora_data!E2011,0)</f>
        <v>0</v>
      </c>
      <c r="G91" s="68">
        <f>IFERROR(aurora_data!F2011,0)</f>
        <v>0</v>
      </c>
      <c r="H91" s="68">
        <f>IFERROR(aurora_data!G2011,0)</f>
        <v>0</v>
      </c>
      <c r="I91" s="69">
        <f>IFERROR(aurora_data!H2011,0)</f>
        <v>0</v>
      </c>
      <c r="J91" s="60">
        <f>IFERROR(aurora_data!I2011,0)</f>
        <v>0</v>
      </c>
      <c r="K91" s="68">
        <f>IFERROR(aurora_data!J2011,0)</f>
        <v>0</v>
      </c>
      <c r="L91" s="68">
        <f>IFERROR(aurora_data!K2011,0)</f>
        <v>0</v>
      </c>
      <c r="M91" s="68">
        <f>IFERROR(aurora_data!L2011,0)</f>
        <v>0</v>
      </c>
      <c r="N91" s="69">
        <f>IFERROR(aurora_data!M2011,0)</f>
        <v>0</v>
      </c>
      <c r="O91" s="60">
        <f>IFERROR(aurora_data!N2011,0)</f>
        <v>0</v>
      </c>
      <c r="P91" s="68">
        <f>IFERROR(aurora_data!O2011,0)</f>
        <v>0</v>
      </c>
      <c r="Q91" s="68">
        <f>IFERROR(aurora_data!P2011,0)</f>
        <v>0</v>
      </c>
      <c r="R91" s="69">
        <f>IFERROR(aurora_data!Q2011,0)</f>
        <v>0</v>
      </c>
      <c r="S91" s="68">
        <f>IFERROR(aurora_data!R2011,0)</f>
        <v>0</v>
      </c>
      <c r="T91" s="68">
        <f>IFERROR(aurora_data!S2011,0)</f>
        <v>0</v>
      </c>
      <c r="U91" s="74">
        <f>IFERROR(aurora_data!T2011,0)</f>
        <v>0</v>
      </c>
      <c r="V91" s="75" t="s">
        <v>95</v>
      </c>
      <c r="W91" s="60">
        <f>IFERROR(aurora_data!U2011,0)</f>
        <v>0</v>
      </c>
      <c r="X91" s="73">
        <f t="shared" si="9"/>
        <v>0</v>
      </c>
      <c r="Y91" s="2"/>
    </row>
    <row r="92" spans="1:25" customFormat="1">
      <c r="A92" s="2"/>
      <c r="B92" s="210" t="s">
        <v>94</v>
      </c>
      <c r="C92" s="212" t="str">
        <f>aurora_data!A2012</f>
        <v>16.00.00-16.11.30</v>
      </c>
      <c r="D92" s="34" t="s">
        <v>71</v>
      </c>
      <c r="E92" s="39">
        <f>IFERROR(aurora_data!D2012,0)</f>
        <v>0</v>
      </c>
      <c r="F92" s="40">
        <f>IFERROR(aurora_data!E2012,0)</f>
        <v>0</v>
      </c>
      <c r="G92" s="40">
        <f>IFERROR(aurora_data!F2012,0)</f>
        <v>0</v>
      </c>
      <c r="H92" s="40">
        <f>IFERROR(aurora_data!G2012,0)</f>
        <v>0</v>
      </c>
      <c r="I92" s="41">
        <f>IFERROR(aurora_data!H2012,0)</f>
        <v>0</v>
      </c>
      <c r="J92" s="39">
        <f>IFERROR(aurora_data!I2012,0)</f>
        <v>0</v>
      </c>
      <c r="K92" s="40">
        <f>IFERROR(aurora_data!J2012,0)</f>
        <v>0</v>
      </c>
      <c r="L92" s="40">
        <f>IFERROR(aurora_data!K2012,0)</f>
        <v>0</v>
      </c>
      <c r="M92" s="40">
        <f>IFERROR(aurora_data!L2012,0)</f>
        <v>0</v>
      </c>
      <c r="N92" s="41">
        <f>IFERROR(aurora_data!M2012,0)</f>
        <v>0</v>
      </c>
      <c r="O92" s="39">
        <f>IFERROR(aurora_data!N2012,0)</f>
        <v>0</v>
      </c>
      <c r="P92" s="40">
        <f>IFERROR(aurora_data!O2012,0)</f>
        <v>0</v>
      </c>
      <c r="Q92" s="40">
        <f>IFERROR(aurora_data!P2012,0)</f>
        <v>0</v>
      </c>
      <c r="R92" s="41">
        <f>IFERROR(aurora_data!Q2012,0)</f>
        <v>0</v>
      </c>
      <c r="S92" s="40">
        <f>IFERROR(aurora_data!R2012,0)</f>
        <v>0</v>
      </c>
      <c r="T92" s="40">
        <f>IFERROR(aurora_data!S2012,0)</f>
        <v>0</v>
      </c>
      <c r="U92" s="76">
        <f>IFERROR(aurora_data!T2012,0)</f>
        <v>0</v>
      </c>
      <c r="V92" s="61" t="s">
        <v>95</v>
      </c>
      <c r="W92" s="39">
        <f>IFERROR(aurora_data!U2012,0)</f>
        <v>20</v>
      </c>
      <c r="X92" s="70">
        <f>IFERROR(W92/$W$12,0)</f>
        <v>1.0526315789473684</v>
      </c>
      <c r="Y92" s="2"/>
    </row>
    <row r="93" spans="1:25" customFormat="1">
      <c r="A93" s="2"/>
      <c r="B93" s="211"/>
      <c r="C93" s="213"/>
      <c r="D93" s="35" t="s">
        <v>96</v>
      </c>
      <c r="E93" s="110">
        <f>IFERROR(aurora_data!D2013,0)</f>
        <v>0</v>
      </c>
      <c r="F93" s="62">
        <f>IFERROR(aurora_data!E2013,0)</f>
        <v>2</v>
      </c>
      <c r="G93" s="62">
        <f>IFERROR(aurora_data!F2013,0)</f>
        <v>1</v>
      </c>
      <c r="H93" s="62">
        <f>IFERROR(aurora_data!G2013,0)</f>
        <v>14</v>
      </c>
      <c r="I93" s="63">
        <f>IFERROR(aurora_data!H2013,0)</f>
        <v>3</v>
      </c>
      <c r="J93" s="36">
        <f>IFERROR(aurora_data!I2013,0)</f>
        <v>1</v>
      </c>
      <c r="K93" s="62">
        <f>IFERROR(aurora_data!J2013,0)</f>
        <v>4</v>
      </c>
      <c r="L93" s="62">
        <f>IFERROR(aurora_data!K2013,0)</f>
        <v>1</v>
      </c>
      <c r="M93" s="62">
        <f>IFERROR(aurora_data!L2013,0)</f>
        <v>1</v>
      </c>
      <c r="N93" s="63">
        <f>IFERROR(aurora_data!M2013,0)</f>
        <v>13</v>
      </c>
      <c r="O93" s="36">
        <f>IFERROR(aurora_data!N2013,0)</f>
        <v>5</v>
      </c>
      <c r="P93" s="62">
        <f>IFERROR(aurora_data!O2013,0)</f>
        <v>5</v>
      </c>
      <c r="Q93" s="62">
        <f>IFERROR(aurora_data!P2013,0)</f>
        <v>7</v>
      </c>
      <c r="R93" s="63">
        <f>IFERROR(aurora_data!Q2013,0)</f>
        <v>3</v>
      </c>
      <c r="S93" s="62">
        <f>IFERROR(aurora_data!R2013,0)</f>
        <v>9</v>
      </c>
      <c r="T93" s="62">
        <f>IFERROR(aurora_data!S2013,0)</f>
        <v>11</v>
      </c>
      <c r="U93" s="63">
        <f>IFERROR(aurora_data!T2013,0)</f>
        <v>0</v>
      </c>
      <c r="V93" s="64" t="s">
        <v>95</v>
      </c>
      <c r="W93" s="36">
        <f>IFERROR(aurora_data!U2013,0)</f>
        <v>20</v>
      </c>
      <c r="X93" s="71">
        <f t="shared" ref="X93:X99" si="10">IFERROR(W93/$W$12,0)</f>
        <v>1.0526315789473684</v>
      </c>
      <c r="Y93" s="2"/>
    </row>
    <row r="94" spans="1:25" customFormat="1">
      <c r="A94" s="2"/>
      <c r="B94" s="211"/>
      <c r="C94" s="213"/>
      <c r="D94" s="35" t="s">
        <v>60</v>
      </c>
      <c r="E94" s="110">
        <f>IFERROR(aurora_data!D2014,0)</f>
        <v>0</v>
      </c>
      <c r="F94" s="62">
        <f>IFERROR(aurora_data!E2014,0)</f>
        <v>0</v>
      </c>
      <c r="G94" s="62">
        <f>IFERROR(aurora_data!F2014,0)</f>
        <v>0</v>
      </c>
      <c r="H94" s="62">
        <f>IFERROR(aurora_data!G2014,0)</f>
        <v>0</v>
      </c>
      <c r="I94" s="63">
        <f>IFERROR(aurora_data!H2014,0)</f>
        <v>0</v>
      </c>
      <c r="J94" s="36">
        <f>IFERROR(aurora_data!I2014,0)</f>
        <v>0</v>
      </c>
      <c r="K94" s="62">
        <f>IFERROR(aurora_data!J2014,0)</f>
        <v>0</v>
      </c>
      <c r="L94" s="62">
        <f>IFERROR(aurora_data!K2014,0)</f>
        <v>0</v>
      </c>
      <c r="M94" s="62">
        <f>IFERROR(aurora_data!L2014,0)</f>
        <v>0</v>
      </c>
      <c r="N94" s="63">
        <f>IFERROR(aurora_data!M2014,0)</f>
        <v>0</v>
      </c>
      <c r="O94" s="36">
        <f>IFERROR(aurora_data!N2014,0)</f>
        <v>0</v>
      </c>
      <c r="P94" s="62">
        <f>IFERROR(aurora_data!O2014,0)</f>
        <v>0</v>
      </c>
      <c r="Q94" s="62">
        <f>IFERROR(aurora_data!P2014,0)</f>
        <v>0</v>
      </c>
      <c r="R94" s="63">
        <f>IFERROR(aurora_data!Q2014,0)</f>
        <v>0</v>
      </c>
      <c r="S94" s="62">
        <f>IFERROR(aurora_data!R2014,0)</f>
        <v>0</v>
      </c>
      <c r="T94" s="62">
        <f>IFERROR(aurora_data!S2014,0)</f>
        <v>0</v>
      </c>
      <c r="U94" s="63">
        <f>IFERROR(aurora_data!T2014,0)</f>
        <v>0</v>
      </c>
      <c r="V94" s="64" t="s">
        <v>95</v>
      </c>
      <c r="W94" s="36">
        <f>IFERROR(aurora_data!U2014,0)</f>
        <v>0</v>
      </c>
      <c r="X94" s="71">
        <f t="shared" si="10"/>
        <v>0</v>
      </c>
      <c r="Y94" s="2"/>
    </row>
    <row r="95" spans="1:25" customFormat="1">
      <c r="A95" s="2"/>
      <c r="B95" s="211"/>
      <c r="C95" s="213"/>
      <c r="D95" s="35" t="s">
        <v>97</v>
      </c>
      <c r="E95" s="36">
        <f>IFERROR(aurora_data!D2015,0)</f>
        <v>0</v>
      </c>
      <c r="F95" s="62">
        <f>IFERROR(aurora_data!E2015,0)</f>
        <v>0</v>
      </c>
      <c r="G95" s="62">
        <f>IFERROR(aurora_data!F2015,0)</f>
        <v>0</v>
      </c>
      <c r="H95" s="62">
        <f>IFERROR(aurora_data!G2015,0)</f>
        <v>0</v>
      </c>
      <c r="I95" s="63">
        <f>IFERROR(aurora_data!H2015,0)</f>
        <v>0</v>
      </c>
      <c r="J95" s="36">
        <f>IFERROR(aurora_data!I2015,0)</f>
        <v>0</v>
      </c>
      <c r="K95" s="62">
        <f>IFERROR(aurora_data!J2015,0)</f>
        <v>0</v>
      </c>
      <c r="L95" s="62">
        <f>IFERROR(aurora_data!K2015,0)</f>
        <v>0</v>
      </c>
      <c r="M95" s="62">
        <f>IFERROR(aurora_data!L2015,0)</f>
        <v>0</v>
      </c>
      <c r="N95" s="63">
        <f>IFERROR(aurora_data!M2015,0)</f>
        <v>0</v>
      </c>
      <c r="O95" s="36">
        <f>IFERROR(aurora_data!N2015,0)</f>
        <v>0</v>
      </c>
      <c r="P95" s="62">
        <f>IFERROR(aurora_data!O2015,0)</f>
        <v>0</v>
      </c>
      <c r="Q95" s="62">
        <f>IFERROR(aurora_data!P2015,0)</f>
        <v>0</v>
      </c>
      <c r="R95" s="63">
        <f>IFERROR(aurora_data!Q2015,0)</f>
        <v>0</v>
      </c>
      <c r="S95" s="62">
        <f>IFERROR(aurora_data!R2015,0)</f>
        <v>0</v>
      </c>
      <c r="T95" s="62">
        <f>IFERROR(aurora_data!S2015,0)</f>
        <v>0</v>
      </c>
      <c r="U95" s="63">
        <f>IFERROR(aurora_data!T2015,0)</f>
        <v>0</v>
      </c>
      <c r="V95" s="64" t="s">
        <v>95</v>
      </c>
      <c r="W95" s="36">
        <f>IFERROR(aurora_data!U2015,0)</f>
        <v>0</v>
      </c>
      <c r="X95" s="71">
        <f t="shared" si="10"/>
        <v>0</v>
      </c>
      <c r="Y95" s="2"/>
    </row>
    <row r="96" spans="1:25" customFormat="1">
      <c r="A96" s="2"/>
      <c r="B96" s="211"/>
      <c r="C96" s="213"/>
      <c r="D96" s="35" t="s">
        <v>98</v>
      </c>
      <c r="E96" s="36">
        <f>IFERROR(aurora_data!D2016,0)</f>
        <v>0</v>
      </c>
      <c r="F96" s="62">
        <f>IFERROR(aurora_data!E2016,0)</f>
        <v>0</v>
      </c>
      <c r="G96" s="62">
        <f>IFERROR(aurora_data!F2016,0)</f>
        <v>2</v>
      </c>
      <c r="H96" s="62">
        <f>IFERROR(aurora_data!G2016,0)</f>
        <v>1</v>
      </c>
      <c r="I96" s="63">
        <f>IFERROR(aurora_data!H2016,0)</f>
        <v>0</v>
      </c>
      <c r="J96" s="36">
        <f>IFERROR(aurora_data!I2016,0)</f>
        <v>0</v>
      </c>
      <c r="K96" s="62">
        <f>IFERROR(aurora_data!J2016,0)</f>
        <v>0</v>
      </c>
      <c r="L96" s="62">
        <f>IFERROR(aurora_data!K2016,0)</f>
        <v>1</v>
      </c>
      <c r="M96" s="62">
        <f>IFERROR(aurora_data!L2016,0)</f>
        <v>0</v>
      </c>
      <c r="N96" s="63">
        <f>IFERROR(aurora_data!M2016,0)</f>
        <v>2</v>
      </c>
      <c r="O96" s="36">
        <f>IFERROR(aurora_data!N2016,0)</f>
        <v>2</v>
      </c>
      <c r="P96" s="62">
        <f>IFERROR(aurora_data!O2016,0)</f>
        <v>0</v>
      </c>
      <c r="Q96" s="62">
        <f>IFERROR(aurora_data!P2016,0)</f>
        <v>1</v>
      </c>
      <c r="R96" s="63">
        <f>IFERROR(aurora_data!Q2016,0)</f>
        <v>0</v>
      </c>
      <c r="S96" s="62">
        <f>IFERROR(aurora_data!R2016,0)</f>
        <v>2</v>
      </c>
      <c r="T96" s="62">
        <f>IFERROR(aurora_data!S2016,0)</f>
        <v>1</v>
      </c>
      <c r="U96" s="63">
        <f>IFERROR(aurora_data!T2016,0)</f>
        <v>0</v>
      </c>
      <c r="V96" s="64" t="s">
        <v>95</v>
      </c>
      <c r="W96" s="36">
        <f>IFERROR(aurora_data!U2016,0)</f>
        <v>3</v>
      </c>
      <c r="X96" s="71">
        <f t="shared" si="10"/>
        <v>0.15789473684210525</v>
      </c>
      <c r="Y96" s="2"/>
    </row>
    <row r="97" spans="1:25" customFormat="1" ht="16.5" thickBot="1">
      <c r="A97" s="2"/>
      <c r="B97" s="211"/>
      <c r="C97" s="213"/>
      <c r="D97" s="35" t="s">
        <v>99</v>
      </c>
      <c r="E97" s="36">
        <f>IFERROR(aurora_data!D2017,0)</f>
        <v>0</v>
      </c>
      <c r="F97" s="62">
        <f>IFERROR(aurora_data!E2017,0)</f>
        <v>0</v>
      </c>
      <c r="G97" s="62">
        <f>IFERROR(aurora_data!F2017,0)</f>
        <v>0</v>
      </c>
      <c r="H97" s="62">
        <f>IFERROR(aurora_data!G2017,0)</f>
        <v>0</v>
      </c>
      <c r="I97" s="63">
        <f>IFERROR(aurora_data!H2017,0)</f>
        <v>0</v>
      </c>
      <c r="J97" s="36">
        <f>IFERROR(aurora_data!I2017,0)</f>
        <v>0</v>
      </c>
      <c r="K97" s="62">
        <f>IFERROR(aurora_data!J2017,0)</f>
        <v>0</v>
      </c>
      <c r="L97" s="62">
        <f>IFERROR(aurora_data!K2017,0)</f>
        <v>0</v>
      </c>
      <c r="M97" s="62">
        <f>IFERROR(aurora_data!L2017,0)</f>
        <v>0</v>
      </c>
      <c r="N97" s="63">
        <f>IFERROR(aurora_data!M2017,0)</f>
        <v>0</v>
      </c>
      <c r="O97" s="36">
        <f>IFERROR(aurora_data!N2017,0)</f>
        <v>0</v>
      </c>
      <c r="P97" s="62">
        <f>IFERROR(aurora_data!O2017,0)</f>
        <v>0</v>
      </c>
      <c r="Q97" s="62">
        <f>IFERROR(aurora_data!P2017,0)</f>
        <v>0</v>
      </c>
      <c r="R97" s="63">
        <f>IFERROR(aurora_data!Q2017,0)</f>
        <v>0</v>
      </c>
      <c r="S97" s="62">
        <f>IFERROR(aurora_data!R2017,0)</f>
        <v>0</v>
      </c>
      <c r="T97" s="62">
        <f>IFERROR(aurora_data!S2017,0)</f>
        <v>0</v>
      </c>
      <c r="U97" s="63">
        <f>IFERROR(aurora_data!T2017,0)</f>
        <v>0</v>
      </c>
      <c r="V97" s="64" t="s">
        <v>95</v>
      </c>
      <c r="W97" s="36">
        <f>IFERROR(aurora_data!U2017,0)</f>
        <v>0</v>
      </c>
      <c r="X97" s="71">
        <f t="shared" si="10"/>
        <v>0</v>
      </c>
      <c r="Y97" s="2"/>
    </row>
    <row r="98" spans="1:25" customFormat="1" ht="16.5" thickBot="1">
      <c r="A98" s="2"/>
      <c r="B98" s="211"/>
      <c r="C98" s="213"/>
      <c r="D98" s="37" t="s">
        <v>64</v>
      </c>
      <c r="E98" s="59">
        <f>IFERROR(aurora_data!D2018,0)</f>
        <v>0</v>
      </c>
      <c r="F98" s="65">
        <f>IFERROR(aurora_data!E2018,0)</f>
        <v>2</v>
      </c>
      <c r="G98" s="65">
        <f>IFERROR(aurora_data!F2018,0)</f>
        <v>3</v>
      </c>
      <c r="H98" s="65">
        <f>IFERROR(aurora_data!G2018,0)</f>
        <v>15</v>
      </c>
      <c r="I98" s="66">
        <f>IFERROR(aurora_data!H2018,0)</f>
        <v>3</v>
      </c>
      <c r="J98" s="59">
        <f>IFERROR(aurora_data!I2018,0)</f>
        <v>1</v>
      </c>
      <c r="K98" s="65">
        <f>IFERROR(aurora_data!J2018,0)</f>
        <v>4</v>
      </c>
      <c r="L98" s="65">
        <f>IFERROR(aurora_data!K2018,0)</f>
        <v>2</v>
      </c>
      <c r="M98" s="65">
        <f>IFERROR(aurora_data!L2018,0)</f>
        <v>1</v>
      </c>
      <c r="N98" s="66">
        <f>IFERROR(aurora_data!M2018,0)</f>
        <v>15</v>
      </c>
      <c r="O98" s="59">
        <f>IFERROR(aurora_data!N2018,0)</f>
        <v>7</v>
      </c>
      <c r="P98" s="65">
        <f>IFERROR(aurora_data!O2018,0)</f>
        <v>5</v>
      </c>
      <c r="Q98" s="65">
        <f>IFERROR(aurora_data!P2018,0)</f>
        <v>8</v>
      </c>
      <c r="R98" s="66">
        <f>IFERROR(aurora_data!Q2018,0)</f>
        <v>3</v>
      </c>
      <c r="S98" s="65">
        <f>IFERROR(aurora_data!R2018,0)</f>
        <v>11</v>
      </c>
      <c r="T98" s="65">
        <f>IFERROR(aurora_data!S2018,0)</f>
        <v>12</v>
      </c>
      <c r="U98" s="66">
        <f>IFERROR(aurora_data!T2018,0)</f>
        <v>0</v>
      </c>
      <c r="V98" s="67" t="s">
        <v>95</v>
      </c>
      <c r="W98" s="59">
        <f>IFERROR(aurora_data!U2018,0)</f>
        <v>23</v>
      </c>
      <c r="X98" s="72">
        <f t="shared" si="10"/>
        <v>1.2105263157894737</v>
      </c>
      <c r="Y98" s="2"/>
    </row>
    <row r="99" spans="1:25" customFormat="1" ht="16.5" thickBot="1">
      <c r="A99" s="2"/>
      <c r="B99" s="211"/>
      <c r="C99" s="213"/>
      <c r="D99" s="38" t="s">
        <v>100</v>
      </c>
      <c r="E99" s="60">
        <f>IFERROR(aurora_data!D2019,0)</f>
        <v>0</v>
      </c>
      <c r="F99" s="68">
        <f>IFERROR(aurora_data!E2019,0)</f>
        <v>0</v>
      </c>
      <c r="G99" s="68">
        <f>IFERROR(aurora_data!F2019,0)</f>
        <v>0</v>
      </c>
      <c r="H99" s="68">
        <f>IFERROR(aurora_data!G2019,0)</f>
        <v>0</v>
      </c>
      <c r="I99" s="69">
        <f>IFERROR(aurora_data!H2019,0)</f>
        <v>0</v>
      </c>
      <c r="J99" s="60">
        <f>IFERROR(aurora_data!I2019,0)</f>
        <v>0</v>
      </c>
      <c r="K99" s="68">
        <f>IFERROR(aurora_data!J2019,0)</f>
        <v>0</v>
      </c>
      <c r="L99" s="68">
        <f>IFERROR(aurora_data!K2019,0)</f>
        <v>0</v>
      </c>
      <c r="M99" s="68">
        <f>IFERROR(aurora_data!L2019,0)</f>
        <v>0</v>
      </c>
      <c r="N99" s="69">
        <f>IFERROR(aurora_data!M2019,0)</f>
        <v>0</v>
      </c>
      <c r="O99" s="60">
        <f>IFERROR(aurora_data!N2019,0)</f>
        <v>0</v>
      </c>
      <c r="P99" s="68">
        <f>IFERROR(aurora_data!O2019,0)</f>
        <v>0</v>
      </c>
      <c r="Q99" s="68">
        <f>IFERROR(aurora_data!P2019,0)</f>
        <v>0</v>
      </c>
      <c r="R99" s="69">
        <f>IFERROR(aurora_data!Q2019,0)</f>
        <v>0</v>
      </c>
      <c r="S99" s="68">
        <f>IFERROR(aurora_data!R2019,0)</f>
        <v>0</v>
      </c>
      <c r="T99" s="68">
        <f>IFERROR(aurora_data!S2019,0)</f>
        <v>0</v>
      </c>
      <c r="U99" s="74">
        <f>IFERROR(aurora_data!T2019,0)</f>
        <v>0</v>
      </c>
      <c r="V99" s="75" t="s">
        <v>95</v>
      </c>
      <c r="W99" s="60">
        <f>IFERROR(aurora_data!U2019,0)</f>
        <v>0</v>
      </c>
      <c r="X99" s="73">
        <f t="shared" si="10"/>
        <v>0</v>
      </c>
      <c r="Y99" s="2"/>
    </row>
    <row r="100" spans="1:25" customFormat="1" ht="15.75" customHeight="1">
      <c r="A100" s="2"/>
      <c r="B100" s="206" t="s">
        <v>94</v>
      </c>
      <c r="C100" s="208" t="s">
        <v>55</v>
      </c>
      <c r="D100" s="34" t="s">
        <v>71</v>
      </c>
      <c r="E100" s="39">
        <f>IFERROR(aurora_data!D2020,0)</f>
        <v>0</v>
      </c>
      <c r="F100" s="40">
        <f>IFERROR(aurora_data!E2020,0)</f>
        <v>0</v>
      </c>
      <c r="G100" s="40">
        <f>IFERROR(aurora_data!F2020,0)</f>
        <v>0</v>
      </c>
      <c r="H100" s="40">
        <f>IFERROR(aurora_data!G2020,0)</f>
        <v>0</v>
      </c>
      <c r="I100" s="41">
        <f>IFERROR(aurora_data!H2020,0)</f>
        <v>0</v>
      </c>
      <c r="J100" s="39">
        <f>IFERROR(aurora_data!I2020,0)</f>
        <v>0</v>
      </c>
      <c r="K100" s="40">
        <f>IFERROR(aurora_data!J2020,0)</f>
        <v>0</v>
      </c>
      <c r="L100" s="40">
        <f>IFERROR(aurora_data!K2020,0)</f>
        <v>0</v>
      </c>
      <c r="M100" s="40">
        <f>IFERROR(aurora_data!L2020,0)</f>
        <v>0</v>
      </c>
      <c r="N100" s="41">
        <f>IFERROR(aurora_data!M2020,0)</f>
        <v>0</v>
      </c>
      <c r="O100" s="39">
        <f>IFERROR(aurora_data!N2020,0)</f>
        <v>0</v>
      </c>
      <c r="P100" s="40">
        <f>IFERROR(aurora_data!O2020,0)</f>
        <v>0</v>
      </c>
      <c r="Q100" s="40">
        <f>IFERROR(aurora_data!P2020,0)</f>
        <v>0</v>
      </c>
      <c r="R100" s="41">
        <f>IFERROR(aurora_data!Q2020,0)</f>
        <v>0</v>
      </c>
      <c r="S100" s="40">
        <f>IFERROR(aurora_data!R2020,0)</f>
        <v>0</v>
      </c>
      <c r="T100" s="40">
        <f>IFERROR(aurora_data!S2020,0)</f>
        <v>0</v>
      </c>
      <c r="U100" s="41">
        <f>IFERROR(aurora_data!T2020,0)</f>
        <v>0</v>
      </c>
      <c r="V100" s="61" t="s">
        <v>95</v>
      </c>
      <c r="W100" s="39">
        <f>IFERROR(aurora_data!U2020,0)</f>
        <v>216</v>
      </c>
      <c r="X100" s="70">
        <f>IFERROR(W100/$W$100,0)</f>
        <v>1</v>
      </c>
      <c r="Y100" s="2"/>
    </row>
    <row r="101" spans="1:25" customFormat="1" ht="15.75" customHeight="1">
      <c r="A101" s="2"/>
      <c r="B101" s="207"/>
      <c r="C101" s="209"/>
      <c r="D101" s="35" t="s">
        <v>96</v>
      </c>
      <c r="E101" s="36">
        <f>IFERROR(aurora_data!D2021,0)</f>
        <v>3</v>
      </c>
      <c r="F101" s="62">
        <f>IFERROR(aurora_data!E2021,0)</f>
        <v>11</v>
      </c>
      <c r="G101" s="62">
        <f>IFERROR(aurora_data!F2021,0)</f>
        <v>23</v>
      </c>
      <c r="H101" s="62">
        <f>IFERROR(aurora_data!G2021,0)</f>
        <v>39</v>
      </c>
      <c r="I101" s="63">
        <f>IFERROR(aurora_data!H2021,0)</f>
        <v>29</v>
      </c>
      <c r="J101" s="36">
        <f>IFERROR(aurora_data!I2021,0)</f>
        <v>2</v>
      </c>
      <c r="K101" s="62">
        <f>IFERROR(aurora_data!J2021,0)</f>
        <v>12</v>
      </c>
      <c r="L101" s="62">
        <f>IFERROR(aurora_data!K2021,0)</f>
        <v>22</v>
      </c>
      <c r="M101" s="62">
        <f>IFERROR(aurora_data!L2021,0)</f>
        <v>16</v>
      </c>
      <c r="N101" s="63">
        <f>IFERROR(aurora_data!M2021,0)</f>
        <v>53</v>
      </c>
      <c r="O101" s="36">
        <f>IFERROR(aurora_data!N2021,0)</f>
        <v>29</v>
      </c>
      <c r="P101" s="62">
        <f>IFERROR(aurora_data!O2021,0)</f>
        <v>24</v>
      </c>
      <c r="Q101" s="62">
        <f>IFERROR(aurora_data!P2021,0)</f>
        <v>35</v>
      </c>
      <c r="R101" s="63">
        <f>IFERROR(aurora_data!Q2021,0)</f>
        <v>17</v>
      </c>
      <c r="S101" s="62">
        <f>IFERROR(aurora_data!R2021,0)</f>
        <v>41</v>
      </c>
      <c r="T101" s="62">
        <f>IFERROR(aurora_data!S2021,0)</f>
        <v>64</v>
      </c>
      <c r="U101" s="63">
        <f>IFERROR(aurora_data!T2021,0)</f>
        <v>0</v>
      </c>
      <c r="V101" s="64" t="s">
        <v>95</v>
      </c>
      <c r="W101" s="36">
        <f>IFERROR(aurora_data!U2021,0)</f>
        <v>105</v>
      </c>
      <c r="X101" s="71">
        <f t="shared" ref="X101:X107" si="11">IFERROR(W101/$W$100,0)</f>
        <v>0.4861111111111111</v>
      </c>
      <c r="Y101" s="2"/>
    </row>
    <row r="102" spans="1:25" customFormat="1" ht="15.75" customHeight="1">
      <c r="A102" s="2"/>
      <c r="B102" s="207"/>
      <c r="C102" s="209"/>
      <c r="D102" s="35" t="s">
        <v>60</v>
      </c>
      <c r="E102" s="36">
        <f>IFERROR(aurora_data!D2022,0)</f>
        <v>0</v>
      </c>
      <c r="F102" s="62">
        <f>IFERROR(aurora_data!E2022,0)</f>
        <v>0</v>
      </c>
      <c r="G102" s="62">
        <f>IFERROR(aurora_data!F2022,0)</f>
        <v>0</v>
      </c>
      <c r="H102" s="62">
        <f>IFERROR(aurora_data!G2022,0)</f>
        <v>0</v>
      </c>
      <c r="I102" s="63">
        <f>IFERROR(aurora_data!H2022,0)</f>
        <v>0</v>
      </c>
      <c r="J102" s="36">
        <f>IFERROR(aurora_data!I2022,0)</f>
        <v>0</v>
      </c>
      <c r="K102" s="62">
        <f>IFERROR(aurora_data!J2022,0)</f>
        <v>0</v>
      </c>
      <c r="L102" s="62">
        <f>IFERROR(aurora_data!K2022,0)</f>
        <v>0</v>
      </c>
      <c r="M102" s="62">
        <f>IFERROR(aurora_data!L2022,0)</f>
        <v>0</v>
      </c>
      <c r="N102" s="63">
        <f>IFERROR(aurora_data!M2022,0)</f>
        <v>0</v>
      </c>
      <c r="O102" s="36">
        <f>IFERROR(aurora_data!N2022,0)</f>
        <v>0</v>
      </c>
      <c r="P102" s="62">
        <f>IFERROR(aurora_data!O2022,0)</f>
        <v>0</v>
      </c>
      <c r="Q102" s="62">
        <f>IFERROR(aurora_data!P2022,0)</f>
        <v>0</v>
      </c>
      <c r="R102" s="63">
        <f>IFERROR(aurora_data!Q2022,0)</f>
        <v>0</v>
      </c>
      <c r="S102" s="62">
        <f>IFERROR(aurora_data!R2022,0)</f>
        <v>0</v>
      </c>
      <c r="T102" s="62">
        <f>IFERROR(aurora_data!S2022,0)</f>
        <v>0</v>
      </c>
      <c r="U102" s="63">
        <f>IFERROR(aurora_data!T2022,0)</f>
        <v>0</v>
      </c>
      <c r="V102" s="64" t="s">
        <v>95</v>
      </c>
      <c r="W102" s="36">
        <f>IFERROR(aurora_data!U2022,0)</f>
        <v>0</v>
      </c>
      <c r="X102" s="71">
        <f t="shared" si="11"/>
        <v>0</v>
      </c>
      <c r="Y102" s="2"/>
    </row>
    <row r="103" spans="1:25" customFormat="1" ht="15.75" customHeight="1">
      <c r="A103" s="2"/>
      <c r="B103" s="207"/>
      <c r="C103" s="209"/>
      <c r="D103" s="35" t="s">
        <v>97</v>
      </c>
      <c r="E103" s="36">
        <f>IFERROR(aurora_data!D2023,0)</f>
        <v>0</v>
      </c>
      <c r="F103" s="62">
        <f>IFERROR(aurora_data!E2023,0)</f>
        <v>0</v>
      </c>
      <c r="G103" s="62">
        <f>IFERROR(aurora_data!F2023,0)</f>
        <v>0</v>
      </c>
      <c r="H103" s="62">
        <f>IFERROR(aurora_data!G2023,0)</f>
        <v>0</v>
      </c>
      <c r="I103" s="63">
        <f>IFERROR(aurora_data!H2023,0)</f>
        <v>0</v>
      </c>
      <c r="J103" s="36">
        <f>IFERROR(aurora_data!I2023,0)</f>
        <v>0</v>
      </c>
      <c r="K103" s="62">
        <f>IFERROR(aurora_data!J2023,0)</f>
        <v>0</v>
      </c>
      <c r="L103" s="62">
        <f>IFERROR(aurora_data!K2023,0)</f>
        <v>0</v>
      </c>
      <c r="M103" s="62">
        <f>IFERROR(aurora_data!L2023,0)</f>
        <v>0</v>
      </c>
      <c r="N103" s="63">
        <f>IFERROR(aurora_data!M2023,0)</f>
        <v>0</v>
      </c>
      <c r="O103" s="36">
        <f>IFERROR(aurora_data!N2023,0)</f>
        <v>0</v>
      </c>
      <c r="P103" s="62">
        <f>IFERROR(aurora_data!O2023,0)</f>
        <v>0</v>
      </c>
      <c r="Q103" s="62">
        <f>IFERROR(aurora_data!P2023,0)</f>
        <v>0</v>
      </c>
      <c r="R103" s="63">
        <f>IFERROR(aurora_data!Q2023,0)</f>
        <v>0</v>
      </c>
      <c r="S103" s="62">
        <f>IFERROR(aurora_data!R2023,0)</f>
        <v>0</v>
      </c>
      <c r="T103" s="62">
        <f>IFERROR(aurora_data!S2023,0)</f>
        <v>0</v>
      </c>
      <c r="U103" s="63">
        <f>IFERROR(aurora_data!T2023,0)</f>
        <v>0</v>
      </c>
      <c r="V103" s="64" t="s">
        <v>95</v>
      </c>
      <c r="W103" s="36">
        <f>IFERROR(aurora_data!U2023,0)</f>
        <v>0</v>
      </c>
      <c r="X103" s="71">
        <f t="shared" si="11"/>
        <v>0</v>
      </c>
      <c r="Y103" s="2"/>
    </row>
    <row r="104" spans="1:25" customFormat="1" ht="16.5" customHeight="1">
      <c r="A104" s="2"/>
      <c r="B104" s="207"/>
      <c r="C104" s="209"/>
      <c r="D104" s="35" t="s">
        <v>98</v>
      </c>
      <c r="E104" s="36">
        <f>IFERROR(aurora_data!D2024,0)</f>
        <v>2</v>
      </c>
      <c r="F104" s="62">
        <f>IFERROR(aurora_data!E2024,0)</f>
        <v>1</v>
      </c>
      <c r="G104" s="62">
        <f>IFERROR(aurora_data!F2024,0)</f>
        <v>7</v>
      </c>
      <c r="H104" s="62">
        <f>IFERROR(aurora_data!G2024,0)</f>
        <v>2</v>
      </c>
      <c r="I104" s="63">
        <f>IFERROR(aurora_data!H2024,0)</f>
        <v>0</v>
      </c>
      <c r="J104" s="36">
        <f>IFERROR(aurora_data!I2024,0)</f>
        <v>0</v>
      </c>
      <c r="K104" s="62">
        <f>IFERROR(aurora_data!J2024,0)</f>
        <v>1</v>
      </c>
      <c r="L104" s="62">
        <f>IFERROR(aurora_data!K2024,0)</f>
        <v>3</v>
      </c>
      <c r="M104" s="62">
        <f>IFERROR(aurora_data!L2024,0)</f>
        <v>2</v>
      </c>
      <c r="N104" s="63">
        <f>IFERROR(aurora_data!M2024,0)</f>
        <v>6</v>
      </c>
      <c r="O104" s="36">
        <f>IFERROR(aurora_data!N2024,0)</f>
        <v>4</v>
      </c>
      <c r="P104" s="62">
        <f>IFERROR(aurora_data!O2024,0)</f>
        <v>3</v>
      </c>
      <c r="Q104" s="62">
        <f>IFERROR(aurora_data!P2024,0)</f>
        <v>4</v>
      </c>
      <c r="R104" s="63">
        <f>IFERROR(aurora_data!Q2024,0)</f>
        <v>1</v>
      </c>
      <c r="S104" s="62">
        <f>IFERROR(aurora_data!R2024,0)</f>
        <v>4</v>
      </c>
      <c r="T104" s="62">
        <f>IFERROR(aurora_data!S2024,0)</f>
        <v>8</v>
      </c>
      <c r="U104" s="63">
        <f>IFERROR(aurora_data!T2024,0)</f>
        <v>0</v>
      </c>
      <c r="V104" s="64" t="s">
        <v>95</v>
      </c>
      <c r="W104" s="36">
        <f>IFERROR(aurora_data!U2024,0)</f>
        <v>12</v>
      </c>
      <c r="X104" s="71">
        <f t="shared" si="11"/>
        <v>5.5555555555555552E-2</v>
      </c>
      <c r="Y104" s="2"/>
    </row>
    <row r="105" spans="1:25" customFormat="1" ht="16.5" customHeight="1" thickBot="1">
      <c r="A105" s="2"/>
      <c r="B105" s="207"/>
      <c r="C105" s="209"/>
      <c r="D105" s="35" t="s">
        <v>99</v>
      </c>
      <c r="E105" s="36">
        <f>IFERROR(aurora_data!D2025,0)</f>
        <v>0</v>
      </c>
      <c r="F105" s="62">
        <f>IFERROR(aurora_data!E2025,0)</f>
        <v>0</v>
      </c>
      <c r="G105" s="62">
        <f>IFERROR(aurora_data!F2025,0)</f>
        <v>0</v>
      </c>
      <c r="H105" s="62">
        <f>IFERROR(aurora_data!G2025,0)</f>
        <v>0</v>
      </c>
      <c r="I105" s="63">
        <f>IFERROR(aurora_data!H2025,0)</f>
        <v>0</v>
      </c>
      <c r="J105" s="36">
        <f>IFERROR(aurora_data!I2025,0)</f>
        <v>0</v>
      </c>
      <c r="K105" s="62">
        <f>IFERROR(aurora_data!J2025,0)</f>
        <v>0</v>
      </c>
      <c r="L105" s="62">
        <f>IFERROR(aurora_data!K2025,0)</f>
        <v>0</v>
      </c>
      <c r="M105" s="62">
        <f>IFERROR(aurora_data!L2025,0)</f>
        <v>0</v>
      </c>
      <c r="N105" s="63">
        <f>IFERROR(aurora_data!M2025,0)</f>
        <v>0</v>
      </c>
      <c r="O105" s="36">
        <f>IFERROR(aurora_data!N2025,0)</f>
        <v>0</v>
      </c>
      <c r="P105" s="62">
        <f>IFERROR(aurora_data!O2025,0)</f>
        <v>0</v>
      </c>
      <c r="Q105" s="62">
        <f>IFERROR(aurora_data!P2025,0)</f>
        <v>0</v>
      </c>
      <c r="R105" s="63">
        <f>IFERROR(aurora_data!Q2025,0)</f>
        <v>0</v>
      </c>
      <c r="S105" s="62">
        <f>IFERROR(aurora_data!R2025,0)</f>
        <v>0</v>
      </c>
      <c r="T105" s="62">
        <f>IFERROR(aurora_data!S2025,0)</f>
        <v>0</v>
      </c>
      <c r="U105" s="63">
        <f>IFERROR(aurora_data!T2025,0)</f>
        <v>0</v>
      </c>
      <c r="V105" s="64" t="s">
        <v>95</v>
      </c>
      <c r="W105" s="36">
        <f>IFERROR(aurora_data!U2025,0)</f>
        <v>0</v>
      </c>
      <c r="X105" s="71">
        <f t="shared" si="11"/>
        <v>0</v>
      </c>
      <c r="Y105" s="2"/>
    </row>
    <row r="106" spans="1:25" customFormat="1" ht="16.5" customHeight="1" thickBot="1">
      <c r="A106" s="2"/>
      <c r="B106" s="207"/>
      <c r="C106" s="209"/>
      <c r="D106" s="37" t="s">
        <v>64</v>
      </c>
      <c r="E106" s="59">
        <f>IFERROR(aurora_data!D2026,0)</f>
        <v>5</v>
      </c>
      <c r="F106" s="65">
        <f>IFERROR(aurora_data!E2026,0)</f>
        <v>12</v>
      </c>
      <c r="G106" s="65">
        <f>IFERROR(aurora_data!F2026,0)</f>
        <v>30</v>
      </c>
      <c r="H106" s="65">
        <f>IFERROR(aurora_data!G2026,0)</f>
        <v>41</v>
      </c>
      <c r="I106" s="66">
        <f>IFERROR(aurora_data!H2026,0)</f>
        <v>29</v>
      </c>
      <c r="J106" s="59">
        <f>IFERROR(aurora_data!I2026,0)</f>
        <v>2</v>
      </c>
      <c r="K106" s="65">
        <f>IFERROR(aurora_data!J2026,0)</f>
        <v>13</v>
      </c>
      <c r="L106" s="65">
        <f>IFERROR(aurora_data!K2026,0)</f>
        <v>25</v>
      </c>
      <c r="M106" s="65">
        <f>IFERROR(aurora_data!L2026,0)</f>
        <v>18</v>
      </c>
      <c r="N106" s="66">
        <f>IFERROR(aurora_data!M2026,0)</f>
        <v>59</v>
      </c>
      <c r="O106" s="59">
        <f>IFERROR(aurora_data!N2026,0)</f>
        <v>33</v>
      </c>
      <c r="P106" s="65">
        <f>IFERROR(aurora_data!O2026,0)</f>
        <v>27</v>
      </c>
      <c r="Q106" s="65">
        <f>IFERROR(aurora_data!P2026,0)</f>
        <v>39</v>
      </c>
      <c r="R106" s="66">
        <f>IFERROR(aurora_data!Q2026,0)</f>
        <v>18</v>
      </c>
      <c r="S106" s="65">
        <f>IFERROR(aurora_data!R2026,0)</f>
        <v>45</v>
      </c>
      <c r="T106" s="65">
        <f>IFERROR(aurora_data!S2026,0)</f>
        <v>72</v>
      </c>
      <c r="U106" s="66">
        <f>IFERROR(aurora_data!T2026,0)</f>
        <v>0</v>
      </c>
      <c r="V106" s="67" t="s">
        <v>95</v>
      </c>
      <c r="W106" s="59">
        <f>IFERROR(aurora_data!U2026,0)</f>
        <v>117</v>
      </c>
      <c r="X106" s="72">
        <f t="shared" si="11"/>
        <v>0.54166666666666663</v>
      </c>
      <c r="Y106" s="2"/>
    </row>
    <row r="107" spans="1:25" customFormat="1" ht="16.5" customHeight="1" thickBot="1">
      <c r="A107" s="2"/>
      <c r="B107" s="207"/>
      <c r="C107" s="209"/>
      <c r="D107" s="38" t="s">
        <v>100</v>
      </c>
      <c r="E107" s="60">
        <f>IFERROR(aurora_data!D2027,0)</f>
        <v>0</v>
      </c>
      <c r="F107" s="68">
        <f>IFERROR(aurora_data!E2027,0)</f>
        <v>0</v>
      </c>
      <c r="G107" s="68">
        <f>IFERROR(aurora_data!F2027,0)</f>
        <v>0</v>
      </c>
      <c r="H107" s="68">
        <f>IFERROR(aurora_data!G2027,0)</f>
        <v>1</v>
      </c>
      <c r="I107" s="69">
        <f>IFERROR(aurora_data!H2027,0)</f>
        <v>0</v>
      </c>
      <c r="J107" s="60">
        <f>IFERROR(aurora_data!I2027,0)</f>
        <v>0</v>
      </c>
      <c r="K107" s="68">
        <f>IFERROR(aurora_data!J2027,0)</f>
        <v>0</v>
      </c>
      <c r="L107" s="68">
        <f>IFERROR(aurora_data!K2027,0)</f>
        <v>0</v>
      </c>
      <c r="M107" s="68">
        <f>IFERROR(aurora_data!L2027,0)</f>
        <v>0</v>
      </c>
      <c r="N107" s="69">
        <f>IFERROR(aurora_data!M2027,0)</f>
        <v>1</v>
      </c>
      <c r="O107" s="60">
        <f>IFERROR(aurora_data!N2027,0)</f>
        <v>0</v>
      </c>
      <c r="P107" s="68">
        <f>IFERROR(aurora_data!O2027,0)</f>
        <v>0</v>
      </c>
      <c r="Q107" s="68">
        <f>IFERROR(aurora_data!P2027,0)</f>
        <v>1</v>
      </c>
      <c r="R107" s="69">
        <f>IFERROR(aurora_data!Q2027,0)</f>
        <v>0</v>
      </c>
      <c r="S107" s="68">
        <f>IFERROR(aurora_data!R2027,0)</f>
        <v>0</v>
      </c>
      <c r="T107" s="68">
        <f>IFERROR(aurora_data!S2027,0)</f>
        <v>1</v>
      </c>
      <c r="U107" s="74">
        <f>IFERROR(aurora_data!T2027,0)</f>
        <v>0</v>
      </c>
      <c r="V107" s="75" t="s">
        <v>95</v>
      </c>
      <c r="W107" s="60">
        <f>IFERROR(aurora_data!U2027,0)</f>
        <v>1</v>
      </c>
      <c r="X107" s="73">
        <f t="shared" si="11"/>
        <v>4.6296296296296294E-3</v>
      </c>
      <c r="Y107" s="2"/>
    </row>
    <row r="108" spans="1:25" ht="16.5" customHeight="1">
      <c r="B108" s="97"/>
      <c r="C108" s="97"/>
    </row>
  </sheetData>
  <mergeCells count="46">
    <mergeCell ref="B68:B75"/>
    <mergeCell ref="C68:C75"/>
    <mergeCell ref="B100:B107"/>
    <mergeCell ref="C100:C107"/>
    <mergeCell ref="B76:B83"/>
    <mergeCell ref="C76:C83"/>
    <mergeCell ref="B84:B91"/>
    <mergeCell ref="C84:C91"/>
    <mergeCell ref="B92:B99"/>
    <mergeCell ref="C92:C99"/>
    <mergeCell ref="B44:B51"/>
    <mergeCell ref="C44:C51"/>
    <mergeCell ref="B52:B59"/>
    <mergeCell ref="C52:C59"/>
    <mergeCell ref="B60:B67"/>
    <mergeCell ref="C60:C67"/>
    <mergeCell ref="C12:C19"/>
    <mergeCell ref="B28:B35"/>
    <mergeCell ref="C28:C35"/>
    <mergeCell ref="B36:B43"/>
    <mergeCell ref="C36:C43"/>
    <mergeCell ref="B20:B27"/>
    <mergeCell ref="C20:C27"/>
    <mergeCell ref="B12:B19"/>
    <mergeCell ref="B8:D8"/>
    <mergeCell ref="E8:U8"/>
    <mergeCell ref="W8:X11"/>
    <mergeCell ref="B9:C9"/>
    <mergeCell ref="E9:I9"/>
    <mergeCell ref="J9:N9"/>
    <mergeCell ref="O9:R9"/>
    <mergeCell ref="S9:U9"/>
    <mergeCell ref="B10:B11"/>
    <mergeCell ref="E10:I10"/>
    <mergeCell ref="J10:N10"/>
    <mergeCell ref="O10:R10"/>
    <mergeCell ref="S10:U10"/>
    <mergeCell ref="A1:C1"/>
    <mergeCell ref="D1:H1"/>
    <mergeCell ref="A2:C2"/>
    <mergeCell ref="D2:H2"/>
    <mergeCell ref="K2:X6"/>
    <mergeCell ref="D3:E3"/>
    <mergeCell ref="F3:H3"/>
    <mergeCell ref="D5:G5"/>
    <mergeCell ref="D6:H6"/>
  </mergeCells>
  <conditionalFormatting sqref="E13:W13">
    <cfRule type="expression" dxfId="47" priority="22">
      <formula>ROUND(E$13,0) &gt;= ROUND(E$12,0)</formula>
    </cfRule>
  </conditionalFormatting>
  <conditionalFormatting sqref="E18:W18">
    <cfRule type="expression" dxfId="46" priority="23">
      <formula>ROUND(E$18,0) &lt; ROUND(E$12,0)</formula>
    </cfRule>
  </conditionalFormatting>
  <conditionalFormatting sqref="E21:W21">
    <cfRule type="expression" dxfId="45" priority="19">
      <formula>ROUND(E$13,0) &gt;= ROUND(E$12,0)</formula>
    </cfRule>
  </conditionalFormatting>
  <conditionalFormatting sqref="E26:W26">
    <cfRule type="expression" dxfId="44" priority="20">
      <formula>ROUND(E$18,0) &lt; ROUND(E$12,0)</formula>
    </cfRule>
  </conditionalFormatting>
  <conditionalFormatting sqref="E29:W29">
    <cfRule type="expression" dxfId="43" priority="17">
      <formula>ROUND(E$13,0) &gt;= ROUND(E$12,0)</formula>
    </cfRule>
  </conditionalFormatting>
  <conditionalFormatting sqref="E34:W34">
    <cfRule type="expression" dxfId="42" priority="18">
      <formula>ROUND(E$18,0) &lt; ROUND(E$12,0)</formula>
    </cfRule>
  </conditionalFormatting>
  <conditionalFormatting sqref="E37:W37">
    <cfRule type="expression" dxfId="41" priority="15">
      <formula>ROUND(E$13,0) &gt;= ROUND(E$12,0)</formula>
    </cfRule>
  </conditionalFormatting>
  <conditionalFormatting sqref="E42:W42">
    <cfRule type="expression" dxfId="40" priority="16">
      <formula>ROUND(E$18,0) &lt; ROUND(E$12,0)</formula>
    </cfRule>
  </conditionalFormatting>
  <conditionalFormatting sqref="E45:W45">
    <cfRule type="expression" dxfId="39" priority="13">
      <formula>ROUND(E$13,0) &gt;= ROUND(E$12,0)</formula>
    </cfRule>
  </conditionalFormatting>
  <conditionalFormatting sqref="E50:W50">
    <cfRule type="expression" dxfId="38" priority="14">
      <formula>ROUND(E$18,0) &lt; ROUND(E$12,0)</formula>
    </cfRule>
  </conditionalFormatting>
  <conditionalFormatting sqref="E53:W53">
    <cfRule type="expression" dxfId="37" priority="11">
      <formula>ROUND(E$13,0) &gt;= ROUND(E$12,0)</formula>
    </cfRule>
  </conditionalFormatting>
  <conditionalFormatting sqref="E58:W58">
    <cfRule type="expression" dxfId="36" priority="12">
      <formula>ROUND(E$18,0) &lt; ROUND(E$12,0)</formula>
    </cfRule>
  </conditionalFormatting>
  <conditionalFormatting sqref="E61:W61">
    <cfRule type="expression" dxfId="35" priority="9">
      <formula>ROUND(E$13,0) &gt;= ROUND(E$12,0)</formula>
    </cfRule>
  </conditionalFormatting>
  <conditionalFormatting sqref="E66:W66">
    <cfRule type="expression" dxfId="34" priority="10">
      <formula>ROUND(E$18,0) &lt; ROUND(E$12,0)</formula>
    </cfRule>
  </conditionalFormatting>
  <conditionalFormatting sqref="E69:W69">
    <cfRule type="expression" dxfId="33" priority="7">
      <formula>ROUND(E$13,0) &gt;= ROUND(E$12,0)</formula>
    </cfRule>
  </conditionalFormatting>
  <conditionalFormatting sqref="E74:W74">
    <cfRule type="expression" dxfId="32" priority="8">
      <formula>ROUND(E$18,0) &lt; ROUND(E$12,0)</formula>
    </cfRule>
  </conditionalFormatting>
  <conditionalFormatting sqref="E77:W77">
    <cfRule type="expression" dxfId="31" priority="5">
      <formula>ROUND(E$13,0) &gt;= ROUND(E$12,0)</formula>
    </cfRule>
  </conditionalFormatting>
  <conditionalFormatting sqref="E82:W82">
    <cfRule type="expression" dxfId="30" priority="6">
      <formula>ROUND(E$18,0) &lt; ROUND(E$12,0)</formula>
    </cfRule>
  </conditionalFormatting>
  <conditionalFormatting sqref="E85:W85">
    <cfRule type="expression" dxfId="29" priority="3">
      <formula>ROUND(E$13,0) &gt;= ROUND(E$12,0)</formula>
    </cfRule>
  </conditionalFormatting>
  <conditionalFormatting sqref="E90:W90">
    <cfRule type="expression" dxfId="28" priority="4">
      <formula>ROUND(E$18,0) &lt; ROUND(E$12,0)</formula>
    </cfRule>
  </conditionalFormatting>
  <conditionalFormatting sqref="E93:W93">
    <cfRule type="expression" dxfId="27" priority="1">
      <formula>ROUND(E$13,0) &gt;= ROUND(E$12,0)</formula>
    </cfRule>
  </conditionalFormatting>
  <conditionalFormatting sqref="E98:W98">
    <cfRule type="expression" dxfId="26" priority="2">
      <formula>ROUND(E$18,0) &lt; ROUND(E$12,0)</formula>
    </cfRule>
  </conditionalFormatting>
  <conditionalFormatting sqref="E101:W101">
    <cfRule type="expression" dxfId="25" priority="21">
      <formula>ROUND(E$101,0) &gt;= ROUND(E$100,0)</formula>
    </cfRule>
  </conditionalFormatting>
  <conditionalFormatting sqref="E106:W106">
    <cfRule type="expression" dxfId="24" priority="24">
      <formula>ROUND(E$106,0) &lt; ROUND(E$100,0)</formula>
    </cfRule>
  </conditionalFormatting>
  <pageMargins left="0.7" right="0.7" top="0.75" bottom="0.75" header="0.3" footer="0.3"/>
  <pageSetup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74F6CD-1199-45B2-8BE5-B9103C3F4F14}">
  <sheetPr>
    <tabColor rgb="FF00B050"/>
  </sheetPr>
  <dimension ref="A1:Y108"/>
  <sheetViews>
    <sheetView zoomScale="85" zoomScaleNormal="85" workbookViewId="0">
      <selection sqref="A1:C1"/>
    </sheetView>
  </sheetViews>
  <sheetFormatPr defaultColWidth="2.625" defaultRowHeight="15.75"/>
  <cols>
    <col min="1" max="1" width="1.375" style="2" customWidth="1"/>
    <col min="2" max="2" width="10.875" style="2" customWidth="1"/>
    <col min="3" max="3" width="15.625" style="2" customWidth="1"/>
    <col min="4" max="4" width="22.625" style="4" customWidth="1"/>
    <col min="5" max="8" width="7.625" style="4" customWidth="1"/>
    <col min="9" max="9" width="6.625" style="4" hidden="1" customWidth="1"/>
    <col min="10" max="21" width="7.625" style="4" customWidth="1"/>
    <col min="22" max="22" width="0.625" style="2" customWidth="1"/>
    <col min="23" max="24" width="5.875" style="2" customWidth="1"/>
    <col min="25" max="25" width="12.5" style="2" customWidth="1"/>
    <col min="26" max="26" width="2.625" style="2" customWidth="1"/>
    <col min="27" max="64" width="7.625" style="2" customWidth="1"/>
    <col min="65" max="16323" width="2.625" style="2"/>
    <col min="16324" max="16324" width="1.375" style="2" customWidth="1"/>
    <col min="16325" max="16325" width="2.625" style="2" customWidth="1"/>
    <col min="16326" max="16326" width="3.5" style="2" customWidth="1"/>
    <col min="16327" max="16327" width="1" style="2" customWidth="1"/>
    <col min="16328" max="16328" width="0.875" style="2" customWidth="1"/>
    <col min="16329" max="16329" width="2.375" style="2" customWidth="1"/>
    <col min="16330" max="16384" width="20.375" style="2" customWidth="1"/>
  </cols>
  <sheetData>
    <row r="1" spans="1:25" customFormat="1" ht="25.5" customHeight="1">
      <c r="A1" s="151" t="s">
        <v>77</v>
      </c>
      <c r="B1" s="152"/>
      <c r="C1" s="153"/>
      <c r="D1" s="154" t="s">
        <v>78</v>
      </c>
      <c r="E1" s="155"/>
      <c r="F1" s="155"/>
      <c r="G1" s="155"/>
      <c r="H1" s="156"/>
      <c r="I1" s="98"/>
      <c r="J1" s="88"/>
      <c r="K1" s="100"/>
      <c r="L1" s="100"/>
      <c r="M1" s="100"/>
      <c r="N1" s="100" t="s">
        <v>79</v>
      </c>
      <c r="O1" s="100"/>
      <c r="P1" s="100"/>
      <c r="Q1" s="100"/>
      <c r="R1" s="100"/>
      <c r="S1" s="100"/>
      <c r="T1" s="100"/>
      <c r="U1" s="100"/>
      <c r="V1" s="100"/>
      <c r="W1" s="100"/>
      <c r="X1" s="106"/>
      <c r="Y1" s="108"/>
    </row>
    <row r="2" spans="1:25" customFormat="1" ht="31.5" customHeight="1">
      <c r="A2" s="157" t="s">
        <v>80</v>
      </c>
      <c r="B2" s="157"/>
      <c r="C2" s="158"/>
      <c r="D2" s="217" t="str">
        <f>_xlfn.CONCAT("Study Name: ","
OSEP – ADHD - Digital")</f>
        <v>Study Name: 
OSEP – ADHD - Digital</v>
      </c>
      <c r="E2" s="218"/>
      <c r="F2" s="218"/>
      <c r="G2" s="218"/>
      <c r="H2" s="219"/>
      <c r="I2" s="4"/>
      <c r="J2" s="4"/>
      <c r="K2" s="162" t="s">
        <v>81</v>
      </c>
      <c r="L2" s="163"/>
      <c r="M2" s="163"/>
      <c r="N2" s="163"/>
      <c r="O2" s="163"/>
      <c r="P2" s="163"/>
      <c r="Q2" s="163"/>
      <c r="R2" s="163"/>
      <c r="S2" s="163"/>
      <c r="T2" s="163"/>
      <c r="U2" s="163"/>
      <c r="V2" s="163"/>
      <c r="W2" s="163"/>
      <c r="X2" s="164"/>
      <c r="Y2" s="103"/>
    </row>
    <row r="3" spans="1:25" customFormat="1" ht="30.75" customHeight="1" thickBot="1">
      <c r="A3" s="2"/>
      <c r="B3" s="2"/>
      <c r="C3" s="2"/>
      <c r="D3" s="169" t="str">
        <f>_xlfn.CONCAT("Study Acronym: ","
OSEP_ADHD_D")</f>
        <v>Study Acronym: 
OSEP_ADHD_D</v>
      </c>
      <c r="E3" s="170"/>
      <c r="F3" s="171" t="s">
        <v>280</v>
      </c>
      <c r="G3" s="172"/>
      <c r="H3" s="173"/>
      <c r="I3" s="4"/>
      <c r="J3" s="4"/>
      <c r="K3" s="165"/>
      <c r="L3" s="163"/>
      <c r="M3" s="163"/>
      <c r="N3" s="163"/>
      <c r="O3" s="163"/>
      <c r="P3" s="163"/>
      <c r="Q3" s="163"/>
      <c r="R3" s="163"/>
      <c r="S3" s="163"/>
      <c r="T3" s="163"/>
      <c r="U3" s="163"/>
      <c r="V3" s="163"/>
      <c r="W3" s="163"/>
      <c r="X3" s="164"/>
      <c r="Y3" s="103"/>
    </row>
    <row r="4" spans="1:25" customFormat="1" ht="16.5" customHeight="1">
      <c r="A4" s="2"/>
      <c r="B4" s="24"/>
      <c r="C4" s="2"/>
      <c r="D4" s="2"/>
      <c r="E4" s="25"/>
      <c r="F4" s="25"/>
      <c r="G4" s="25"/>
      <c r="H4" s="25"/>
      <c r="I4" s="25"/>
      <c r="J4" s="25"/>
      <c r="K4" s="165"/>
      <c r="L4" s="163"/>
      <c r="M4" s="163"/>
      <c r="N4" s="163"/>
      <c r="O4" s="163"/>
      <c r="P4" s="163"/>
      <c r="Q4" s="163"/>
      <c r="R4" s="163"/>
      <c r="S4" s="163"/>
      <c r="T4" s="163"/>
      <c r="U4" s="163"/>
      <c r="V4" s="163"/>
      <c r="W4" s="163"/>
      <c r="X4" s="164"/>
      <c r="Y4" s="104"/>
    </row>
    <row r="5" spans="1:25" customFormat="1" ht="21.95" customHeight="1" thickBot="1">
      <c r="A5" s="2"/>
      <c r="B5" s="2"/>
      <c r="C5" s="102"/>
      <c r="D5" s="154" t="s">
        <v>82</v>
      </c>
      <c r="E5" s="155"/>
      <c r="F5" s="155"/>
      <c r="G5" s="155"/>
      <c r="H5" s="101"/>
      <c r="I5" s="98"/>
      <c r="J5" s="98"/>
      <c r="K5" s="165"/>
      <c r="L5" s="163"/>
      <c r="M5" s="163"/>
      <c r="N5" s="163"/>
      <c r="O5" s="163"/>
      <c r="P5" s="163"/>
      <c r="Q5" s="163"/>
      <c r="R5" s="163"/>
      <c r="S5" s="163"/>
      <c r="T5" s="163"/>
      <c r="U5" s="163"/>
      <c r="V5" s="163"/>
      <c r="W5" s="163"/>
      <c r="X5" s="164"/>
      <c r="Y5" s="105"/>
    </row>
    <row r="6" spans="1:25" customFormat="1" ht="60.95" customHeight="1" thickBot="1">
      <c r="A6" s="2"/>
      <c r="B6" s="2"/>
      <c r="C6" s="99"/>
      <c r="D6" s="214" t="s">
        <v>101</v>
      </c>
      <c r="E6" s="215"/>
      <c r="F6" s="215"/>
      <c r="G6" s="215"/>
      <c r="H6" s="216"/>
      <c r="I6" s="124"/>
      <c r="J6" s="125"/>
      <c r="K6" s="166"/>
      <c r="L6" s="167"/>
      <c r="M6" s="167"/>
      <c r="N6" s="167"/>
      <c r="O6" s="167"/>
      <c r="P6" s="167"/>
      <c r="Q6" s="167"/>
      <c r="R6" s="167"/>
      <c r="S6" s="167"/>
      <c r="T6" s="167"/>
      <c r="U6" s="167"/>
      <c r="V6" s="167"/>
      <c r="W6" s="167"/>
      <c r="X6" s="168"/>
      <c r="Y6" s="107"/>
    </row>
    <row r="7" spans="1:25" customFormat="1" ht="16.5" customHeight="1" thickBot="1">
      <c r="A7" s="2"/>
      <c r="B7" s="3"/>
      <c r="C7" s="26"/>
      <c r="D7" s="27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8"/>
      <c r="W7" s="3"/>
      <c r="X7" s="3"/>
      <c r="Y7" s="2"/>
    </row>
    <row r="8" spans="1:25" customFormat="1">
      <c r="A8" s="2"/>
      <c r="B8" s="177" t="str">
        <f>_xlfn.CONCAT("Last Refreshed at: ",aurora_data!V2032)</f>
        <v>Last Refreshed at: 09/17/2026 @ 7:20 AM</v>
      </c>
      <c r="C8" s="178"/>
      <c r="D8" s="178"/>
      <c r="E8" s="179" t="s">
        <v>83</v>
      </c>
      <c r="F8" s="180"/>
      <c r="G8" s="180"/>
      <c r="H8" s="180"/>
      <c r="I8" s="180"/>
      <c r="J8" s="180"/>
      <c r="K8" s="180"/>
      <c r="L8" s="180"/>
      <c r="M8" s="180"/>
      <c r="N8" s="180"/>
      <c r="O8" s="180"/>
      <c r="P8" s="180"/>
      <c r="Q8" s="180"/>
      <c r="R8" s="180"/>
      <c r="S8" s="180"/>
      <c r="T8" s="180"/>
      <c r="U8" s="181"/>
      <c r="V8" s="44"/>
      <c r="W8" s="182" t="s">
        <v>84</v>
      </c>
      <c r="X8" s="183"/>
      <c r="Y8" s="2"/>
    </row>
    <row r="9" spans="1:25" customFormat="1" ht="16.5" customHeight="1" thickBot="1">
      <c r="A9" s="2"/>
      <c r="B9" s="188"/>
      <c r="C9" s="189"/>
      <c r="D9" s="29" t="s">
        <v>85</v>
      </c>
      <c r="E9" s="190" t="s">
        <v>86</v>
      </c>
      <c r="F9" s="191"/>
      <c r="G9" s="191"/>
      <c r="H9" s="191"/>
      <c r="I9" s="191"/>
      <c r="J9" s="192" t="s">
        <v>86</v>
      </c>
      <c r="K9" s="193"/>
      <c r="L9" s="193"/>
      <c r="M9" s="193"/>
      <c r="N9" s="193"/>
      <c r="O9" s="194" t="s">
        <v>86</v>
      </c>
      <c r="P9" s="195"/>
      <c r="Q9" s="195"/>
      <c r="R9" s="195"/>
      <c r="S9" s="196" t="s">
        <v>86</v>
      </c>
      <c r="T9" s="197"/>
      <c r="U9" s="197"/>
      <c r="V9" s="28"/>
      <c r="W9" s="184"/>
      <c r="X9" s="185"/>
      <c r="Y9" s="2"/>
    </row>
    <row r="10" spans="1:25" customFormat="1" ht="17.25" thickTop="1" thickBot="1">
      <c r="A10" s="2"/>
      <c r="B10" s="198" t="s">
        <v>87</v>
      </c>
      <c r="C10" s="30"/>
      <c r="D10" s="31"/>
      <c r="E10" s="199" t="s">
        <v>88</v>
      </c>
      <c r="F10" s="200"/>
      <c r="G10" s="200"/>
      <c r="H10" s="200"/>
      <c r="I10" s="201"/>
      <c r="J10" s="200" t="s">
        <v>89</v>
      </c>
      <c r="K10" s="200"/>
      <c r="L10" s="200"/>
      <c r="M10" s="200"/>
      <c r="N10" s="201"/>
      <c r="O10" s="202" t="s">
        <v>90</v>
      </c>
      <c r="P10" s="202"/>
      <c r="Q10" s="202"/>
      <c r="R10" s="202"/>
      <c r="S10" s="203" t="s">
        <v>91</v>
      </c>
      <c r="T10" s="204"/>
      <c r="U10" s="205"/>
      <c r="V10" s="32"/>
      <c r="W10" s="184"/>
      <c r="X10" s="185"/>
      <c r="Y10" s="2"/>
    </row>
    <row r="11" spans="1:25" customFormat="1" ht="17.25" thickTop="1" thickBot="1">
      <c r="A11" s="2"/>
      <c r="B11" s="198"/>
      <c r="C11" s="30" t="s">
        <v>35</v>
      </c>
      <c r="D11" s="33" t="s">
        <v>37</v>
      </c>
      <c r="E11" s="96">
        <v>1</v>
      </c>
      <c r="F11" s="94">
        <v>2</v>
      </c>
      <c r="G11" s="95" t="s">
        <v>40</v>
      </c>
      <c r="H11" s="95">
        <v>4</v>
      </c>
      <c r="I11" s="95">
        <v>5</v>
      </c>
      <c r="J11" s="89" t="s">
        <v>43</v>
      </c>
      <c r="K11" s="89" t="s">
        <v>44</v>
      </c>
      <c r="L11" s="89" t="s">
        <v>45</v>
      </c>
      <c r="M11" s="93" t="s">
        <v>92</v>
      </c>
      <c r="N11" s="93" t="s">
        <v>47</v>
      </c>
      <c r="O11" s="89" t="s">
        <v>48</v>
      </c>
      <c r="P11" s="89" t="s">
        <v>49</v>
      </c>
      <c r="Q11" s="89" t="s">
        <v>50</v>
      </c>
      <c r="R11" s="89" t="s">
        <v>51</v>
      </c>
      <c r="S11" s="90" t="s">
        <v>52</v>
      </c>
      <c r="T11" s="91" t="s">
        <v>53</v>
      </c>
      <c r="U11" s="92" t="s">
        <v>93</v>
      </c>
      <c r="V11" s="28"/>
      <c r="W11" s="186"/>
      <c r="X11" s="187"/>
      <c r="Y11" s="2"/>
    </row>
    <row r="12" spans="1:25" customFormat="1">
      <c r="A12" s="2"/>
      <c r="B12" s="210" t="s">
        <v>94</v>
      </c>
      <c r="C12" s="212" t="str">
        <f>aurora_data!A2032</f>
        <v>06.00.00-06.11.30</v>
      </c>
      <c r="D12" s="34" t="s">
        <v>71</v>
      </c>
      <c r="E12" s="39">
        <f>IFERROR(aurora_data!D2032,0)</f>
        <v>0</v>
      </c>
      <c r="F12" s="40">
        <f>IFERROR(aurora_data!E2032,0)</f>
        <v>0</v>
      </c>
      <c r="G12" s="40">
        <f>IFERROR(aurora_data!F2032,0)</f>
        <v>0</v>
      </c>
      <c r="H12" s="40">
        <f>IFERROR(aurora_data!G2032,0)</f>
        <v>0</v>
      </c>
      <c r="I12" s="41">
        <f>IFERROR(aurora_data!H2032,0)</f>
        <v>0</v>
      </c>
      <c r="J12" s="39">
        <f>IFERROR(aurora_data!I2032,0)</f>
        <v>0</v>
      </c>
      <c r="K12" s="40">
        <f>IFERROR(aurora_data!J2032,0)</f>
        <v>0</v>
      </c>
      <c r="L12" s="40">
        <f>IFERROR(aurora_data!K2032,0)</f>
        <v>0</v>
      </c>
      <c r="M12" s="40">
        <f>IFERROR(aurora_data!L2032,0)</f>
        <v>0</v>
      </c>
      <c r="N12" s="41">
        <f>IFERROR(aurora_data!M2032,0)</f>
        <v>0</v>
      </c>
      <c r="O12" s="39">
        <f>IFERROR(aurora_data!N2032,0)</f>
        <v>0</v>
      </c>
      <c r="P12" s="40">
        <f>IFERROR(aurora_data!O2032,0)</f>
        <v>0</v>
      </c>
      <c r="Q12" s="40">
        <f>IFERROR(aurora_data!P2032,0)</f>
        <v>0</v>
      </c>
      <c r="R12" s="41">
        <f>IFERROR(aurora_data!Q2032,0)</f>
        <v>0</v>
      </c>
      <c r="S12" s="40">
        <f>IFERROR(aurora_data!R2032,0)</f>
        <v>0</v>
      </c>
      <c r="T12" s="40">
        <f>IFERROR(aurora_data!S2032,0)</f>
        <v>0</v>
      </c>
      <c r="U12" s="76">
        <f>IFERROR(aurora_data!T2032,0)</f>
        <v>0</v>
      </c>
      <c r="V12" s="61" t="s">
        <v>95</v>
      </c>
      <c r="W12" s="39">
        <f>IFERROR(aurora_data!U2032,0)</f>
        <v>4</v>
      </c>
      <c r="X12" s="70">
        <f>IFERROR(W12/$W$12,0)</f>
        <v>1</v>
      </c>
      <c r="Y12" s="2"/>
    </row>
    <row r="13" spans="1:25" customFormat="1">
      <c r="A13" s="2"/>
      <c r="B13" s="211"/>
      <c r="C13" s="213"/>
      <c r="D13" s="35" t="s">
        <v>96</v>
      </c>
      <c r="E13" s="110">
        <f>IFERROR(aurora_data!D2033,0)</f>
        <v>0</v>
      </c>
      <c r="F13" s="62">
        <f>IFERROR(aurora_data!E2033,0)</f>
        <v>1</v>
      </c>
      <c r="G13" s="62">
        <f>IFERROR(aurora_data!F2033,0)</f>
        <v>0</v>
      </c>
      <c r="H13" s="62">
        <f>IFERROR(aurora_data!G2033,0)</f>
        <v>0</v>
      </c>
      <c r="I13" s="63">
        <f>IFERROR(aurora_data!H2033,0)</f>
        <v>1</v>
      </c>
      <c r="J13" s="36">
        <f>IFERROR(aurora_data!I2033,0)</f>
        <v>0</v>
      </c>
      <c r="K13" s="62">
        <f>IFERROR(aurora_data!J2033,0)</f>
        <v>2</v>
      </c>
      <c r="L13" s="62">
        <f>IFERROR(aurora_data!K2033,0)</f>
        <v>0</v>
      </c>
      <c r="M13" s="62">
        <f>IFERROR(aurora_data!L2033,0)</f>
        <v>0</v>
      </c>
      <c r="N13" s="63">
        <f>IFERROR(aurora_data!M2033,0)</f>
        <v>0</v>
      </c>
      <c r="O13" s="36">
        <f>IFERROR(aurora_data!N2033,0)</f>
        <v>0</v>
      </c>
      <c r="P13" s="62">
        <f>IFERROR(aurora_data!O2033,0)</f>
        <v>0</v>
      </c>
      <c r="Q13" s="62">
        <f>IFERROR(aurora_data!P2033,0)</f>
        <v>2</v>
      </c>
      <c r="R13" s="63">
        <f>IFERROR(aurora_data!Q2033,0)</f>
        <v>0</v>
      </c>
      <c r="S13" s="62">
        <f>IFERROR(aurora_data!R2033,0)</f>
        <v>2</v>
      </c>
      <c r="T13" s="62">
        <f>IFERROR(aurora_data!S2033,0)</f>
        <v>0</v>
      </c>
      <c r="U13" s="63">
        <f>IFERROR(aurora_data!T2033,0)</f>
        <v>0</v>
      </c>
      <c r="V13" s="64" t="s">
        <v>95</v>
      </c>
      <c r="W13" s="36">
        <f>IFERROR(aurora_data!U2033,0)</f>
        <v>2</v>
      </c>
      <c r="X13" s="71">
        <f t="shared" ref="X13:X19" si="0">IFERROR(W13/$W$12,0)</f>
        <v>0.5</v>
      </c>
      <c r="Y13" s="2"/>
    </row>
    <row r="14" spans="1:25" customFormat="1">
      <c r="A14" s="2"/>
      <c r="B14" s="211"/>
      <c r="C14" s="213"/>
      <c r="D14" s="35" t="s">
        <v>60</v>
      </c>
      <c r="E14" s="110">
        <f>IFERROR(aurora_data!D2034,0)</f>
        <v>0</v>
      </c>
      <c r="F14" s="62">
        <f>IFERROR(aurora_data!E2034,0)</f>
        <v>0</v>
      </c>
      <c r="G14" s="62">
        <f>IFERROR(aurora_data!F2034,0)</f>
        <v>0</v>
      </c>
      <c r="H14" s="62">
        <f>IFERROR(aurora_data!G2034,0)</f>
        <v>0</v>
      </c>
      <c r="I14" s="63">
        <f>IFERROR(aurora_data!H2034,0)</f>
        <v>0</v>
      </c>
      <c r="J14" s="36">
        <f>IFERROR(aurora_data!I2034,0)</f>
        <v>0</v>
      </c>
      <c r="K14" s="62">
        <f>IFERROR(aurora_data!J2034,0)</f>
        <v>0</v>
      </c>
      <c r="L14" s="62">
        <f>IFERROR(aurora_data!K2034,0)</f>
        <v>0</v>
      </c>
      <c r="M14" s="62">
        <f>IFERROR(aurora_data!L2034,0)</f>
        <v>0</v>
      </c>
      <c r="N14" s="63">
        <f>IFERROR(aurora_data!M2034,0)</f>
        <v>0</v>
      </c>
      <c r="O14" s="36">
        <f>IFERROR(aurora_data!N2034,0)</f>
        <v>0</v>
      </c>
      <c r="P14" s="62">
        <f>IFERROR(aurora_data!O2034,0)</f>
        <v>0</v>
      </c>
      <c r="Q14" s="62">
        <f>IFERROR(aurora_data!P2034,0)</f>
        <v>0</v>
      </c>
      <c r="R14" s="63">
        <f>IFERROR(aurora_data!Q2034,0)</f>
        <v>0</v>
      </c>
      <c r="S14" s="62">
        <f>IFERROR(aurora_data!R2034,0)</f>
        <v>0</v>
      </c>
      <c r="T14" s="62">
        <f>IFERROR(aurora_data!S2034,0)</f>
        <v>0</v>
      </c>
      <c r="U14" s="63">
        <f>IFERROR(aurora_data!T2034,0)</f>
        <v>0</v>
      </c>
      <c r="V14" s="64" t="s">
        <v>95</v>
      </c>
      <c r="W14" s="36">
        <f>IFERROR(aurora_data!U2034,0)</f>
        <v>0</v>
      </c>
      <c r="X14" s="71">
        <f t="shared" si="0"/>
        <v>0</v>
      </c>
      <c r="Y14" s="2"/>
    </row>
    <row r="15" spans="1:25" customFormat="1">
      <c r="A15" s="2"/>
      <c r="B15" s="211"/>
      <c r="C15" s="213"/>
      <c r="D15" s="35" t="s">
        <v>97</v>
      </c>
      <c r="E15" s="36">
        <f>IFERROR(aurora_data!D2035,0)</f>
        <v>0</v>
      </c>
      <c r="F15" s="62">
        <f>IFERROR(aurora_data!E2035,0)</f>
        <v>0</v>
      </c>
      <c r="G15" s="62">
        <f>IFERROR(aurora_data!F2035,0)</f>
        <v>0</v>
      </c>
      <c r="H15" s="62">
        <f>IFERROR(aurora_data!G2035,0)</f>
        <v>0</v>
      </c>
      <c r="I15" s="63">
        <f>IFERROR(aurora_data!H2035,0)</f>
        <v>0</v>
      </c>
      <c r="J15" s="36">
        <f>IFERROR(aurora_data!I2035,0)</f>
        <v>0</v>
      </c>
      <c r="K15" s="62">
        <f>IFERROR(aurora_data!J2035,0)</f>
        <v>0</v>
      </c>
      <c r="L15" s="62">
        <f>IFERROR(aurora_data!K2035,0)</f>
        <v>0</v>
      </c>
      <c r="M15" s="62">
        <f>IFERROR(aurora_data!L2035,0)</f>
        <v>0</v>
      </c>
      <c r="N15" s="63">
        <f>IFERROR(aurora_data!M2035,0)</f>
        <v>0</v>
      </c>
      <c r="O15" s="36">
        <f>IFERROR(aurora_data!N2035,0)</f>
        <v>0</v>
      </c>
      <c r="P15" s="62">
        <f>IFERROR(aurora_data!O2035,0)</f>
        <v>0</v>
      </c>
      <c r="Q15" s="62">
        <f>IFERROR(aurora_data!P2035,0)</f>
        <v>0</v>
      </c>
      <c r="R15" s="63">
        <f>IFERROR(aurora_data!Q2035,0)</f>
        <v>0</v>
      </c>
      <c r="S15" s="62">
        <f>IFERROR(aurora_data!R2035,0)</f>
        <v>0</v>
      </c>
      <c r="T15" s="62">
        <f>IFERROR(aurora_data!S2035,0)</f>
        <v>0</v>
      </c>
      <c r="U15" s="63">
        <f>IFERROR(aurora_data!T2035,0)</f>
        <v>0</v>
      </c>
      <c r="V15" s="64" t="s">
        <v>95</v>
      </c>
      <c r="W15" s="36">
        <f>IFERROR(aurora_data!U2035,0)</f>
        <v>0</v>
      </c>
      <c r="X15" s="71">
        <f t="shared" si="0"/>
        <v>0</v>
      </c>
      <c r="Y15" s="2"/>
    </row>
    <row r="16" spans="1:25" customFormat="1">
      <c r="A16" s="2"/>
      <c r="B16" s="211"/>
      <c r="C16" s="213"/>
      <c r="D16" s="35" t="s">
        <v>98</v>
      </c>
      <c r="E16" s="36">
        <f>IFERROR(aurora_data!D2036,0)</f>
        <v>0</v>
      </c>
      <c r="F16" s="62">
        <f>IFERROR(aurora_data!E2036,0)</f>
        <v>0</v>
      </c>
      <c r="G16" s="62">
        <f>IFERROR(aurora_data!F2036,0)</f>
        <v>0</v>
      </c>
      <c r="H16" s="62">
        <f>IFERROR(aurora_data!G2036,0)</f>
        <v>0</v>
      </c>
      <c r="I16" s="63">
        <f>IFERROR(aurora_data!H2036,0)</f>
        <v>0</v>
      </c>
      <c r="J16" s="36">
        <f>IFERROR(aurora_data!I2036,0)</f>
        <v>0</v>
      </c>
      <c r="K16" s="62">
        <f>IFERROR(aurora_data!J2036,0)</f>
        <v>0</v>
      </c>
      <c r="L16" s="62">
        <f>IFERROR(aurora_data!K2036,0)</f>
        <v>0</v>
      </c>
      <c r="M16" s="62">
        <f>IFERROR(aurora_data!L2036,0)</f>
        <v>0</v>
      </c>
      <c r="N16" s="63">
        <f>IFERROR(aurora_data!M2036,0)</f>
        <v>0</v>
      </c>
      <c r="O16" s="36">
        <f>IFERROR(aurora_data!N2036,0)</f>
        <v>0</v>
      </c>
      <c r="P16" s="62">
        <f>IFERROR(aurora_data!O2036,0)</f>
        <v>0</v>
      </c>
      <c r="Q16" s="62">
        <f>IFERROR(aurora_data!P2036,0)</f>
        <v>0</v>
      </c>
      <c r="R16" s="63">
        <f>IFERROR(aurora_data!Q2036,0)</f>
        <v>0</v>
      </c>
      <c r="S16" s="62">
        <f>IFERROR(aurora_data!R2036,0)</f>
        <v>0</v>
      </c>
      <c r="T16" s="62">
        <f>IFERROR(aurora_data!S2036,0)</f>
        <v>0</v>
      </c>
      <c r="U16" s="63">
        <f>IFERROR(aurora_data!T2036,0)</f>
        <v>0</v>
      </c>
      <c r="V16" s="64" t="s">
        <v>95</v>
      </c>
      <c r="W16" s="36">
        <f>IFERROR(aurora_data!U2036,0)</f>
        <v>0</v>
      </c>
      <c r="X16" s="71">
        <f t="shared" si="0"/>
        <v>0</v>
      </c>
      <c r="Y16" s="2"/>
    </row>
    <row r="17" spans="1:25" customFormat="1" ht="16.5" thickBot="1">
      <c r="A17" s="2"/>
      <c r="B17" s="211"/>
      <c r="C17" s="213"/>
      <c r="D17" s="35" t="s">
        <v>99</v>
      </c>
      <c r="E17" s="36">
        <f>IFERROR(aurora_data!D2037,0)</f>
        <v>0</v>
      </c>
      <c r="F17" s="62">
        <f>IFERROR(aurora_data!E2037,0)</f>
        <v>0</v>
      </c>
      <c r="G17" s="62">
        <f>IFERROR(aurora_data!F2037,0)</f>
        <v>0</v>
      </c>
      <c r="H17" s="62">
        <f>IFERROR(aurora_data!G2037,0)</f>
        <v>0</v>
      </c>
      <c r="I17" s="63">
        <f>IFERROR(aurora_data!H2037,0)</f>
        <v>0</v>
      </c>
      <c r="J17" s="36">
        <f>IFERROR(aurora_data!I2037,0)</f>
        <v>0</v>
      </c>
      <c r="K17" s="62">
        <f>IFERROR(aurora_data!J2037,0)</f>
        <v>0</v>
      </c>
      <c r="L17" s="62">
        <f>IFERROR(aurora_data!K2037,0)</f>
        <v>0</v>
      </c>
      <c r="M17" s="62">
        <f>IFERROR(aurora_data!L2037,0)</f>
        <v>0</v>
      </c>
      <c r="N17" s="63">
        <f>IFERROR(aurora_data!M2037,0)</f>
        <v>0</v>
      </c>
      <c r="O17" s="36">
        <f>IFERROR(aurora_data!N2037,0)</f>
        <v>0</v>
      </c>
      <c r="P17" s="62">
        <f>IFERROR(aurora_data!O2037,0)</f>
        <v>0</v>
      </c>
      <c r="Q17" s="62">
        <f>IFERROR(aurora_data!P2037,0)</f>
        <v>0</v>
      </c>
      <c r="R17" s="63">
        <f>IFERROR(aurora_data!Q2037,0)</f>
        <v>0</v>
      </c>
      <c r="S17" s="62">
        <f>IFERROR(aurora_data!R2037,0)</f>
        <v>0</v>
      </c>
      <c r="T17" s="62">
        <f>IFERROR(aurora_data!S2037,0)</f>
        <v>0</v>
      </c>
      <c r="U17" s="63">
        <f>IFERROR(aurora_data!T2037,0)</f>
        <v>0</v>
      </c>
      <c r="V17" s="64" t="s">
        <v>95</v>
      </c>
      <c r="W17" s="36">
        <f>IFERROR(aurora_data!U2037,0)</f>
        <v>0</v>
      </c>
      <c r="X17" s="71">
        <f t="shared" si="0"/>
        <v>0</v>
      </c>
      <c r="Y17" s="2"/>
    </row>
    <row r="18" spans="1:25" customFormat="1" ht="16.5" thickBot="1">
      <c r="A18" s="2"/>
      <c r="B18" s="211"/>
      <c r="C18" s="213"/>
      <c r="D18" s="37" t="s">
        <v>64</v>
      </c>
      <c r="E18" s="59">
        <f>IFERROR(aurora_data!D2038,0)</f>
        <v>0</v>
      </c>
      <c r="F18" s="65">
        <f>IFERROR(aurora_data!E2038,0)</f>
        <v>1</v>
      </c>
      <c r="G18" s="65">
        <f>IFERROR(aurora_data!F2038,0)</f>
        <v>0</v>
      </c>
      <c r="H18" s="65">
        <f>IFERROR(aurora_data!G2038,0)</f>
        <v>0</v>
      </c>
      <c r="I18" s="66">
        <f>IFERROR(aurora_data!H2038,0)</f>
        <v>1</v>
      </c>
      <c r="J18" s="59">
        <f>IFERROR(aurora_data!I2038,0)</f>
        <v>0</v>
      </c>
      <c r="K18" s="65">
        <f>IFERROR(aurora_data!J2038,0)</f>
        <v>2</v>
      </c>
      <c r="L18" s="65">
        <f>IFERROR(aurora_data!K2038,0)</f>
        <v>0</v>
      </c>
      <c r="M18" s="65">
        <f>IFERROR(aurora_data!L2038,0)</f>
        <v>0</v>
      </c>
      <c r="N18" s="66">
        <f>IFERROR(aurora_data!M2038,0)</f>
        <v>0</v>
      </c>
      <c r="O18" s="59">
        <f>IFERROR(aurora_data!N2038,0)</f>
        <v>0</v>
      </c>
      <c r="P18" s="65">
        <f>IFERROR(aurora_data!O2038,0)</f>
        <v>0</v>
      </c>
      <c r="Q18" s="65">
        <f>IFERROR(aurora_data!P2038,0)</f>
        <v>2</v>
      </c>
      <c r="R18" s="66">
        <f>IFERROR(aurora_data!Q2038,0)</f>
        <v>0</v>
      </c>
      <c r="S18" s="65">
        <f>IFERROR(aurora_data!R2038,0)</f>
        <v>2</v>
      </c>
      <c r="T18" s="65">
        <f>IFERROR(aurora_data!S2038,0)</f>
        <v>0</v>
      </c>
      <c r="U18" s="66">
        <f>IFERROR(aurora_data!T2038,0)</f>
        <v>0</v>
      </c>
      <c r="V18" s="67" t="s">
        <v>95</v>
      </c>
      <c r="W18" s="59">
        <f>IFERROR(aurora_data!U2038,0)</f>
        <v>2</v>
      </c>
      <c r="X18" s="72">
        <f t="shared" si="0"/>
        <v>0.5</v>
      </c>
      <c r="Y18" s="2"/>
    </row>
    <row r="19" spans="1:25" customFormat="1" ht="16.5" thickBot="1">
      <c r="A19" s="2"/>
      <c r="B19" s="211"/>
      <c r="C19" s="213"/>
      <c r="D19" s="38" t="s">
        <v>100</v>
      </c>
      <c r="E19" s="60">
        <f>IFERROR(aurora_data!D2039,0)</f>
        <v>0</v>
      </c>
      <c r="F19" s="68">
        <f>IFERROR(aurora_data!E2039,0)</f>
        <v>0</v>
      </c>
      <c r="G19" s="68">
        <f>IFERROR(aurora_data!F2039,0)</f>
        <v>0</v>
      </c>
      <c r="H19" s="68">
        <f>IFERROR(aurora_data!G2039,0)</f>
        <v>0</v>
      </c>
      <c r="I19" s="69">
        <f>IFERROR(aurora_data!H2039,0)</f>
        <v>0</v>
      </c>
      <c r="J19" s="60">
        <f>IFERROR(aurora_data!I2039,0)</f>
        <v>0</v>
      </c>
      <c r="K19" s="68">
        <f>IFERROR(aurora_data!J2039,0)</f>
        <v>0</v>
      </c>
      <c r="L19" s="68">
        <f>IFERROR(aurora_data!K2039,0)</f>
        <v>0</v>
      </c>
      <c r="M19" s="68">
        <f>IFERROR(aurora_data!L2039,0)</f>
        <v>0</v>
      </c>
      <c r="N19" s="69">
        <f>IFERROR(aurora_data!M2039,0)</f>
        <v>0</v>
      </c>
      <c r="O19" s="60">
        <f>IFERROR(aurora_data!N2039,0)</f>
        <v>0</v>
      </c>
      <c r="P19" s="68">
        <f>IFERROR(aurora_data!O2039,0)</f>
        <v>0</v>
      </c>
      <c r="Q19" s="68">
        <f>IFERROR(aurora_data!P2039,0)</f>
        <v>0</v>
      </c>
      <c r="R19" s="69">
        <f>IFERROR(aurora_data!Q2039,0)</f>
        <v>0</v>
      </c>
      <c r="S19" s="68">
        <f>IFERROR(aurora_data!R2039,0)</f>
        <v>0</v>
      </c>
      <c r="T19" s="68">
        <f>IFERROR(aurora_data!S2039,0)</f>
        <v>0</v>
      </c>
      <c r="U19" s="74">
        <f>IFERROR(aurora_data!T2039,0)</f>
        <v>0</v>
      </c>
      <c r="V19" s="75" t="s">
        <v>95</v>
      </c>
      <c r="W19" s="60">
        <f>IFERROR(aurora_data!U2039,0)</f>
        <v>0</v>
      </c>
      <c r="X19" s="73">
        <f t="shared" si="0"/>
        <v>0</v>
      </c>
      <c r="Y19" s="2"/>
    </row>
    <row r="20" spans="1:25" customFormat="1">
      <c r="A20" s="2"/>
      <c r="B20" s="210" t="s">
        <v>94</v>
      </c>
      <c r="C20" s="212" t="str">
        <f>aurora_data!A2040</f>
        <v>07.00.00-07.11.30</v>
      </c>
      <c r="D20" s="34" t="s">
        <v>71</v>
      </c>
      <c r="E20" s="39">
        <f>IFERROR(aurora_data!D2040,0)</f>
        <v>0</v>
      </c>
      <c r="F20" s="40">
        <f>IFERROR(aurora_data!E2040,0)</f>
        <v>0</v>
      </c>
      <c r="G20" s="40">
        <f>IFERROR(aurora_data!F2040,0)</f>
        <v>0</v>
      </c>
      <c r="H20" s="40">
        <f>IFERROR(aurora_data!G2040,0)</f>
        <v>0</v>
      </c>
      <c r="I20" s="41">
        <f>IFERROR(aurora_data!H2040,0)</f>
        <v>0</v>
      </c>
      <c r="J20" s="39">
        <f>IFERROR(aurora_data!I2040,0)</f>
        <v>0</v>
      </c>
      <c r="K20" s="40">
        <f>IFERROR(aurora_data!J2040,0)</f>
        <v>0</v>
      </c>
      <c r="L20" s="40">
        <f>IFERROR(aurora_data!K2040,0)</f>
        <v>0</v>
      </c>
      <c r="M20" s="40">
        <f>IFERROR(aurora_data!L2040,0)</f>
        <v>0</v>
      </c>
      <c r="N20" s="41">
        <f>IFERROR(aurora_data!M2040,0)</f>
        <v>0</v>
      </c>
      <c r="O20" s="39">
        <f>IFERROR(aurora_data!N2040,0)</f>
        <v>0</v>
      </c>
      <c r="P20" s="40">
        <f>IFERROR(aurora_data!O2040,0)</f>
        <v>0</v>
      </c>
      <c r="Q20" s="40">
        <f>IFERROR(aurora_data!P2040,0)</f>
        <v>0</v>
      </c>
      <c r="R20" s="41">
        <f>IFERROR(aurora_data!Q2040,0)</f>
        <v>0</v>
      </c>
      <c r="S20" s="40">
        <f>IFERROR(aurora_data!R2040,0)</f>
        <v>0</v>
      </c>
      <c r="T20" s="40">
        <f>IFERROR(aurora_data!S2040,0)</f>
        <v>0</v>
      </c>
      <c r="U20" s="76">
        <f>IFERROR(aurora_data!T2040,0)</f>
        <v>0</v>
      </c>
      <c r="V20" s="61" t="s">
        <v>95</v>
      </c>
      <c r="W20" s="39">
        <f>IFERROR(aurora_data!U2040,0)</f>
        <v>5</v>
      </c>
      <c r="X20" s="70">
        <f>IFERROR(W20/$W$12,0)</f>
        <v>1.25</v>
      </c>
      <c r="Y20" s="2"/>
    </row>
    <row r="21" spans="1:25" customFormat="1">
      <c r="A21" s="2"/>
      <c r="B21" s="211"/>
      <c r="C21" s="213"/>
      <c r="D21" s="35" t="s">
        <v>96</v>
      </c>
      <c r="E21" s="110">
        <f>IFERROR(aurora_data!D2041,0)</f>
        <v>1</v>
      </c>
      <c r="F21" s="62">
        <f>IFERROR(aurora_data!E2041,0)</f>
        <v>0</v>
      </c>
      <c r="G21" s="62">
        <f>IFERROR(aurora_data!F2041,0)</f>
        <v>0</v>
      </c>
      <c r="H21" s="62">
        <f>IFERROR(aurora_data!G2041,0)</f>
        <v>0</v>
      </c>
      <c r="I21" s="63">
        <f>IFERROR(aurora_data!H2041,0)</f>
        <v>0</v>
      </c>
      <c r="J21" s="36">
        <f>IFERROR(aurora_data!I2041,0)</f>
        <v>0</v>
      </c>
      <c r="K21" s="62">
        <f>IFERROR(aurora_data!J2041,0)</f>
        <v>0</v>
      </c>
      <c r="L21" s="62">
        <f>IFERROR(aurora_data!K2041,0)</f>
        <v>0</v>
      </c>
      <c r="M21" s="62">
        <f>IFERROR(aurora_data!L2041,0)</f>
        <v>0</v>
      </c>
      <c r="N21" s="63">
        <f>IFERROR(aurora_data!M2041,0)</f>
        <v>1</v>
      </c>
      <c r="O21" s="36">
        <f>IFERROR(aurora_data!N2041,0)</f>
        <v>1</v>
      </c>
      <c r="P21" s="62">
        <f>IFERROR(aurora_data!O2041,0)</f>
        <v>0</v>
      </c>
      <c r="Q21" s="62">
        <f>IFERROR(aurora_data!P2041,0)</f>
        <v>0</v>
      </c>
      <c r="R21" s="63">
        <f>IFERROR(aurora_data!Q2041,0)</f>
        <v>0</v>
      </c>
      <c r="S21" s="62">
        <f>IFERROR(aurora_data!R2041,0)</f>
        <v>0</v>
      </c>
      <c r="T21" s="62">
        <f>IFERROR(aurora_data!S2041,0)</f>
        <v>1</v>
      </c>
      <c r="U21" s="63">
        <f>IFERROR(aurora_data!T2041,0)</f>
        <v>0</v>
      </c>
      <c r="V21" s="64" t="s">
        <v>95</v>
      </c>
      <c r="W21" s="36">
        <f>IFERROR(aurora_data!U2041,0)</f>
        <v>1</v>
      </c>
      <c r="X21" s="71">
        <f t="shared" ref="X21:X27" si="1">IFERROR(W21/$W$12,0)</f>
        <v>0.25</v>
      </c>
      <c r="Y21" s="2"/>
    </row>
    <row r="22" spans="1:25" customFormat="1">
      <c r="A22" s="2"/>
      <c r="B22" s="211"/>
      <c r="C22" s="213"/>
      <c r="D22" s="35" t="s">
        <v>60</v>
      </c>
      <c r="E22" s="110">
        <f>IFERROR(aurora_data!D2042,0)</f>
        <v>0</v>
      </c>
      <c r="F22" s="62">
        <f>IFERROR(aurora_data!E2042,0)</f>
        <v>0</v>
      </c>
      <c r="G22" s="62">
        <f>IFERROR(aurora_data!F2042,0)</f>
        <v>0</v>
      </c>
      <c r="H22" s="62">
        <f>IFERROR(aurora_data!G2042,0)</f>
        <v>0</v>
      </c>
      <c r="I22" s="63">
        <f>IFERROR(aurora_data!H2042,0)</f>
        <v>0</v>
      </c>
      <c r="J22" s="36">
        <f>IFERROR(aurora_data!I2042,0)</f>
        <v>0</v>
      </c>
      <c r="K22" s="62">
        <f>IFERROR(aurora_data!J2042,0)</f>
        <v>0</v>
      </c>
      <c r="L22" s="62">
        <f>IFERROR(aurora_data!K2042,0)</f>
        <v>0</v>
      </c>
      <c r="M22" s="62">
        <f>IFERROR(aurora_data!L2042,0)</f>
        <v>0</v>
      </c>
      <c r="N22" s="63">
        <f>IFERROR(aurora_data!M2042,0)</f>
        <v>0</v>
      </c>
      <c r="O22" s="36">
        <f>IFERROR(aurora_data!N2042,0)</f>
        <v>0</v>
      </c>
      <c r="P22" s="62">
        <f>IFERROR(aurora_data!O2042,0)</f>
        <v>0</v>
      </c>
      <c r="Q22" s="62">
        <f>IFERROR(aurora_data!P2042,0)</f>
        <v>0</v>
      </c>
      <c r="R22" s="63">
        <f>IFERROR(aurora_data!Q2042,0)</f>
        <v>0</v>
      </c>
      <c r="S22" s="62">
        <f>IFERROR(aurora_data!R2042,0)</f>
        <v>0</v>
      </c>
      <c r="T22" s="62">
        <f>IFERROR(aurora_data!S2042,0)</f>
        <v>0</v>
      </c>
      <c r="U22" s="63">
        <f>IFERROR(aurora_data!T2042,0)</f>
        <v>0</v>
      </c>
      <c r="V22" s="64" t="s">
        <v>95</v>
      </c>
      <c r="W22" s="36">
        <f>IFERROR(aurora_data!U2042,0)</f>
        <v>0</v>
      </c>
      <c r="X22" s="71">
        <f t="shared" si="1"/>
        <v>0</v>
      </c>
      <c r="Y22" s="2"/>
    </row>
    <row r="23" spans="1:25" customFormat="1">
      <c r="A23" s="2"/>
      <c r="B23" s="211"/>
      <c r="C23" s="213"/>
      <c r="D23" s="35" t="s">
        <v>97</v>
      </c>
      <c r="E23" s="36">
        <f>IFERROR(aurora_data!D2043,0)</f>
        <v>0</v>
      </c>
      <c r="F23" s="62">
        <f>IFERROR(aurora_data!E2043,0)</f>
        <v>0</v>
      </c>
      <c r="G23" s="62">
        <f>IFERROR(aurora_data!F2043,0)</f>
        <v>0</v>
      </c>
      <c r="H23" s="62">
        <f>IFERROR(aurora_data!G2043,0)</f>
        <v>0</v>
      </c>
      <c r="I23" s="63">
        <f>IFERROR(aurora_data!H2043,0)</f>
        <v>0</v>
      </c>
      <c r="J23" s="36">
        <f>IFERROR(aurora_data!I2043,0)</f>
        <v>0</v>
      </c>
      <c r="K23" s="62">
        <f>IFERROR(aurora_data!J2043,0)</f>
        <v>0</v>
      </c>
      <c r="L23" s="62">
        <f>IFERROR(aurora_data!K2043,0)</f>
        <v>0</v>
      </c>
      <c r="M23" s="62">
        <f>IFERROR(aurora_data!L2043,0)</f>
        <v>0</v>
      </c>
      <c r="N23" s="63">
        <f>IFERROR(aurora_data!M2043,0)</f>
        <v>0</v>
      </c>
      <c r="O23" s="36">
        <f>IFERROR(aurora_data!N2043,0)</f>
        <v>0</v>
      </c>
      <c r="P23" s="62">
        <f>IFERROR(aurora_data!O2043,0)</f>
        <v>0</v>
      </c>
      <c r="Q23" s="62">
        <f>IFERROR(aurora_data!P2043,0)</f>
        <v>0</v>
      </c>
      <c r="R23" s="63">
        <f>IFERROR(aurora_data!Q2043,0)</f>
        <v>0</v>
      </c>
      <c r="S23" s="62">
        <f>IFERROR(aurora_data!R2043,0)</f>
        <v>0</v>
      </c>
      <c r="T23" s="62">
        <f>IFERROR(aurora_data!S2043,0)</f>
        <v>0</v>
      </c>
      <c r="U23" s="63">
        <f>IFERROR(aurora_data!T2043,0)</f>
        <v>0</v>
      </c>
      <c r="V23" s="64" t="s">
        <v>95</v>
      </c>
      <c r="W23" s="36">
        <f>IFERROR(aurora_data!U2043,0)</f>
        <v>0</v>
      </c>
      <c r="X23" s="71">
        <f t="shared" si="1"/>
        <v>0</v>
      </c>
      <c r="Y23" s="2"/>
    </row>
    <row r="24" spans="1:25" customFormat="1">
      <c r="A24" s="2"/>
      <c r="B24" s="211"/>
      <c r="C24" s="213"/>
      <c r="D24" s="35" t="s">
        <v>98</v>
      </c>
      <c r="E24" s="36">
        <f>IFERROR(aurora_data!D2044,0)</f>
        <v>0</v>
      </c>
      <c r="F24" s="62">
        <f>IFERROR(aurora_data!E2044,0)</f>
        <v>0</v>
      </c>
      <c r="G24" s="62">
        <f>IFERROR(aurora_data!F2044,0)</f>
        <v>0</v>
      </c>
      <c r="H24" s="62">
        <f>IFERROR(aurora_data!G2044,0)</f>
        <v>0</v>
      </c>
      <c r="I24" s="63">
        <f>IFERROR(aurora_data!H2044,0)</f>
        <v>0</v>
      </c>
      <c r="J24" s="36">
        <f>IFERROR(aurora_data!I2044,0)</f>
        <v>0</v>
      </c>
      <c r="K24" s="62">
        <f>IFERROR(aurora_data!J2044,0)</f>
        <v>0</v>
      </c>
      <c r="L24" s="62">
        <f>IFERROR(aurora_data!K2044,0)</f>
        <v>0</v>
      </c>
      <c r="M24" s="62">
        <f>IFERROR(aurora_data!L2044,0)</f>
        <v>0</v>
      </c>
      <c r="N24" s="63">
        <f>IFERROR(aurora_data!M2044,0)</f>
        <v>0</v>
      </c>
      <c r="O24" s="36">
        <f>IFERROR(aurora_data!N2044,0)</f>
        <v>0</v>
      </c>
      <c r="P24" s="62">
        <f>IFERROR(aurora_data!O2044,0)</f>
        <v>0</v>
      </c>
      <c r="Q24" s="62">
        <f>IFERROR(aurora_data!P2044,0)</f>
        <v>0</v>
      </c>
      <c r="R24" s="63">
        <f>IFERROR(aurora_data!Q2044,0)</f>
        <v>0</v>
      </c>
      <c r="S24" s="62">
        <f>IFERROR(aurora_data!R2044,0)</f>
        <v>0</v>
      </c>
      <c r="T24" s="62">
        <f>IFERROR(aurora_data!S2044,0)</f>
        <v>0</v>
      </c>
      <c r="U24" s="63">
        <f>IFERROR(aurora_data!T2044,0)</f>
        <v>0</v>
      </c>
      <c r="V24" s="64" t="s">
        <v>95</v>
      </c>
      <c r="W24" s="36">
        <f>IFERROR(aurora_data!U2044,0)</f>
        <v>0</v>
      </c>
      <c r="X24" s="71">
        <f t="shared" si="1"/>
        <v>0</v>
      </c>
      <c r="Y24" s="2"/>
    </row>
    <row r="25" spans="1:25" customFormat="1" ht="16.5" thickBot="1">
      <c r="A25" s="2"/>
      <c r="B25" s="211"/>
      <c r="C25" s="213"/>
      <c r="D25" s="35" t="s">
        <v>99</v>
      </c>
      <c r="E25" s="36">
        <f>IFERROR(aurora_data!D2045,0)</f>
        <v>0</v>
      </c>
      <c r="F25" s="62">
        <f>IFERROR(aurora_data!E2045,0)</f>
        <v>0</v>
      </c>
      <c r="G25" s="62">
        <f>IFERROR(aurora_data!F2045,0)</f>
        <v>0</v>
      </c>
      <c r="H25" s="62">
        <f>IFERROR(aurora_data!G2045,0)</f>
        <v>0</v>
      </c>
      <c r="I25" s="63">
        <f>IFERROR(aurora_data!H2045,0)</f>
        <v>0</v>
      </c>
      <c r="J25" s="36">
        <f>IFERROR(aurora_data!I2045,0)</f>
        <v>0</v>
      </c>
      <c r="K25" s="62">
        <f>IFERROR(aurora_data!J2045,0)</f>
        <v>0</v>
      </c>
      <c r="L25" s="62">
        <f>IFERROR(aurora_data!K2045,0)</f>
        <v>0</v>
      </c>
      <c r="M25" s="62">
        <f>IFERROR(aurora_data!L2045,0)</f>
        <v>0</v>
      </c>
      <c r="N25" s="63">
        <f>IFERROR(aurora_data!M2045,0)</f>
        <v>0</v>
      </c>
      <c r="O25" s="36">
        <f>IFERROR(aurora_data!N2045,0)</f>
        <v>0</v>
      </c>
      <c r="P25" s="62">
        <f>IFERROR(aurora_data!O2045,0)</f>
        <v>0</v>
      </c>
      <c r="Q25" s="62">
        <f>IFERROR(aurora_data!P2045,0)</f>
        <v>0</v>
      </c>
      <c r="R25" s="63">
        <f>IFERROR(aurora_data!Q2045,0)</f>
        <v>0</v>
      </c>
      <c r="S25" s="62">
        <f>IFERROR(aurora_data!R2045,0)</f>
        <v>0</v>
      </c>
      <c r="T25" s="62">
        <f>IFERROR(aurora_data!S2045,0)</f>
        <v>0</v>
      </c>
      <c r="U25" s="63">
        <f>IFERROR(aurora_data!T2045,0)</f>
        <v>0</v>
      </c>
      <c r="V25" s="64" t="s">
        <v>95</v>
      </c>
      <c r="W25" s="36">
        <f>IFERROR(aurora_data!U2045,0)</f>
        <v>0</v>
      </c>
      <c r="X25" s="71">
        <f t="shared" si="1"/>
        <v>0</v>
      </c>
      <c r="Y25" s="2"/>
    </row>
    <row r="26" spans="1:25" customFormat="1" ht="16.5" thickBot="1">
      <c r="A26" s="2"/>
      <c r="B26" s="211"/>
      <c r="C26" s="213"/>
      <c r="D26" s="37" t="s">
        <v>64</v>
      </c>
      <c r="E26" s="59">
        <f>IFERROR(aurora_data!D2046,0)</f>
        <v>1</v>
      </c>
      <c r="F26" s="65">
        <f>IFERROR(aurora_data!E2046,0)</f>
        <v>0</v>
      </c>
      <c r="G26" s="65">
        <f>IFERROR(aurora_data!F2046,0)</f>
        <v>0</v>
      </c>
      <c r="H26" s="65">
        <f>IFERROR(aurora_data!G2046,0)</f>
        <v>0</v>
      </c>
      <c r="I26" s="66">
        <f>IFERROR(aurora_data!H2046,0)</f>
        <v>0</v>
      </c>
      <c r="J26" s="59">
        <f>IFERROR(aurora_data!I2046,0)</f>
        <v>0</v>
      </c>
      <c r="K26" s="65">
        <f>IFERROR(aurora_data!J2046,0)</f>
        <v>0</v>
      </c>
      <c r="L26" s="65">
        <f>IFERROR(aurora_data!K2046,0)</f>
        <v>0</v>
      </c>
      <c r="M26" s="65">
        <f>IFERROR(aurora_data!L2046,0)</f>
        <v>0</v>
      </c>
      <c r="N26" s="66">
        <f>IFERROR(aurora_data!M2046,0)</f>
        <v>1</v>
      </c>
      <c r="O26" s="59">
        <f>IFERROR(aurora_data!N2046,0)</f>
        <v>1</v>
      </c>
      <c r="P26" s="65">
        <f>IFERROR(aurora_data!O2046,0)</f>
        <v>0</v>
      </c>
      <c r="Q26" s="65">
        <f>IFERROR(aurora_data!P2046,0)</f>
        <v>0</v>
      </c>
      <c r="R26" s="66">
        <f>IFERROR(aurora_data!Q2046,0)</f>
        <v>0</v>
      </c>
      <c r="S26" s="65">
        <f>IFERROR(aurora_data!R2046,0)</f>
        <v>0</v>
      </c>
      <c r="T26" s="65">
        <f>IFERROR(aurora_data!S2046,0)</f>
        <v>1</v>
      </c>
      <c r="U26" s="66">
        <f>IFERROR(aurora_data!T2046,0)</f>
        <v>0</v>
      </c>
      <c r="V26" s="67" t="s">
        <v>95</v>
      </c>
      <c r="W26" s="59">
        <f>IFERROR(aurora_data!U2046,0)</f>
        <v>1</v>
      </c>
      <c r="X26" s="72">
        <f t="shared" si="1"/>
        <v>0.25</v>
      </c>
      <c r="Y26" s="2"/>
    </row>
    <row r="27" spans="1:25" customFormat="1" ht="16.5" thickBot="1">
      <c r="A27" s="2"/>
      <c r="B27" s="211"/>
      <c r="C27" s="213"/>
      <c r="D27" s="38" t="s">
        <v>100</v>
      </c>
      <c r="E27" s="60">
        <f>IFERROR(aurora_data!D2047,0)</f>
        <v>0</v>
      </c>
      <c r="F27" s="68">
        <f>IFERROR(aurora_data!E2047,0)</f>
        <v>0</v>
      </c>
      <c r="G27" s="68">
        <f>IFERROR(aurora_data!F2047,0)</f>
        <v>0</v>
      </c>
      <c r="H27" s="68">
        <f>IFERROR(aurora_data!G2047,0)</f>
        <v>0</v>
      </c>
      <c r="I27" s="69">
        <f>IFERROR(aurora_data!H2047,0)</f>
        <v>0</v>
      </c>
      <c r="J27" s="60">
        <f>IFERROR(aurora_data!I2047,0)</f>
        <v>0</v>
      </c>
      <c r="K27" s="68">
        <f>IFERROR(aurora_data!J2047,0)</f>
        <v>0</v>
      </c>
      <c r="L27" s="68">
        <f>IFERROR(aurora_data!K2047,0)</f>
        <v>0</v>
      </c>
      <c r="M27" s="68">
        <f>IFERROR(aurora_data!L2047,0)</f>
        <v>0</v>
      </c>
      <c r="N27" s="69">
        <f>IFERROR(aurora_data!M2047,0)</f>
        <v>0</v>
      </c>
      <c r="O27" s="60">
        <f>IFERROR(aurora_data!N2047,0)</f>
        <v>0</v>
      </c>
      <c r="P27" s="68">
        <f>IFERROR(aurora_data!O2047,0)</f>
        <v>0</v>
      </c>
      <c r="Q27" s="68">
        <f>IFERROR(aurora_data!P2047,0)</f>
        <v>0</v>
      </c>
      <c r="R27" s="69">
        <f>IFERROR(aurora_data!Q2047,0)</f>
        <v>0</v>
      </c>
      <c r="S27" s="68">
        <f>IFERROR(aurora_data!R2047,0)</f>
        <v>0</v>
      </c>
      <c r="T27" s="68">
        <f>IFERROR(aurora_data!S2047,0)</f>
        <v>0</v>
      </c>
      <c r="U27" s="74">
        <f>IFERROR(aurora_data!T2047,0)</f>
        <v>0</v>
      </c>
      <c r="V27" s="75" t="s">
        <v>95</v>
      </c>
      <c r="W27" s="60">
        <f>IFERROR(aurora_data!U2047,0)</f>
        <v>0</v>
      </c>
      <c r="X27" s="73">
        <f t="shared" si="1"/>
        <v>0</v>
      </c>
      <c r="Y27" s="2"/>
    </row>
    <row r="28" spans="1:25" customFormat="1">
      <c r="A28" s="2"/>
      <c r="B28" s="210" t="s">
        <v>94</v>
      </c>
      <c r="C28" s="212" t="str">
        <f>aurora_data!A2048</f>
        <v>08.00.00-08.11.30</v>
      </c>
      <c r="D28" s="34" t="s">
        <v>71</v>
      </c>
      <c r="E28" s="39">
        <f>IFERROR(aurora_data!D2048,0)</f>
        <v>0</v>
      </c>
      <c r="F28" s="40">
        <f>IFERROR(aurora_data!E2048,0)</f>
        <v>0</v>
      </c>
      <c r="G28" s="40">
        <f>IFERROR(aurora_data!F2048,0)</f>
        <v>0</v>
      </c>
      <c r="H28" s="40">
        <f>IFERROR(aurora_data!G2048,0)</f>
        <v>0</v>
      </c>
      <c r="I28" s="41">
        <f>IFERROR(aurora_data!H2048,0)</f>
        <v>0</v>
      </c>
      <c r="J28" s="39">
        <f>IFERROR(aurora_data!I2048,0)</f>
        <v>0</v>
      </c>
      <c r="K28" s="40">
        <f>IFERROR(aurora_data!J2048,0)</f>
        <v>0</v>
      </c>
      <c r="L28" s="40">
        <f>IFERROR(aurora_data!K2048,0)</f>
        <v>0</v>
      </c>
      <c r="M28" s="40">
        <f>IFERROR(aurora_data!L2048,0)</f>
        <v>0</v>
      </c>
      <c r="N28" s="41">
        <f>IFERROR(aurora_data!M2048,0)</f>
        <v>0</v>
      </c>
      <c r="O28" s="39">
        <f>IFERROR(aurora_data!N2048,0)</f>
        <v>0</v>
      </c>
      <c r="P28" s="40">
        <f>IFERROR(aurora_data!O2048,0)</f>
        <v>0</v>
      </c>
      <c r="Q28" s="40">
        <f>IFERROR(aurora_data!P2048,0)</f>
        <v>0</v>
      </c>
      <c r="R28" s="41">
        <f>IFERROR(aurora_data!Q2048,0)</f>
        <v>0</v>
      </c>
      <c r="S28" s="40">
        <f>IFERROR(aurora_data!R2048,0)</f>
        <v>0</v>
      </c>
      <c r="T28" s="40">
        <f>IFERROR(aurora_data!S2048,0)</f>
        <v>0</v>
      </c>
      <c r="U28" s="76">
        <f>IFERROR(aurora_data!T2048,0)</f>
        <v>0</v>
      </c>
      <c r="V28" s="61" t="s">
        <v>95</v>
      </c>
      <c r="W28" s="39">
        <f>IFERROR(aurora_data!U2048,0)</f>
        <v>5</v>
      </c>
      <c r="X28" s="70">
        <f>IFERROR(W28/$W$12,0)</f>
        <v>1.25</v>
      </c>
      <c r="Y28" s="2"/>
    </row>
    <row r="29" spans="1:25" customFormat="1">
      <c r="A29" s="2"/>
      <c r="B29" s="211"/>
      <c r="C29" s="213"/>
      <c r="D29" s="35" t="s">
        <v>96</v>
      </c>
      <c r="E29" s="110">
        <f>IFERROR(aurora_data!D2049,0)</f>
        <v>0</v>
      </c>
      <c r="F29" s="62">
        <f>IFERROR(aurora_data!E2049,0)</f>
        <v>0</v>
      </c>
      <c r="G29" s="62">
        <f>IFERROR(aurora_data!F2049,0)</f>
        <v>0</v>
      </c>
      <c r="H29" s="62">
        <f>IFERROR(aurora_data!G2049,0)</f>
        <v>0</v>
      </c>
      <c r="I29" s="63">
        <f>IFERROR(aurora_data!H2049,0)</f>
        <v>0</v>
      </c>
      <c r="J29" s="36">
        <f>IFERROR(aurora_data!I2049,0)</f>
        <v>0</v>
      </c>
      <c r="K29" s="62">
        <f>IFERROR(aurora_data!J2049,0)</f>
        <v>0</v>
      </c>
      <c r="L29" s="62">
        <f>IFERROR(aurora_data!K2049,0)</f>
        <v>0</v>
      </c>
      <c r="M29" s="62">
        <f>IFERROR(aurora_data!L2049,0)</f>
        <v>0</v>
      </c>
      <c r="N29" s="63">
        <f>IFERROR(aurora_data!M2049,0)</f>
        <v>0</v>
      </c>
      <c r="O29" s="36">
        <f>IFERROR(aurora_data!N2049,0)</f>
        <v>0</v>
      </c>
      <c r="P29" s="62">
        <f>IFERROR(aurora_data!O2049,0)</f>
        <v>0</v>
      </c>
      <c r="Q29" s="62">
        <f>IFERROR(aurora_data!P2049,0)</f>
        <v>0</v>
      </c>
      <c r="R29" s="63">
        <f>IFERROR(aurora_data!Q2049,0)</f>
        <v>0</v>
      </c>
      <c r="S29" s="62">
        <f>IFERROR(aurora_data!R2049,0)</f>
        <v>0</v>
      </c>
      <c r="T29" s="62">
        <f>IFERROR(aurora_data!S2049,0)</f>
        <v>0</v>
      </c>
      <c r="U29" s="63">
        <f>IFERROR(aurora_data!T2049,0)</f>
        <v>0</v>
      </c>
      <c r="V29" s="64" t="s">
        <v>95</v>
      </c>
      <c r="W29" s="36">
        <f>IFERROR(aurora_data!U2049,0)</f>
        <v>0</v>
      </c>
      <c r="X29" s="71">
        <f t="shared" ref="X29:X35" si="2">IFERROR(W29/$W$12,0)</f>
        <v>0</v>
      </c>
      <c r="Y29" s="2"/>
    </row>
    <row r="30" spans="1:25" customFormat="1">
      <c r="A30" s="2"/>
      <c r="B30" s="211"/>
      <c r="C30" s="213"/>
      <c r="D30" s="35" t="s">
        <v>60</v>
      </c>
      <c r="E30" s="110">
        <f>IFERROR(aurora_data!D2050,0)</f>
        <v>0</v>
      </c>
      <c r="F30" s="62">
        <f>IFERROR(aurora_data!E2050,0)</f>
        <v>0</v>
      </c>
      <c r="G30" s="62">
        <f>IFERROR(aurora_data!F2050,0)</f>
        <v>0</v>
      </c>
      <c r="H30" s="62">
        <f>IFERROR(aurora_data!G2050,0)</f>
        <v>0</v>
      </c>
      <c r="I30" s="63">
        <f>IFERROR(aurora_data!H2050,0)</f>
        <v>0</v>
      </c>
      <c r="J30" s="36">
        <f>IFERROR(aurora_data!I2050,0)</f>
        <v>0</v>
      </c>
      <c r="K30" s="62">
        <f>IFERROR(aurora_data!J2050,0)</f>
        <v>0</v>
      </c>
      <c r="L30" s="62">
        <f>IFERROR(aurora_data!K2050,0)</f>
        <v>0</v>
      </c>
      <c r="M30" s="62">
        <f>IFERROR(aurora_data!L2050,0)</f>
        <v>0</v>
      </c>
      <c r="N30" s="63">
        <f>IFERROR(aurora_data!M2050,0)</f>
        <v>0</v>
      </c>
      <c r="O30" s="36">
        <f>IFERROR(aurora_data!N2050,0)</f>
        <v>0</v>
      </c>
      <c r="P30" s="62">
        <f>IFERROR(aurora_data!O2050,0)</f>
        <v>0</v>
      </c>
      <c r="Q30" s="62">
        <f>IFERROR(aurora_data!P2050,0)</f>
        <v>0</v>
      </c>
      <c r="R30" s="63">
        <f>IFERROR(aurora_data!Q2050,0)</f>
        <v>0</v>
      </c>
      <c r="S30" s="62">
        <f>IFERROR(aurora_data!R2050,0)</f>
        <v>0</v>
      </c>
      <c r="T30" s="62">
        <f>IFERROR(aurora_data!S2050,0)</f>
        <v>0</v>
      </c>
      <c r="U30" s="63">
        <f>IFERROR(aurora_data!T2050,0)</f>
        <v>0</v>
      </c>
      <c r="V30" s="64" t="s">
        <v>95</v>
      </c>
      <c r="W30" s="36">
        <f>IFERROR(aurora_data!U2050,0)</f>
        <v>0</v>
      </c>
      <c r="X30" s="71">
        <f t="shared" si="2"/>
        <v>0</v>
      </c>
      <c r="Y30" s="2"/>
    </row>
    <row r="31" spans="1:25" customFormat="1">
      <c r="A31" s="2"/>
      <c r="B31" s="211"/>
      <c r="C31" s="213"/>
      <c r="D31" s="35" t="s">
        <v>97</v>
      </c>
      <c r="E31" s="36">
        <f>IFERROR(aurora_data!D2051,0)</f>
        <v>0</v>
      </c>
      <c r="F31" s="62">
        <f>IFERROR(aurora_data!E2051,0)</f>
        <v>0</v>
      </c>
      <c r="G31" s="62">
        <f>IFERROR(aurora_data!F2051,0)</f>
        <v>0</v>
      </c>
      <c r="H31" s="62">
        <f>IFERROR(aurora_data!G2051,0)</f>
        <v>0</v>
      </c>
      <c r="I31" s="63">
        <f>IFERROR(aurora_data!H2051,0)</f>
        <v>0</v>
      </c>
      <c r="J31" s="36">
        <f>IFERROR(aurora_data!I2051,0)</f>
        <v>0</v>
      </c>
      <c r="K31" s="62">
        <f>IFERROR(aurora_data!J2051,0)</f>
        <v>0</v>
      </c>
      <c r="L31" s="62">
        <f>IFERROR(aurora_data!K2051,0)</f>
        <v>0</v>
      </c>
      <c r="M31" s="62">
        <f>IFERROR(aurora_data!L2051,0)</f>
        <v>0</v>
      </c>
      <c r="N31" s="63">
        <f>IFERROR(aurora_data!M2051,0)</f>
        <v>0</v>
      </c>
      <c r="O31" s="36">
        <f>IFERROR(aurora_data!N2051,0)</f>
        <v>0</v>
      </c>
      <c r="P31" s="62">
        <f>IFERROR(aurora_data!O2051,0)</f>
        <v>0</v>
      </c>
      <c r="Q31" s="62">
        <f>IFERROR(aurora_data!P2051,0)</f>
        <v>0</v>
      </c>
      <c r="R31" s="63">
        <f>IFERROR(aurora_data!Q2051,0)</f>
        <v>0</v>
      </c>
      <c r="S31" s="62">
        <f>IFERROR(aurora_data!R2051,0)</f>
        <v>0</v>
      </c>
      <c r="T31" s="62">
        <f>IFERROR(aurora_data!S2051,0)</f>
        <v>0</v>
      </c>
      <c r="U31" s="63">
        <f>IFERROR(aurora_data!T2051,0)</f>
        <v>0</v>
      </c>
      <c r="V31" s="64" t="s">
        <v>95</v>
      </c>
      <c r="W31" s="36">
        <f>IFERROR(aurora_data!U2051,0)</f>
        <v>0</v>
      </c>
      <c r="X31" s="71">
        <f t="shared" si="2"/>
        <v>0</v>
      </c>
      <c r="Y31" s="2"/>
    </row>
    <row r="32" spans="1:25" customFormat="1">
      <c r="A32" s="2"/>
      <c r="B32" s="211"/>
      <c r="C32" s="213"/>
      <c r="D32" s="35" t="s">
        <v>98</v>
      </c>
      <c r="E32" s="36">
        <f>IFERROR(aurora_data!D2052,0)</f>
        <v>0</v>
      </c>
      <c r="F32" s="62">
        <f>IFERROR(aurora_data!E2052,0)</f>
        <v>0</v>
      </c>
      <c r="G32" s="62">
        <f>IFERROR(aurora_data!F2052,0)</f>
        <v>0</v>
      </c>
      <c r="H32" s="62">
        <f>IFERROR(aurora_data!G2052,0)</f>
        <v>0</v>
      </c>
      <c r="I32" s="63">
        <f>IFERROR(aurora_data!H2052,0)</f>
        <v>0</v>
      </c>
      <c r="J32" s="36">
        <f>IFERROR(aurora_data!I2052,0)</f>
        <v>0</v>
      </c>
      <c r="K32" s="62">
        <f>IFERROR(aurora_data!J2052,0)</f>
        <v>0</v>
      </c>
      <c r="L32" s="62">
        <f>IFERROR(aurora_data!K2052,0)</f>
        <v>0</v>
      </c>
      <c r="M32" s="62">
        <f>IFERROR(aurora_data!L2052,0)</f>
        <v>0</v>
      </c>
      <c r="N32" s="63">
        <f>IFERROR(aurora_data!M2052,0)</f>
        <v>0</v>
      </c>
      <c r="O32" s="36">
        <f>IFERROR(aurora_data!N2052,0)</f>
        <v>0</v>
      </c>
      <c r="P32" s="62">
        <f>IFERROR(aurora_data!O2052,0)</f>
        <v>0</v>
      </c>
      <c r="Q32" s="62">
        <f>IFERROR(aurora_data!P2052,0)</f>
        <v>0</v>
      </c>
      <c r="R32" s="63">
        <f>IFERROR(aurora_data!Q2052,0)</f>
        <v>0</v>
      </c>
      <c r="S32" s="62">
        <f>IFERROR(aurora_data!R2052,0)</f>
        <v>0</v>
      </c>
      <c r="T32" s="62">
        <f>IFERROR(aurora_data!S2052,0)</f>
        <v>0</v>
      </c>
      <c r="U32" s="63">
        <f>IFERROR(aurora_data!T2052,0)</f>
        <v>0</v>
      </c>
      <c r="V32" s="64" t="s">
        <v>95</v>
      </c>
      <c r="W32" s="36">
        <f>IFERROR(aurora_data!U2052,0)</f>
        <v>0</v>
      </c>
      <c r="X32" s="71">
        <f t="shared" si="2"/>
        <v>0</v>
      </c>
      <c r="Y32" s="2"/>
    </row>
    <row r="33" spans="1:25" customFormat="1" ht="16.5" thickBot="1">
      <c r="A33" s="2"/>
      <c r="B33" s="211"/>
      <c r="C33" s="213"/>
      <c r="D33" s="35" t="s">
        <v>99</v>
      </c>
      <c r="E33" s="36">
        <f>IFERROR(aurora_data!D2053,0)</f>
        <v>0</v>
      </c>
      <c r="F33" s="62">
        <f>IFERROR(aurora_data!E2053,0)</f>
        <v>0</v>
      </c>
      <c r="G33" s="62">
        <f>IFERROR(aurora_data!F2053,0)</f>
        <v>0</v>
      </c>
      <c r="H33" s="62">
        <f>IFERROR(aurora_data!G2053,0)</f>
        <v>0</v>
      </c>
      <c r="I33" s="63">
        <f>IFERROR(aurora_data!H2053,0)</f>
        <v>0</v>
      </c>
      <c r="J33" s="36">
        <f>IFERROR(aurora_data!I2053,0)</f>
        <v>0</v>
      </c>
      <c r="K33" s="62">
        <f>IFERROR(aurora_data!J2053,0)</f>
        <v>0</v>
      </c>
      <c r="L33" s="62">
        <f>IFERROR(aurora_data!K2053,0)</f>
        <v>0</v>
      </c>
      <c r="M33" s="62">
        <f>IFERROR(aurora_data!L2053,0)</f>
        <v>0</v>
      </c>
      <c r="N33" s="63">
        <f>IFERROR(aurora_data!M2053,0)</f>
        <v>0</v>
      </c>
      <c r="O33" s="36">
        <f>IFERROR(aurora_data!N2053,0)</f>
        <v>0</v>
      </c>
      <c r="P33" s="62">
        <f>IFERROR(aurora_data!O2053,0)</f>
        <v>0</v>
      </c>
      <c r="Q33" s="62">
        <f>IFERROR(aurora_data!P2053,0)</f>
        <v>0</v>
      </c>
      <c r="R33" s="63">
        <f>IFERROR(aurora_data!Q2053,0)</f>
        <v>0</v>
      </c>
      <c r="S33" s="62">
        <f>IFERROR(aurora_data!R2053,0)</f>
        <v>0</v>
      </c>
      <c r="T33" s="62">
        <f>IFERROR(aurora_data!S2053,0)</f>
        <v>0</v>
      </c>
      <c r="U33" s="63">
        <f>IFERROR(aurora_data!T2053,0)</f>
        <v>0</v>
      </c>
      <c r="V33" s="64" t="s">
        <v>95</v>
      </c>
      <c r="W33" s="36">
        <f>IFERROR(aurora_data!U2053,0)</f>
        <v>0</v>
      </c>
      <c r="X33" s="71">
        <f t="shared" si="2"/>
        <v>0</v>
      </c>
      <c r="Y33" s="2"/>
    </row>
    <row r="34" spans="1:25" customFormat="1" ht="16.5" thickBot="1">
      <c r="A34" s="2"/>
      <c r="B34" s="211"/>
      <c r="C34" s="213"/>
      <c r="D34" s="37" t="s">
        <v>64</v>
      </c>
      <c r="E34" s="59">
        <f>IFERROR(aurora_data!D2054,0)</f>
        <v>0</v>
      </c>
      <c r="F34" s="65">
        <f>IFERROR(aurora_data!E2054,0)</f>
        <v>0</v>
      </c>
      <c r="G34" s="65">
        <f>IFERROR(aurora_data!F2054,0)</f>
        <v>0</v>
      </c>
      <c r="H34" s="65">
        <f>IFERROR(aurora_data!G2054,0)</f>
        <v>0</v>
      </c>
      <c r="I34" s="66">
        <f>IFERROR(aurora_data!H2054,0)</f>
        <v>0</v>
      </c>
      <c r="J34" s="59">
        <f>IFERROR(aurora_data!I2054,0)</f>
        <v>0</v>
      </c>
      <c r="K34" s="65">
        <f>IFERROR(aurora_data!J2054,0)</f>
        <v>0</v>
      </c>
      <c r="L34" s="65">
        <f>IFERROR(aurora_data!K2054,0)</f>
        <v>0</v>
      </c>
      <c r="M34" s="65">
        <f>IFERROR(aurora_data!L2054,0)</f>
        <v>0</v>
      </c>
      <c r="N34" s="66">
        <f>IFERROR(aurora_data!M2054,0)</f>
        <v>0</v>
      </c>
      <c r="O34" s="59">
        <f>IFERROR(aurora_data!N2054,0)</f>
        <v>0</v>
      </c>
      <c r="P34" s="65">
        <f>IFERROR(aurora_data!O2054,0)</f>
        <v>0</v>
      </c>
      <c r="Q34" s="65">
        <f>IFERROR(aurora_data!P2054,0)</f>
        <v>0</v>
      </c>
      <c r="R34" s="66">
        <f>IFERROR(aurora_data!Q2054,0)</f>
        <v>0</v>
      </c>
      <c r="S34" s="65">
        <f>IFERROR(aurora_data!R2054,0)</f>
        <v>0</v>
      </c>
      <c r="T34" s="65">
        <f>IFERROR(aurora_data!S2054,0)</f>
        <v>0</v>
      </c>
      <c r="U34" s="66">
        <f>IFERROR(aurora_data!T2054,0)</f>
        <v>0</v>
      </c>
      <c r="V34" s="67" t="s">
        <v>95</v>
      </c>
      <c r="W34" s="59">
        <f>IFERROR(aurora_data!U2054,0)</f>
        <v>0</v>
      </c>
      <c r="X34" s="72">
        <f t="shared" si="2"/>
        <v>0</v>
      </c>
      <c r="Y34" s="2"/>
    </row>
    <row r="35" spans="1:25" customFormat="1" ht="16.5" thickBot="1">
      <c r="A35" s="2"/>
      <c r="B35" s="211"/>
      <c r="C35" s="213"/>
      <c r="D35" s="38" t="s">
        <v>100</v>
      </c>
      <c r="E35" s="60">
        <f>IFERROR(aurora_data!D2055,0)</f>
        <v>0</v>
      </c>
      <c r="F35" s="68">
        <f>IFERROR(aurora_data!E2055,0)</f>
        <v>0</v>
      </c>
      <c r="G35" s="68">
        <f>IFERROR(aurora_data!F2055,0)</f>
        <v>0</v>
      </c>
      <c r="H35" s="68">
        <f>IFERROR(aurora_data!G2055,0)</f>
        <v>0</v>
      </c>
      <c r="I35" s="69">
        <f>IFERROR(aurora_data!H2055,0)</f>
        <v>0</v>
      </c>
      <c r="J35" s="60">
        <f>IFERROR(aurora_data!I2055,0)</f>
        <v>0</v>
      </c>
      <c r="K35" s="68">
        <f>IFERROR(aurora_data!J2055,0)</f>
        <v>0</v>
      </c>
      <c r="L35" s="68">
        <f>IFERROR(aurora_data!K2055,0)</f>
        <v>0</v>
      </c>
      <c r="M35" s="68">
        <f>IFERROR(aurora_data!L2055,0)</f>
        <v>0</v>
      </c>
      <c r="N35" s="69">
        <f>IFERROR(aurora_data!M2055,0)</f>
        <v>0</v>
      </c>
      <c r="O35" s="60">
        <f>IFERROR(aurora_data!N2055,0)</f>
        <v>0</v>
      </c>
      <c r="P35" s="68">
        <f>IFERROR(aurora_data!O2055,0)</f>
        <v>0</v>
      </c>
      <c r="Q35" s="68">
        <f>IFERROR(aurora_data!P2055,0)</f>
        <v>0</v>
      </c>
      <c r="R35" s="69">
        <f>IFERROR(aurora_data!Q2055,0)</f>
        <v>0</v>
      </c>
      <c r="S35" s="68">
        <f>IFERROR(aurora_data!R2055,0)</f>
        <v>0</v>
      </c>
      <c r="T35" s="68">
        <f>IFERROR(aurora_data!S2055,0)</f>
        <v>0</v>
      </c>
      <c r="U35" s="74">
        <f>IFERROR(aurora_data!T2055,0)</f>
        <v>0</v>
      </c>
      <c r="V35" s="75" t="s">
        <v>95</v>
      </c>
      <c r="W35" s="60">
        <f>IFERROR(aurora_data!U2055,0)</f>
        <v>0</v>
      </c>
      <c r="X35" s="73">
        <f t="shared" si="2"/>
        <v>0</v>
      </c>
      <c r="Y35" s="2"/>
    </row>
    <row r="36" spans="1:25" customFormat="1">
      <c r="A36" s="2"/>
      <c r="B36" s="210" t="s">
        <v>94</v>
      </c>
      <c r="C36" s="212" t="str">
        <f>aurora_data!A1956</f>
        <v>09.00.00-09.11.30</v>
      </c>
      <c r="D36" s="34" t="s">
        <v>71</v>
      </c>
      <c r="E36" s="39">
        <f>IFERROR(aurora_data!D2056,0)</f>
        <v>0</v>
      </c>
      <c r="F36" s="40">
        <f>IFERROR(aurora_data!E2056,0)</f>
        <v>0</v>
      </c>
      <c r="G36" s="40">
        <f>IFERROR(aurora_data!F2056,0)</f>
        <v>0</v>
      </c>
      <c r="H36" s="40">
        <f>IFERROR(aurora_data!G2056,0)</f>
        <v>0</v>
      </c>
      <c r="I36" s="41">
        <f>IFERROR(aurora_data!H2056,0)</f>
        <v>0</v>
      </c>
      <c r="J36" s="39">
        <f>IFERROR(aurora_data!I2056,0)</f>
        <v>0</v>
      </c>
      <c r="K36" s="40">
        <f>IFERROR(aurora_data!J2056,0)</f>
        <v>0</v>
      </c>
      <c r="L36" s="40">
        <f>IFERROR(aurora_data!K2056,0)</f>
        <v>0</v>
      </c>
      <c r="M36" s="40">
        <f>IFERROR(aurora_data!L2056,0)</f>
        <v>0</v>
      </c>
      <c r="N36" s="41">
        <f>IFERROR(aurora_data!M2056,0)</f>
        <v>0</v>
      </c>
      <c r="O36" s="39">
        <f>IFERROR(aurora_data!N2056,0)</f>
        <v>0</v>
      </c>
      <c r="P36" s="40">
        <f>IFERROR(aurora_data!O2056,0)</f>
        <v>0</v>
      </c>
      <c r="Q36" s="40">
        <f>IFERROR(aurora_data!P2056,0)</f>
        <v>0</v>
      </c>
      <c r="R36" s="41">
        <f>IFERROR(aurora_data!Q2056,0)</f>
        <v>0</v>
      </c>
      <c r="S36" s="40">
        <f>IFERROR(aurora_data!R2056,0)</f>
        <v>0</v>
      </c>
      <c r="T36" s="40">
        <f>IFERROR(aurora_data!S2056,0)</f>
        <v>0</v>
      </c>
      <c r="U36" s="76">
        <f>IFERROR(aurora_data!T2056,0)</f>
        <v>0</v>
      </c>
      <c r="V36" s="61" t="s">
        <v>95</v>
      </c>
      <c r="W36" s="39">
        <f>IFERROR(aurora_data!U2056,0)</f>
        <v>5</v>
      </c>
      <c r="X36" s="70">
        <f>IFERROR(W36/$W$12,0)</f>
        <v>1.25</v>
      </c>
      <c r="Y36" s="2"/>
    </row>
    <row r="37" spans="1:25" customFormat="1">
      <c r="A37" s="2"/>
      <c r="B37" s="211"/>
      <c r="C37" s="213"/>
      <c r="D37" s="35" t="s">
        <v>96</v>
      </c>
      <c r="E37" s="110">
        <f>IFERROR(aurora_data!D2057,0)</f>
        <v>0</v>
      </c>
      <c r="F37" s="62">
        <f>IFERROR(aurora_data!E2057,0)</f>
        <v>0</v>
      </c>
      <c r="G37" s="62">
        <f>IFERROR(aurora_data!F2057,0)</f>
        <v>0</v>
      </c>
      <c r="H37" s="62">
        <f>IFERROR(aurora_data!G2057,0)</f>
        <v>0</v>
      </c>
      <c r="I37" s="63">
        <f>IFERROR(aurora_data!H2057,0)</f>
        <v>0</v>
      </c>
      <c r="J37" s="36">
        <f>IFERROR(aurora_data!I2057,0)</f>
        <v>0</v>
      </c>
      <c r="K37" s="62">
        <f>IFERROR(aurora_data!J2057,0)</f>
        <v>0</v>
      </c>
      <c r="L37" s="62">
        <f>IFERROR(aurora_data!K2057,0)</f>
        <v>0</v>
      </c>
      <c r="M37" s="62">
        <f>IFERROR(aurora_data!L2057,0)</f>
        <v>0</v>
      </c>
      <c r="N37" s="63">
        <f>IFERROR(aurora_data!M2057,0)</f>
        <v>0</v>
      </c>
      <c r="O37" s="36">
        <f>IFERROR(aurora_data!N2057,0)</f>
        <v>0</v>
      </c>
      <c r="P37" s="62">
        <f>IFERROR(aurora_data!O2057,0)</f>
        <v>0</v>
      </c>
      <c r="Q37" s="62">
        <f>IFERROR(aurora_data!P2057,0)</f>
        <v>0</v>
      </c>
      <c r="R37" s="63">
        <f>IFERROR(aurora_data!Q2057,0)</f>
        <v>0</v>
      </c>
      <c r="S37" s="62">
        <f>IFERROR(aurora_data!R2057,0)</f>
        <v>0</v>
      </c>
      <c r="T37" s="62">
        <f>IFERROR(aurora_data!S2057,0)</f>
        <v>0</v>
      </c>
      <c r="U37" s="63">
        <f>IFERROR(aurora_data!T2057,0)</f>
        <v>0</v>
      </c>
      <c r="V37" s="64" t="s">
        <v>95</v>
      </c>
      <c r="W37" s="36">
        <f>IFERROR(aurora_data!U2057,0)</f>
        <v>0</v>
      </c>
      <c r="X37" s="71">
        <f t="shared" ref="X37:X43" si="3">IFERROR(W37/$W$12,0)</f>
        <v>0</v>
      </c>
      <c r="Y37" s="2"/>
    </row>
    <row r="38" spans="1:25" customFormat="1">
      <c r="A38" s="2"/>
      <c r="B38" s="211"/>
      <c r="C38" s="213"/>
      <c r="D38" s="35" t="s">
        <v>60</v>
      </c>
      <c r="E38" s="110">
        <f>IFERROR(aurora_data!D2058,0)</f>
        <v>0</v>
      </c>
      <c r="F38" s="62">
        <f>IFERROR(aurora_data!E2058,0)</f>
        <v>0</v>
      </c>
      <c r="G38" s="62">
        <f>IFERROR(aurora_data!F2058,0)</f>
        <v>0</v>
      </c>
      <c r="H38" s="62">
        <f>IFERROR(aurora_data!G2058,0)</f>
        <v>0</v>
      </c>
      <c r="I38" s="63">
        <f>IFERROR(aurora_data!H2058,0)</f>
        <v>0</v>
      </c>
      <c r="J38" s="36">
        <f>IFERROR(aurora_data!I2058,0)</f>
        <v>0</v>
      </c>
      <c r="K38" s="62">
        <f>IFERROR(aurora_data!J2058,0)</f>
        <v>0</v>
      </c>
      <c r="L38" s="62">
        <f>IFERROR(aurora_data!K2058,0)</f>
        <v>0</v>
      </c>
      <c r="M38" s="62">
        <f>IFERROR(aurora_data!L2058,0)</f>
        <v>0</v>
      </c>
      <c r="N38" s="63">
        <f>IFERROR(aurora_data!M2058,0)</f>
        <v>0</v>
      </c>
      <c r="O38" s="36">
        <f>IFERROR(aurora_data!N2058,0)</f>
        <v>0</v>
      </c>
      <c r="P38" s="62">
        <f>IFERROR(aurora_data!O2058,0)</f>
        <v>0</v>
      </c>
      <c r="Q38" s="62">
        <f>IFERROR(aurora_data!P2058,0)</f>
        <v>0</v>
      </c>
      <c r="R38" s="63">
        <f>IFERROR(aurora_data!Q2058,0)</f>
        <v>0</v>
      </c>
      <c r="S38" s="62">
        <f>IFERROR(aurora_data!R2058,0)</f>
        <v>0</v>
      </c>
      <c r="T38" s="62">
        <f>IFERROR(aurora_data!S2058,0)</f>
        <v>0</v>
      </c>
      <c r="U38" s="63">
        <f>IFERROR(aurora_data!T2058,0)</f>
        <v>0</v>
      </c>
      <c r="V38" s="64" t="s">
        <v>95</v>
      </c>
      <c r="W38" s="36">
        <f>IFERROR(aurora_data!U2058,0)</f>
        <v>0</v>
      </c>
      <c r="X38" s="71">
        <f t="shared" si="3"/>
        <v>0</v>
      </c>
      <c r="Y38" s="2"/>
    </row>
    <row r="39" spans="1:25" customFormat="1">
      <c r="A39" s="2"/>
      <c r="B39" s="211"/>
      <c r="C39" s="213"/>
      <c r="D39" s="35" t="s">
        <v>97</v>
      </c>
      <c r="E39" s="36">
        <f>IFERROR(aurora_data!D2059,0)</f>
        <v>0</v>
      </c>
      <c r="F39" s="62">
        <f>IFERROR(aurora_data!E2059,0)</f>
        <v>0</v>
      </c>
      <c r="G39" s="62">
        <f>IFERROR(aurora_data!F2059,0)</f>
        <v>0</v>
      </c>
      <c r="H39" s="62">
        <f>IFERROR(aurora_data!G2059,0)</f>
        <v>0</v>
      </c>
      <c r="I39" s="63">
        <f>IFERROR(aurora_data!H2059,0)</f>
        <v>0</v>
      </c>
      <c r="J39" s="36">
        <f>IFERROR(aurora_data!I2059,0)</f>
        <v>0</v>
      </c>
      <c r="K39" s="62">
        <f>IFERROR(aurora_data!J2059,0)</f>
        <v>0</v>
      </c>
      <c r="L39" s="62">
        <f>IFERROR(aurora_data!K2059,0)</f>
        <v>0</v>
      </c>
      <c r="M39" s="62">
        <f>IFERROR(aurora_data!L2059,0)</f>
        <v>0</v>
      </c>
      <c r="N39" s="63">
        <f>IFERROR(aurora_data!M2059,0)</f>
        <v>0</v>
      </c>
      <c r="O39" s="36">
        <f>IFERROR(aurora_data!N2059,0)</f>
        <v>0</v>
      </c>
      <c r="P39" s="62">
        <f>IFERROR(aurora_data!O2059,0)</f>
        <v>0</v>
      </c>
      <c r="Q39" s="62">
        <f>IFERROR(aurora_data!P2059,0)</f>
        <v>0</v>
      </c>
      <c r="R39" s="63">
        <f>IFERROR(aurora_data!Q2059,0)</f>
        <v>0</v>
      </c>
      <c r="S39" s="62">
        <f>IFERROR(aurora_data!R2059,0)</f>
        <v>0</v>
      </c>
      <c r="T39" s="62">
        <f>IFERROR(aurora_data!S2059,0)</f>
        <v>0</v>
      </c>
      <c r="U39" s="63">
        <f>IFERROR(aurora_data!T2059,0)</f>
        <v>0</v>
      </c>
      <c r="V39" s="64" t="s">
        <v>95</v>
      </c>
      <c r="W39" s="36">
        <f>IFERROR(aurora_data!U2059,0)</f>
        <v>0</v>
      </c>
      <c r="X39" s="71">
        <f t="shared" si="3"/>
        <v>0</v>
      </c>
      <c r="Y39" s="2"/>
    </row>
    <row r="40" spans="1:25" customFormat="1">
      <c r="A40" s="2"/>
      <c r="B40" s="211"/>
      <c r="C40" s="213"/>
      <c r="D40" s="35" t="s">
        <v>98</v>
      </c>
      <c r="E40" s="36">
        <f>IFERROR(aurora_data!D2060,0)</f>
        <v>0</v>
      </c>
      <c r="F40" s="62">
        <f>IFERROR(aurora_data!E2060,0)</f>
        <v>0</v>
      </c>
      <c r="G40" s="62">
        <f>IFERROR(aurora_data!F2060,0)</f>
        <v>0</v>
      </c>
      <c r="H40" s="62">
        <f>IFERROR(aurora_data!G2060,0)</f>
        <v>0</v>
      </c>
      <c r="I40" s="63">
        <f>IFERROR(aurora_data!H2060,0)</f>
        <v>0</v>
      </c>
      <c r="J40" s="36">
        <f>IFERROR(aurora_data!I2060,0)</f>
        <v>0</v>
      </c>
      <c r="K40" s="62">
        <f>IFERROR(aurora_data!J2060,0)</f>
        <v>0</v>
      </c>
      <c r="L40" s="62">
        <f>IFERROR(aurora_data!K2060,0)</f>
        <v>0</v>
      </c>
      <c r="M40" s="62">
        <f>IFERROR(aurora_data!L2060,0)</f>
        <v>0</v>
      </c>
      <c r="N40" s="63">
        <f>IFERROR(aurora_data!M2060,0)</f>
        <v>0</v>
      </c>
      <c r="O40" s="36">
        <f>IFERROR(aurora_data!N2060,0)</f>
        <v>0</v>
      </c>
      <c r="P40" s="62">
        <f>IFERROR(aurora_data!O2060,0)</f>
        <v>0</v>
      </c>
      <c r="Q40" s="62">
        <f>IFERROR(aurora_data!P2060,0)</f>
        <v>0</v>
      </c>
      <c r="R40" s="63">
        <f>IFERROR(aurora_data!Q2060,0)</f>
        <v>0</v>
      </c>
      <c r="S40" s="62">
        <f>IFERROR(aurora_data!R2060,0)</f>
        <v>0</v>
      </c>
      <c r="T40" s="62">
        <f>IFERROR(aurora_data!S2060,0)</f>
        <v>0</v>
      </c>
      <c r="U40" s="63">
        <f>IFERROR(aurora_data!T2060,0)</f>
        <v>0</v>
      </c>
      <c r="V40" s="64" t="s">
        <v>95</v>
      </c>
      <c r="W40" s="36">
        <f>IFERROR(aurora_data!U2060,0)</f>
        <v>0</v>
      </c>
      <c r="X40" s="71">
        <f t="shared" si="3"/>
        <v>0</v>
      </c>
      <c r="Y40" s="2"/>
    </row>
    <row r="41" spans="1:25" customFormat="1" ht="16.5" thickBot="1">
      <c r="A41" s="2"/>
      <c r="B41" s="211"/>
      <c r="C41" s="213"/>
      <c r="D41" s="35" t="s">
        <v>99</v>
      </c>
      <c r="E41" s="36">
        <f>IFERROR(aurora_data!D2061,0)</f>
        <v>0</v>
      </c>
      <c r="F41" s="62">
        <f>IFERROR(aurora_data!E2061,0)</f>
        <v>0</v>
      </c>
      <c r="G41" s="62">
        <f>IFERROR(aurora_data!F2061,0)</f>
        <v>0</v>
      </c>
      <c r="H41" s="62">
        <f>IFERROR(aurora_data!G2061,0)</f>
        <v>0</v>
      </c>
      <c r="I41" s="63">
        <f>IFERROR(aurora_data!H2061,0)</f>
        <v>0</v>
      </c>
      <c r="J41" s="36">
        <f>IFERROR(aurora_data!I2061,0)</f>
        <v>0</v>
      </c>
      <c r="K41" s="62">
        <f>IFERROR(aurora_data!J2061,0)</f>
        <v>0</v>
      </c>
      <c r="L41" s="62">
        <f>IFERROR(aurora_data!K2061,0)</f>
        <v>0</v>
      </c>
      <c r="M41" s="62">
        <f>IFERROR(aurora_data!L2061,0)</f>
        <v>0</v>
      </c>
      <c r="N41" s="63">
        <f>IFERROR(aurora_data!M2061,0)</f>
        <v>0</v>
      </c>
      <c r="O41" s="36">
        <f>IFERROR(aurora_data!N2061,0)</f>
        <v>0</v>
      </c>
      <c r="P41" s="62">
        <f>IFERROR(aurora_data!O2061,0)</f>
        <v>0</v>
      </c>
      <c r="Q41" s="62">
        <f>IFERROR(aurora_data!P2061,0)</f>
        <v>0</v>
      </c>
      <c r="R41" s="63">
        <f>IFERROR(aurora_data!Q2061,0)</f>
        <v>0</v>
      </c>
      <c r="S41" s="62">
        <f>IFERROR(aurora_data!R2061,0)</f>
        <v>0</v>
      </c>
      <c r="T41" s="62">
        <f>IFERROR(aurora_data!S2061,0)</f>
        <v>0</v>
      </c>
      <c r="U41" s="63">
        <f>IFERROR(aurora_data!T2061,0)</f>
        <v>0</v>
      </c>
      <c r="V41" s="64" t="s">
        <v>95</v>
      </c>
      <c r="W41" s="36">
        <f>IFERROR(aurora_data!U2061,0)</f>
        <v>0</v>
      </c>
      <c r="X41" s="71">
        <f t="shared" si="3"/>
        <v>0</v>
      </c>
      <c r="Y41" s="2"/>
    </row>
    <row r="42" spans="1:25" customFormat="1" ht="16.5" thickBot="1">
      <c r="A42" s="2"/>
      <c r="B42" s="211"/>
      <c r="C42" s="213"/>
      <c r="D42" s="37" t="s">
        <v>64</v>
      </c>
      <c r="E42" s="59">
        <f>IFERROR(aurora_data!D2062,0)</f>
        <v>0</v>
      </c>
      <c r="F42" s="65">
        <f>IFERROR(aurora_data!E2062,0)</f>
        <v>0</v>
      </c>
      <c r="G42" s="65">
        <f>IFERROR(aurora_data!F2062,0)</f>
        <v>0</v>
      </c>
      <c r="H42" s="65">
        <f>IFERROR(aurora_data!G2062,0)</f>
        <v>0</v>
      </c>
      <c r="I42" s="66">
        <f>IFERROR(aurora_data!H2062,0)</f>
        <v>0</v>
      </c>
      <c r="J42" s="59">
        <f>IFERROR(aurora_data!I2062,0)</f>
        <v>0</v>
      </c>
      <c r="K42" s="65">
        <f>IFERROR(aurora_data!J2062,0)</f>
        <v>0</v>
      </c>
      <c r="L42" s="65">
        <f>IFERROR(aurora_data!K2062,0)</f>
        <v>0</v>
      </c>
      <c r="M42" s="65">
        <f>IFERROR(aurora_data!L2062,0)</f>
        <v>0</v>
      </c>
      <c r="N42" s="66">
        <f>IFERROR(aurora_data!M2062,0)</f>
        <v>0</v>
      </c>
      <c r="O42" s="59">
        <f>IFERROR(aurora_data!N2062,0)</f>
        <v>0</v>
      </c>
      <c r="P42" s="65">
        <f>IFERROR(aurora_data!O2062,0)</f>
        <v>0</v>
      </c>
      <c r="Q42" s="65">
        <f>IFERROR(aurora_data!P2062,0)</f>
        <v>0</v>
      </c>
      <c r="R42" s="66">
        <f>IFERROR(aurora_data!Q2062,0)</f>
        <v>0</v>
      </c>
      <c r="S42" s="65">
        <f>IFERROR(aurora_data!R2062,0)</f>
        <v>0</v>
      </c>
      <c r="T42" s="65">
        <f>IFERROR(aurora_data!S2062,0)</f>
        <v>0</v>
      </c>
      <c r="U42" s="66">
        <f>IFERROR(aurora_data!T2062,0)</f>
        <v>0</v>
      </c>
      <c r="V42" s="67" t="s">
        <v>95</v>
      </c>
      <c r="W42" s="59">
        <f>IFERROR(aurora_data!U2062,0)</f>
        <v>0</v>
      </c>
      <c r="X42" s="72">
        <f t="shared" si="3"/>
        <v>0</v>
      </c>
      <c r="Y42" s="2"/>
    </row>
    <row r="43" spans="1:25" customFormat="1" ht="16.5" thickBot="1">
      <c r="A43" s="2"/>
      <c r="B43" s="211"/>
      <c r="C43" s="213"/>
      <c r="D43" s="38" t="s">
        <v>100</v>
      </c>
      <c r="E43" s="60">
        <f>IFERROR(aurora_data!D2063,0)</f>
        <v>0</v>
      </c>
      <c r="F43" s="68">
        <f>IFERROR(aurora_data!E2063,0)</f>
        <v>0</v>
      </c>
      <c r="G43" s="68">
        <f>IFERROR(aurora_data!F2063,0)</f>
        <v>0</v>
      </c>
      <c r="H43" s="68">
        <f>IFERROR(aurora_data!G2063,0)</f>
        <v>0</v>
      </c>
      <c r="I43" s="69">
        <f>IFERROR(aurora_data!H2063,0)</f>
        <v>0</v>
      </c>
      <c r="J43" s="60">
        <f>IFERROR(aurora_data!I2063,0)</f>
        <v>0</v>
      </c>
      <c r="K43" s="68">
        <f>IFERROR(aurora_data!J2063,0)</f>
        <v>0</v>
      </c>
      <c r="L43" s="68">
        <f>IFERROR(aurora_data!K2063,0)</f>
        <v>0</v>
      </c>
      <c r="M43" s="68">
        <f>IFERROR(aurora_data!L2063,0)</f>
        <v>0</v>
      </c>
      <c r="N43" s="69">
        <f>IFERROR(aurora_data!M2063,0)</f>
        <v>0</v>
      </c>
      <c r="O43" s="60">
        <f>IFERROR(aurora_data!N2063,0)</f>
        <v>0</v>
      </c>
      <c r="P43" s="68">
        <f>IFERROR(aurora_data!O2063,0)</f>
        <v>0</v>
      </c>
      <c r="Q43" s="68">
        <f>IFERROR(aurora_data!P2063,0)</f>
        <v>0</v>
      </c>
      <c r="R43" s="69">
        <f>IFERROR(aurora_data!Q2063,0)</f>
        <v>0</v>
      </c>
      <c r="S43" s="68">
        <f>IFERROR(aurora_data!R2063,0)</f>
        <v>0</v>
      </c>
      <c r="T43" s="68">
        <f>IFERROR(aurora_data!S2063,0)</f>
        <v>0</v>
      </c>
      <c r="U43" s="74">
        <f>IFERROR(aurora_data!T2063,0)</f>
        <v>0</v>
      </c>
      <c r="V43" s="75" t="s">
        <v>95</v>
      </c>
      <c r="W43" s="60">
        <f>IFERROR(aurora_data!U2063,0)</f>
        <v>0</v>
      </c>
      <c r="X43" s="73">
        <f t="shared" si="3"/>
        <v>0</v>
      </c>
      <c r="Y43" s="2"/>
    </row>
    <row r="44" spans="1:25" customFormat="1">
      <c r="A44" s="2"/>
      <c r="B44" s="210" t="s">
        <v>94</v>
      </c>
      <c r="C44" s="212" t="str">
        <f>aurora_data!A2064</f>
        <v>10.00.00-10.11.30</v>
      </c>
      <c r="D44" s="34" t="s">
        <v>71</v>
      </c>
      <c r="E44" s="39">
        <f>IFERROR(aurora_data!D2064,0)</f>
        <v>0</v>
      </c>
      <c r="F44" s="40">
        <f>IFERROR(aurora_data!E2064,0)</f>
        <v>0</v>
      </c>
      <c r="G44" s="40">
        <f>IFERROR(aurora_data!F2064,0)</f>
        <v>0</v>
      </c>
      <c r="H44" s="40">
        <f>IFERROR(aurora_data!G2064,0)</f>
        <v>0</v>
      </c>
      <c r="I44" s="41">
        <f>IFERROR(aurora_data!H2064,0)</f>
        <v>0</v>
      </c>
      <c r="J44" s="39">
        <f>IFERROR(aurora_data!I2064,0)</f>
        <v>0</v>
      </c>
      <c r="K44" s="40">
        <f>IFERROR(aurora_data!J2064,0)</f>
        <v>0</v>
      </c>
      <c r="L44" s="40">
        <f>IFERROR(aurora_data!K2064,0)</f>
        <v>0</v>
      </c>
      <c r="M44" s="40">
        <f>IFERROR(aurora_data!L2064,0)</f>
        <v>0</v>
      </c>
      <c r="N44" s="41">
        <f>IFERROR(aurora_data!M2064,0)</f>
        <v>0</v>
      </c>
      <c r="O44" s="39">
        <f>IFERROR(aurora_data!N2064,0)</f>
        <v>0</v>
      </c>
      <c r="P44" s="40">
        <f>IFERROR(aurora_data!O2064,0)</f>
        <v>0</v>
      </c>
      <c r="Q44" s="40">
        <f>IFERROR(aurora_data!P2064,0)</f>
        <v>0</v>
      </c>
      <c r="R44" s="41">
        <f>IFERROR(aurora_data!Q2064,0)</f>
        <v>0</v>
      </c>
      <c r="S44" s="40">
        <f>IFERROR(aurora_data!R2064,0)</f>
        <v>0</v>
      </c>
      <c r="T44" s="40">
        <f>IFERROR(aurora_data!S2064,0)</f>
        <v>0</v>
      </c>
      <c r="U44" s="76">
        <f>IFERROR(aurora_data!T2064,0)</f>
        <v>0</v>
      </c>
      <c r="V44" s="61" t="s">
        <v>95</v>
      </c>
      <c r="W44" s="39">
        <f>IFERROR(aurora_data!U2064,0)</f>
        <v>5</v>
      </c>
      <c r="X44" s="70">
        <f>IFERROR(W44/$W$12,0)</f>
        <v>1.25</v>
      </c>
      <c r="Y44" s="2"/>
    </row>
    <row r="45" spans="1:25" customFormat="1">
      <c r="A45" s="2"/>
      <c r="B45" s="211"/>
      <c r="C45" s="213"/>
      <c r="D45" s="35" t="s">
        <v>96</v>
      </c>
      <c r="E45" s="110">
        <f>IFERROR(aurora_data!D2065,0)</f>
        <v>0</v>
      </c>
      <c r="F45" s="62">
        <f>IFERROR(aurora_data!E2065,0)</f>
        <v>0</v>
      </c>
      <c r="G45" s="62">
        <f>IFERROR(aurora_data!F2065,0)</f>
        <v>0</v>
      </c>
      <c r="H45" s="62">
        <f>IFERROR(aurora_data!G2065,0)</f>
        <v>0</v>
      </c>
      <c r="I45" s="63">
        <f>IFERROR(aurora_data!H2065,0)</f>
        <v>2</v>
      </c>
      <c r="J45" s="36">
        <f>IFERROR(aurora_data!I2065,0)</f>
        <v>1</v>
      </c>
      <c r="K45" s="62">
        <f>IFERROR(aurora_data!J2065,0)</f>
        <v>0</v>
      </c>
      <c r="L45" s="62">
        <f>IFERROR(aurora_data!K2065,0)</f>
        <v>0</v>
      </c>
      <c r="M45" s="62">
        <f>IFERROR(aurora_data!L2065,0)</f>
        <v>1</v>
      </c>
      <c r="N45" s="63">
        <f>IFERROR(aurora_data!M2065,0)</f>
        <v>0</v>
      </c>
      <c r="O45" s="36">
        <f>IFERROR(aurora_data!N2065,0)</f>
        <v>2</v>
      </c>
      <c r="P45" s="62">
        <f>IFERROR(aurora_data!O2065,0)</f>
        <v>0</v>
      </c>
      <c r="Q45" s="62">
        <f>IFERROR(aurora_data!P2065,0)</f>
        <v>0</v>
      </c>
      <c r="R45" s="63">
        <f>IFERROR(aurora_data!Q2065,0)</f>
        <v>0</v>
      </c>
      <c r="S45" s="62">
        <f>IFERROR(aurora_data!R2065,0)</f>
        <v>0</v>
      </c>
      <c r="T45" s="62">
        <f>IFERROR(aurora_data!S2065,0)</f>
        <v>2</v>
      </c>
      <c r="U45" s="63">
        <f>IFERROR(aurora_data!T2065,0)</f>
        <v>0</v>
      </c>
      <c r="V45" s="64" t="s">
        <v>95</v>
      </c>
      <c r="W45" s="36">
        <f>IFERROR(aurora_data!U2065,0)</f>
        <v>2</v>
      </c>
      <c r="X45" s="71">
        <f t="shared" ref="X45:X51" si="4">IFERROR(W45/$W$12,0)</f>
        <v>0.5</v>
      </c>
      <c r="Y45" s="2"/>
    </row>
    <row r="46" spans="1:25" customFormat="1">
      <c r="A46" s="2"/>
      <c r="B46" s="211"/>
      <c r="C46" s="213"/>
      <c r="D46" s="35" t="s">
        <v>60</v>
      </c>
      <c r="E46" s="110">
        <f>IFERROR(aurora_data!D2066,0)</f>
        <v>0</v>
      </c>
      <c r="F46" s="62">
        <f>IFERROR(aurora_data!E2066,0)</f>
        <v>0</v>
      </c>
      <c r="G46" s="62">
        <f>IFERROR(aurora_data!F2066,0)</f>
        <v>0</v>
      </c>
      <c r="H46" s="62">
        <f>IFERROR(aurora_data!G2066,0)</f>
        <v>0</v>
      </c>
      <c r="I46" s="63">
        <f>IFERROR(aurora_data!H2066,0)</f>
        <v>0</v>
      </c>
      <c r="J46" s="36">
        <f>IFERROR(aurora_data!I2066,0)</f>
        <v>0</v>
      </c>
      <c r="K46" s="62">
        <f>IFERROR(aurora_data!J2066,0)</f>
        <v>0</v>
      </c>
      <c r="L46" s="62">
        <f>IFERROR(aurora_data!K2066,0)</f>
        <v>0</v>
      </c>
      <c r="M46" s="62">
        <f>IFERROR(aurora_data!L2066,0)</f>
        <v>0</v>
      </c>
      <c r="N46" s="63">
        <f>IFERROR(aurora_data!M2066,0)</f>
        <v>0</v>
      </c>
      <c r="O46" s="36">
        <f>IFERROR(aurora_data!N2066,0)</f>
        <v>0</v>
      </c>
      <c r="P46" s="62">
        <f>IFERROR(aurora_data!O2066,0)</f>
        <v>0</v>
      </c>
      <c r="Q46" s="62">
        <f>IFERROR(aurora_data!P2066,0)</f>
        <v>0</v>
      </c>
      <c r="R46" s="63">
        <f>IFERROR(aurora_data!Q2066,0)</f>
        <v>0</v>
      </c>
      <c r="S46" s="62">
        <f>IFERROR(aurora_data!R2066,0)</f>
        <v>0</v>
      </c>
      <c r="T46" s="62">
        <f>IFERROR(aurora_data!S2066,0)</f>
        <v>0</v>
      </c>
      <c r="U46" s="63">
        <f>IFERROR(aurora_data!T2066,0)</f>
        <v>0</v>
      </c>
      <c r="V46" s="64" t="s">
        <v>95</v>
      </c>
      <c r="W46" s="36">
        <f>IFERROR(aurora_data!U2066,0)</f>
        <v>0</v>
      </c>
      <c r="X46" s="71">
        <f t="shared" si="4"/>
        <v>0</v>
      </c>
      <c r="Y46" s="2"/>
    </row>
    <row r="47" spans="1:25" customFormat="1">
      <c r="A47" s="2"/>
      <c r="B47" s="211"/>
      <c r="C47" s="213"/>
      <c r="D47" s="35" t="s">
        <v>97</v>
      </c>
      <c r="E47" s="36">
        <f>IFERROR(aurora_data!D2067,0)</f>
        <v>0</v>
      </c>
      <c r="F47" s="62">
        <f>IFERROR(aurora_data!E2067,0)</f>
        <v>0</v>
      </c>
      <c r="G47" s="62">
        <f>IFERROR(aurora_data!F2067,0)</f>
        <v>0</v>
      </c>
      <c r="H47" s="62">
        <f>IFERROR(aurora_data!G2067,0)</f>
        <v>0</v>
      </c>
      <c r="I47" s="63">
        <f>IFERROR(aurora_data!H2067,0)</f>
        <v>0</v>
      </c>
      <c r="J47" s="36">
        <f>IFERROR(aurora_data!I2067,0)</f>
        <v>0</v>
      </c>
      <c r="K47" s="62">
        <f>IFERROR(aurora_data!J2067,0)</f>
        <v>0</v>
      </c>
      <c r="L47" s="62">
        <f>IFERROR(aurora_data!K2067,0)</f>
        <v>0</v>
      </c>
      <c r="M47" s="62">
        <f>IFERROR(aurora_data!L2067,0)</f>
        <v>0</v>
      </c>
      <c r="N47" s="63">
        <f>IFERROR(aurora_data!M2067,0)</f>
        <v>0</v>
      </c>
      <c r="O47" s="36">
        <f>IFERROR(aurora_data!N2067,0)</f>
        <v>0</v>
      </c>
      <c r="P47" s="62">
        <f>IFERROR(aurora_data!O2067,0)</f>
        <v>0</v>
      </c>
      <c r="Q47" s="62">
        <f>IFERROR(aurora_data!P2067,0)</f>
        <v>0</v>
      </c>
      <c r="R47" s="63">
        <f>IFERROR(aurora_data!Q2067,0)</f>
        <v>0</v>
      </c>
      <c r="S47" s="62">
        <f>IFERROR(aurora_data!R2067,0)</f>
        <v>0</v>
      </c>
      <c r="T47" s="62">
        <f>IFERROR(aurora_data!S2067,0)</f>
        <v>0</v>
      </c>
      <c r="U47" s="63">
        <f>IFERROR(aurora_data!T2067,0)</f>
        <v>0</v>
      </c>
      <c r="V47" s="64" t="s">
        <v>95</v>
      </c>
      <c r="W47" s="36">
        <f>IFERROR(aurora_data!U2067,0)</f>
        <v>0</v>
      </c>
      <c r="X47" s="71">
        <f t="shared" si="4"/>
        <v>0</v>
      </c>
      <c r="Y47" s="2"/>
    </row>
    <row r="48" spans="1:25" customFormat="1">
      <c r="A48" s="2"/>
      <c r="B48" s="211"/>
      <c r="C48" s="213"/>
      <c r="D48" s="35" t="s">
        <v>98</v>
      </c>
      <c r="E48" s="36">
        <f>IFERROR(aurora_data!D2068,0)</f>
        <v>0</v>
      </c>
      <c r="F48" s="62">
        <f>IFERROR(aurora_data!E2068,0)</f>
        <v>0</v>
      </c>
      <c r="G48" s="62">
        <f>IFERROR(aurora_data!F2068,0)</f>
        <v>0</v>
      </c>
      <c r="H48" s="62">
        <f>IFERROR(aurora_data!G2068,0)</f>
        <v>0</v>
      </c>
      <c r="I48" s="63">
        <f>IFERROR(aurora_data!H2068,0)</f>
        <v>0</v>
      </c>
      <c r="J48" s="36">
        <f>IFERROR(aurora_data!I2068,0)</f>
        <v>0</v>
      </c>
      <c r="K48" s="62">
        <f>IFERROR(aurora_data!J2068,0)</f>
        <v>0</v>
      </c>
      <c r="L48" s="62">
        <f>IFERROR(aurora_data!K2068,0)</f>
        <v>0</v>
      </c>
      <c r="M48" s="62">
        <f>IFERROR(aurora_data!L2068,0)</f>
        <v>0</v>
      </c>
      <c r="N48" s="63">
        <f>IFERROR(aurora_data!M2068,0)</f>
        <v>0</v>
      </c>
      <c r="O48" s="36">
        <f>IFERROR(aurora_data!N2068,0)</f>
        <v>0</v>
      </c>
      <c r="P48" s="62">
        <f>IFERROR(aurora_data!O2068,0)</f>
        <v>0</v>
      </c>
      <c r="Q48" s="62">
        <f>IFERROR(aurora_data!P2068,0)</f>
        <v>0</v>
      </c>
      <c r="R48" s="63">
        <f>IFERROR(aurora_data!Q2068,0)</f>
        <v>0</v>
      </c>
      <c r="S48" s="62">
        <f>IFERROR(aurora_data!R2068,0)</f>
        <v>0</v>
      </c>
      <c r="T48" s="62">
        <f>IFERROR(aurora_data!S2068,0)</f>
        <v>0</v>
      </c>
      <c r="U48" s="63">
        <f>IFERROR(aurora_data!T2068,0)</f>
        <v>0</v>
      </c>
      <c r="V48" s="64" t="s">
        <v>95</v>
      </c>
      <c r="W48" s="36">
        <f>IFERROR(aurora_data!U2068,0)</f>
        <v>0</v>
      </c>
      <c r="X48" s="71">
        <f t="shared" si="4"/>
        <v>0</v>
      </c>
      <c r="Y48" s="2"/>
    </row>
    <row r="49" spans="1:25" customFormat="1" ht="16.5" thickBot="1">
      <c r="A49" s="2"/>
      <c r="B49" s="211"/>
      <c r="C49" s="213"/>
      <c r="D49" s="35" t="s">
        <v>99</v>
      </c>
      <c r="E49" s="36">
        <f>IFERROR(aurora_data!D2069,0)</f>
        <v>0</v>
      </c>
      <c r="F49" s="62">
        <f>IFERROR(aurora_data!E2069,0)</f>
        <v>0</v>
      </c>
      <c r="G49" s="62">
        <f>IFERROR(aurora_data!F2069,0)</f>
        <v>0</v>
      </c>
      <c r="H49" s="62">
        <f>IFERROR(aurora_data!G2069,0)</f>
        <v>0</v>
      </c>
      <c r="I49" s="63">
        <f>IFERROR(aurora_data!H2069,0)</f>
        <v>0</v>
      </c>
      <c r="J49" s="36">
        <f>IFERROR(aurora_data!I2069,0)</f>
        <v>0</v>
      </c>
      <c r="K49" s="62">
        <f>IFERROR(aurora_data!J2069,0)</f>
        <v>0</v>
      </c>
      <c r="L49" s="62">
        <f>IFERROR(aurora_data!K2069,0)</f>
        <v>0</v>
      </c>
      <c r="M49" s="62">
        <f>IFERROR(aurora_data!L2069,0)</f>
        <v>0</v>
      </c>
      <c r="N49" s="63">
        <f>IFERROR(aurora_data!M2069,0)</f>
        <v>0</v>
      </c>
      <c r="O49" s="36">
        <f>IFERROR(aurora_data!N2069,0)</f>
        <v>0</v>
      </c>
      <c r="P49" s="62">
        <f>IFERROR(aurora_data!O2069,0)</f>
        <v>0</v>
      </c>
      <c r="Q49" s="62">
        <f>IFERROR(aurora_data!P2069,0)</f>
        <v>0</v>
      </c>
      <c r="R49" s="63">
        <f>IFERROR(aurora_data!Q2069,0)</f>
        <v>0</v>
      </c>
      <c r="S49" s="62">
        <f>IFERROR(aurora_data!R2069,0)</f>
        <v>0</v>
      </c>
      <c r="T49" s="62">
        <f>IFERROR(aurora_data!S2069,0)</f>
        <v>0</v>
      </c>
      <c r="U49" s="63">
        <f>IFERROR(aurora_data!T2069,0)</f>
        <v>0</v>
      </c>
      <c r="V49" s="64" t="s">
        <v>95</v>
      </c>
      <c r="W49" s="36">
        <f>IFERROR(aurora_data!U2069,0)</f>
        <v>0</v>
      </c>
      <c r="X49" s="71">
        <f t="shared" si="4"/>
        <v>0</v>
      </c>
      <c r="Y49" s="2"/>
    </row>
    <row r="50" spans="1:25" customFormat="1" ht="16.5" thickBot="1">
      <c r="A50" s="2"/>
      <c r="B50" s="211"/>
      <c r="C50" s="213"/>
      <c r="D50" s="37" t="s">
        <v>64</v>
      </c>
      <c r="E50" s="59">
        <f>IFERROR(aurora_data!D2070,0)</f>
        <v>0</v>
      </c>
      <c r="F50" s="65">
        <f>IFERROR(aurora_data!E2070,0)</f>
        <v>0</v>
      </c>
      <c r="G50" s="65">
        <f>IFERROR(aurora_data!F2070,0)</f>
        <v>0</v>
      </c>
      <c r="H50" s="65">
        <f>IFERROR(aurora_data!G2070,0)</f>
        <v>0</v>
      </c>
      <c r="I50" s="66">
        <f>IFERROR(aurora_data!H2070,0)</f>
        <v>2</v>
      </c>
      <c r="J50" s="59">
        <f>IFERROR(aurora_data!I2070,0)</f>
        <v>1</v>
      </c>
      <c r="K50" s="65">
        <f>IFERROR(aurora_data!J2070,0)</f>
        <v>0</v>
      </c>
      <c r="L50" s="65">
        <f>IFERROR(aurora_data!K2070,0)</f>
        <v>0</v>
      </c>
      <c r="M50" s="65">
        <f>IFERROR(aurora_data!L2070,0)</f>
        <v>1</v>
      </c>
      <c r="N50" s="66">
        <f>IFERROR(aurora_data!M2070,0)</f>
        <v>0</v>
      </c>
      <c r="O50" s="59">
        <f>IFERROR(aurora_data!N2070,0)</f>
        <v>2</v>
      </c>
      <c r="P50" s="65">
        <f>IFERROR(aurora_data!O2070,0)</f>
        <v>0</v>
      </c>
      <c r="Q50" s="65">
        <f>IFERROR(aurora_data!P2070,0)</f>
        <v>0</v>
      </c>
      <c r="R50" s="66">
        <f>IFERROR(aurora_data!Q2070,0)</f>
        <v>0</v>
      </c>
      <c r="S50" s="65">
        <f>IFERROR(aurora_data!R2070,0)</f>
        <v>0</v>
      </c>
      <c r="T50" s="65">
        <f>IFERROR(aurora_data!S2070,0)</f>
        <v>2</v>
      </c>
      <c r="U50" s="66">
        <f>IFERROR(aurora_data!T2070,0)</f>
        <v>0</v>
      </c>
      <c r="V50" s="67" t="s">
        <v>95</v>
      </c>
      <c r="W50" s="59">
        <f>IFERROR(aurora_data!U2070,0)</f>
        <v>2</v>
      </c>
      <c r="X50" s="72">
        <f t="shared" si="4"/>
        <v>0.5</v>
      </c>
      <c r="Y50" s="2"/>
    </row>
    <row r="51" spans="1:25" customFormat="1" ht="16.5" thickBot="1">
      <c r="A51" s="2"/>
      <c r="B51" s="211"/>
      <c r="C51" s="213"/>
      <c r="D51" s="38" t="s">
        <v>100</v>
      </c>
      <c r="E51" s="60">
        <f>IFERROR(aurora_data!D2071,0)</f>
        <v>0</v>
      </c>
      <c r="F51" s="68">
        <f>IFERROR(aurora_data!E2071,0)</f>
        <v>0</v>
      </c>
      <c r="G51" s="68">
        <f>IFERROR(aurora_data!F2071,0)</f>
        <v>0</v>
      </c>
      <c r="H51" s="68">
        <f>IFERROR(aurora_data!G2071,0)</f>
        <v>0</v>
      </c>
      <c r="I51" s="69">
        <f>IFERROR(aurora_data!H2071,0)</f>
        <v>0</v>
      </c>
      <c r="J51" s="60">
        <f>IFERROR(aurora_data!I2071,0)</f>
        <v>0</v>
      </c>
      <c r="K51" s="68">
        <f>IFERROR(aurora_data!J2071,0)</f>
        <v>0</v>
      </c>
      <c r="L51" s="68">
        <f>IFERROR(aurora_data!K2071,0)</f>
        <v>0</v>
      </c>
      <c r="M51" s="68">
        <f>IFERROR(aurora_data!L2071,0)</f>
        <v>0</v>
      </c>
      <c r="N51" s="69">
        <f>IFERROR(aurora_data!M2071,0)</f>
        <v>0</v>
      </c>
      <c r="O51" s="60">
        <f>IFERROR(aurora_data!N2071,0)</f>
        <v>0</v>
      </c>
      <c r="P51" s="68">
        <f>IFERROR(aurora_data!O2071,0)</f>
        <v>0</v>
      </c>
      <c r="Q51" s="68">
        <f>IFERROR(aurora_data!P2071,0)</f>
        <v>0</v>
      </c>
      <c r="R51" s="69">
        <f>IFERROR(aurora_data!Q2071,0)</f>
        <v>0</v>
      </c>
      <c r="S51" s="68">
        <f>IFERROR(aurora_data!R2071,0)</f>
        <v>0</v>
      </c>
      <c r="T51" s="68">
        <f>IFERROR(aurora_data!S2071,0)</f>
        <v>0</v>
      </c>
      <c r="U51" s="74">
        <f>IFERROR(aurora_data!T2071,0)</f>
        <v>0</v>
      </c>
      <c r="V51" s="75" t="s">
        <v>95</v>
      </c>
      <c r="W51" s="60">
        <f>IFERROR(aurora_data!U2071,0)</f>
        <v>0</v>
      </c>
      <c r="X51" s="73">
        <f t="shared" si="4"/>
        <v>0</v>
      </c>
      <c r="Y51" s="2"/>
    </row>
    <row r="52" spans="1:25" customFormat="1">
      <c r="A52" s="2"/>
      <c r="B52" s="210" t="s">
        <v>94</v>
      </c>
      <c r="C52" s="212" t="str">
        <f>aurora_data!A2072</f>
        <v>11.00.00-11.11.30</v>
      </c>
      <c r="D52" s="34" t="s">
        <v>71</v>
      </c>
      <c r="E52" s="39">
        <f>IFERROR(aurora_data!D2072,0)</f>
        <v>0</v>
      </c>
      <c r="F52" s="40">
        <f>IFERROR(aurora_data!E2072,0)</f>
        <v>0</v>
      </c>
      <c r="G52" s="40">
        <f>IFERROR(aurora_data!F2072,0)</f>
        <v>0</v>
      </c>
      <c r="H52" s="40">
        <f>IFERROR(aurora_data!G2072,0)</f>
        <v>0</v>
      </c>
      <c r="I52" s="41">
        <f>IFERROR(aurora_data!H2072,0)</f>
        <v>0</v>
      </c>
      <c r="J52" s="39">
        <f>IFERROR(aurora_data!I2072,0)</f>
        <v>0</v>
      </c>
      <c r="K52" s="40">
        <f>IFERROR(aurora_data!J2072,0)</f>
        <v>0</v>
      </c>
      <c r="L52" s="40">
        <f>IFERROR(aurora_data!K2072,0)</f>
        <v>0</v>
      </c>
      <c r="M52" s="40">
        <f>IFERROR(aurora_data!L2072,0)</f>
        <v>0</v>
      </c>
      <c r="N52" s="41">
        <f>IFERROR(aurora_data!M2072,0)</f>
        <v>0</v>
      </c>
      <c r="O52" s="39">
        <f>IFERROR(aurora_data!N2072,0)</f>
        <v>0</v>
      </c>
      <c r="P52" s="40">
        <f>IFERROR(aurora_data!O2072,0)</f>
        <v>0</v>
      </c>
      <c r="Q52" s="40">
        <f>IFERROR(aurora_data!P2072,0)</f>
        <v>0</v>
      </c>
      <c r="R52" s="41">
        <f>IFERROR(aurora_data!Q2072,0)</f>
        <v>0</v>
      </c>
      <c r="S52" s="40">
        <f>IFERROR(aurora_data!R2072,0)</f>
        <v>0</v>
      </c>
      <c r="T52" s="40">
        <f>IFERROR(aurora_data!S2072,0)</f>
        <v>0</v>
      </c>
      <c r="U52" s="76">
        <f>IFERROR(aurora_data!T2072,0)</f>
        <v>0</v>
      </c>
      <c r="V52" s="61" t="s">
        <v>95</v>
      </c>
      <c r="W52" s="39">
        <f>IFERROR(aurora_data!U2072,0)</f>
        <v>5</v>
      </c>
      <c r="X52" s="70">
        <f>IFERROR(W52/$W$12,0)</f>
        <v>1.25</v>
      </c>
      <c r="Y52" s="2"/>
    </row>
    <row r="53" spans="1:25" customFormat="1">
      <c r="A53" s="2"/>
      <c r="B53" s="211"/>
      <c r="C53" s="213"/>
      <c r="D53" s="35" t="s">
        <v>96</v>
      </c>
      <c r="E53" s="110">
        <f>IFERROR(aurora_data!D2073,0)</f>
        <v>0</v>
      </c>
      <c r="F53" s="62">
        <f>IFERROR(aurora_data!E2073,0)</f>
        <v>1</v>
      </c>
      <c r="G53" s="62">
        <f>IFERROR(aurora_data!F2073,0)</f>
        <v>0</v>
      </c>
      <c r="H53" s="62">
        <f>IFERROR(aurora_data!G2073,0)</f>
        <v>0</v>
      </c>
      <c r="I53" s="63">
        <f>IFERROR(aurora_data!H2073,0)</f>
        <v>0</v>
      </c>
      <c r="J53" s="36">
        <f>IFERROR(aurora_data!I2073,0)</f>
        <v>0</v>
      </c>
      <c r="K53" s="62">
        <f>IFERROR(aurora_data!J2073,0)</f>
        <v>0</v>
      </c>
      <c r="L53" s="62">
        <f>IFERROR(aurora_data!K2073,0)</f>
        <v>1</v>
      </c>
      <c r="M53" s="62">
        <f>IFERROR(aurora_data!L2073,0)</f>
        <v>0</v>
      </c>
      <c r="N53" s="63">
        <f>IFERROR(aurora_data!M2073,0)</f>
        <v>0</v>
      </c>
      <c r="O53" s="36">
        <f>IFERROR(aurora_data!N2073,0)</f>
        <v>0</v>
      </c>
      <c r="P53" s="62">
        <f>IFERROR(aurora_data!O2073,0)</f>
        <v>0</v>
      </c>
      <c r="Q53" s="62">
        <f>IFERROR(aurora_data!P2073,0)</f>
        <v>0</v>
      </c>
      <c r="R53" s="63">
        <f>IFERROR(aurora_data!Q2073,0)</f>
        <v>1</v>
      </c>
      <c r="S53" s="62">
        <f>IFERROR(aurora_data!R2073,0)</f>
        <v>0</v>
      </c>
      <c r="T53" s="62">
        <f>IFERROR(aurora_data!S2073,0)</f>
        <v>1</v>
      </c>
      <c r="U53" s="63">
        <f>IFERROR(aurora_data!T2073,0)</f>
        <v>0</v>
      </c>
      <c r="V53" s="64" t="s">
        <v>95</v>
      </c>
      <c r="W53" s="36">
        <f>IFERROR(aurora_data!U2073,0)</f>
        <v>1</v>
      </c>
      <c r="X53" s="71">
        <f t="shared" ref="X53:X59" si="5">IFERROR(W53/$W$12,0)</f>
        <v>0.25</v>
      </c>
      <c r="Y53" s="2"/>
    </row>
    <row r="54" spans="1:25" customFormat="1">
      <c r="A54" s="2"/>
      <c r="B54" s="211"/>
      <c r="C54" s="213"/>
      <c r="D54" s="35" t="s">
        <v>60</v>
      </c>
      <c r="E54" s="110">
        <f>IFERROR(aurora_data!D2074,0)</f>
        <v>0</v>
      </c>
      <c r="F54" s="62">
        <f>IFERROR(aurora_data!E2074,0)</f>
        <v>0</v>
      </c>
      <c r="G54" s="62">
        <f>IFERROR(aurora_data!F2074,0)</f>
        <v>0</v>
      </c>
      <c r="H54" s="62">
        <f>IFERROR(aurora_data!G2074,0)</f>
        <v>0</v>
      </c>
      <c r="I54" s="63">
        <f>IFERROR(aurora_data!H2074,0)</f>
        <v>0</v>
      </c>
      <c r="J54" s="36">
        <f>IFERROR(aurora_data!I2074,0)</f>
        <v>0</v>
      </c>
      <c r="K54" s="62">
        <f>IFERROR(aurora_data!J2074,0)</f>
        <v>0</v>
      </c>
      <c r="L54" s="62">
        <f>IFERROR(aurora_data!K2074,0)</f>
        <v>0</v>
      </c>
      <c r="M54" s="62">
        <f>IFERROR(aurora_data!L2074,0)</f>
        <v>0</v>
      </c>
      <c r="N54" s="63">
        <f>IFERROR(aurora_data!M2074,0)</f>
        <v>0</v>
      </c>
      <c r="O54" s="36">
        <f>IFERROR(aurora_data!N2074,0)</f>
        <v>0</v>
      </c>
      <c r="P54" s="62">
        <f>IFERROR(aurora_data!O2074,0)</f>
        <v>0</v>
      </c>
      <c r="Q54" s="62">
        <f>IFERROR(aurora_data!P2074,0)</f>
        <v>0</v>
      </c>
      <c r="R54" s="63">
        <f>IFERROR(aurora_data!Q2074,0)</f>
        <v>0</v>
      </c>
      <c r="S54" s="62">
        <f>IFERROR(aurora_data!R2074,0)</f>
        <v>0</v>
      </c>
      <c r="T54" s="62">
        <f>IFERROR(aurora_data!S2074,0)</f>
        <v>0</v>
      </c>
      <c r="U54" s="63">
        <f>IFERROR(aurora_data!T2074,0)</f>
        <v>0</v>
      </c>
      <c r="V54" s="64" t="s">
        <v>95</v>
      </c>
      <c r="W54" s="36">
        <f>IFERROR(aurora_data!U2074,0)</f>
        <v>0</v>
      </c>
      <c r="X54" s="71">
        <f t="shared" si="5"/>
        <v>0</v>
      </c>
      <c r="Y54" s="2"/>
    </row>
    <row r="55" spans="1:25" customFormat="1">
      <c r="A55" s="2"/>
      <c r="B55" s="211"/>
      <c r="C55" s="213"/>
      <c r="D55" s="35" t="s">
        <v>97</v>
      </c>
      <c r="E55" s="36">
        <f>IFERROR(aurora_data!D2075,0)</f>
        <v>0</v>
      </c>
      <c r="F55" s="62">
        <f>IFERROR(aurora_data!E2075,0)</f>
        <v>0</v>
      </c>
      <c r="G55" s="62">
        <f>IFERROR(aurora_data!F2075,0)</f>
        <v>0</v>
      </c>
      <c r="H55" s="62">
        <f>IFERROR(aurora_data!G2075,0)</f>
        <v>0</v>
      </c>
      <c r="I55" s="63">
        <f>IFERROR(aurora_data!H2075,0)</f>
        <v>0</v>
      </c>
      <c r="J55" s="36">
        <f>IFERROR(aurora_data!I2075,0)</f>
        <v>0</v>
      </c>
      <c r="K55" s="62">
        <f>IFERROR(aurora_data!J2075,0)</f>
        <v>0</v>
      </c>
      <c r="L55" s="62">
        <f>IFERROR(aurora_data!K2075,0)</f>
        <v>0</v>
      </c>
      <c r="M55" s="62">
        <f>IFERROR(aurora_data!L2075,0)</f>
        <v>0</v>
      </c>
      <c r="N55" s="63">
        <f>IFERROR(aurora_data!M2075,0)</f>
        <v>0</v>
      </c>
      <c r="O55" s="36">
        <f>IFERROR(aurora_data!N2075,0)</f>
        <v>0</v>
      </c>
      <c r="P55" s="62">
        <f>IFERROR(aurora_data!O2075,0)</f>
        <v>0</v>
      </c>
      <c r="Q55" s="62">
        <f>IFERROR(aurora_data!P2075,0)</f>
        <v>0</v>
      </c>
      <c r="R55" s="63">
        <f>IFERROR(aurora_data!Q2075,0)</f>
        <v>0</v>
      </c>
      <c r="S55" s="62">
        <f>IFERROR(aurora_data!R2075,0)</f>
        <v>0</v>
      </c>
      <c r="T55" s="62">
        <f>IFERROR(aurora_data!S2075,0)</f>
        <v>0</v>
      </c>
      <c r="U55" s="63">
        <f>IFERROR(aurora_data!T2075,0)</f>
        <v>0</v>
      </c>
      <c r="V55" s="64" t="s">
        <v>95</v>
      </c>
      <c r="W55" s="36">
        <f>IFERROR(aurora_data!U2075,0)</f>
        <v>0</v>
      </c>
      <c r="X55" s="71">
        <f t="shared" si="5"/>
        <v>0</v>
      </c>
      <c r="Y55" s="2"/>
    </row>
    <row r="56" spans="1:25" customFormat="1">
      <c r="A56" s="2"/>
      <c r="B56" s="211"/>
      <c r="C56" s="213"/>
      <c r="D56" s="35" t="s">
        <v>98</v>
      </c>
      <c r="E56" s="36">
        <f>IFERROR(aurora_data!D2076,0)</f>
        <v>0</v>
      </c>
      <c r="F56" s="62">
        <f>IFERROR(aurora_data!E2076,0)</f>
        <v>0</v>
      </c>
      <c r="G56" s="62">
        <f>IFERROR(aurora_data!F2076,0)</f>
        <v>0</v>
      </c>
      <c r="H56" s="62">
        <f>IFERROR(aurora_data!G2076,0)</f>
        <v>0</v>
      </c>
      <c r="I56" s="63">
        <f>IFERROR(aurora_data!H2076,0)</f>
        <v>0</v>
      </c>
      <c r="J56" s="36">
        <f>IFERROR(aurora_data!I2076,0)</f>
        <v>0</v>
      </c>
      <c r="K56" s="62">
        <f>IFERROR(aurora_data!J2076,0)</f>
        <v>0</v>
      </c>
      <c r="L56" s="62">
        <f>IFERROR(aurora_data!K2076,0)</f>
        <v>0</v>
      </c>
      <c r="M56" s="62">
        <f>IFERROR(aurora_data!L2076,0)</f>
        <v>0</v>
      </c>
      <c r="N56" s="63">
        <f>IFERROR(aurora_data!M2076,0)</f>
        <v>0</v>
      </c>
      <c r="O56" s="36">
        <f>IFERROR(aurora_data!N2076,0)</f>
        <v>0</v>
      </c>
      <c r="P56" s="62">
        <f>IFERROR(aurora_data!O2076,0)</f>
        <v>0</v>
      </c>
      <c r="Q56" s="62">
        <f>IFERROR(aurora_data!P2076,0)</f>
        <v>0</v>
      </c>
      <c r="R56" s="63">
        <f>IFERROR(aurora_data!Q2076,0)</f>
        <v>0</v>
      </c>
      <c r="S56" s="62">
        <f>IFERROR(aurora_data!R2076,0)</f>
        <v>0</v>
      </c>
      <c r="T56" s="62">
        <f>IFERROR(aurora_data!S2076,0)</f>
        <v>0</v>
      </c>
      <c r="U56" s="63">
        <f>IFERROR(aurora_data!T2076,0)</f>
        <v>0</v>
      </c>
      <c r="V56" s="64" t="s">
        <v>95</v>
      </c>
      <c r="W56" s="36">
        <f>IFERROR(aurora_data!U2076,0)</f>
        <v>0</v>
      </c>
      <c r="X56" s="71">
        <f t="shared" si="5"/>
        <v>0</v>
      </c>
      <c r="Y56" s="2"/>
    </row>
    <row r="57" spans="1:25" customFormat="1" ht="16.5" thickBot="1">
      <c r="A57" s="2"/>
      <c r="B57" s="211"/>
      <c r="C57" s="213"/>
      <c r="D57" s="35" t="s">
        <v>99</v>
      </c>
      <c r="E57" s="36">
        <f>IFERROR(aurora_data!D2077,0)</f>
        <v>0</v>
      </c>
      <c r="F57" s="62">
        <f>IFERROR(aurora_data!E2077,0)</f>
        <v>0</v>
      </c>
      <c r="G57" s="62">
        <f>IFERROR(aurora_data!F2077,0)</f>
        <v>0</v>
      </c>
      <c r="H57" s="62">
        <f>IFERROR(aurora_data!G2077,0)</f>
        <v>0</v>
      </c>
      <c r="I57" s="63">
        <f>IFERROR(aurora_data!H2077,0)</f>
        <v>0</v>
      </c>
      <c r="J57" s="36">
        <f>IFERROR(aurora_data!I2077,0)</f>
        <v>0</v>
      </c>
      <c r="K57" s="62">
        <f>IFERROR(aurora_data!J2077,0)</f>
        <v>0</v>
      </c>
      <c r="L57" s="62">
        <f>IFERROR(aurora_data!K2077,0)</f>
        <v>0</v>
      </c>
      <c r="M57" s="62">
        <f>IFERROR(aurora_data!L2077,0)</f>
        <v>0</v>
      </c>
      <c r="N57" s="63">
        <f>IFERROR(aurora_data!M2077,0)</f>
        <v>0</v>
      </c>
      <c r="O57" s="36">
        <f>IFERROR(aurora_data!N2077,0)</f>
        <v>0</v>
      </c>
      <c r="P57" s="62">
        <f>IFERROR(aurora_data!O2077,0)</f>
        <v>0</v>
      </c>
      <c r="Q57" s="62">
        <f>IFERROR(aurora_data!P2077,0)</f>
        <v>0</v>
      </c>
      <c r="R57" s="63">
        <f>IFERROR(aurora_data!Q2077,0)</f>
        <v>0</v>
      </c>
      <c r="S57" s="62">
        <f>IFERROR(aurora_data!R2077,0)</f>
        <v>0</v>
      </c>
      <c r="T57" s="62">
        <f>IFERROR(aurora_data!S2077,0)</f>
        <v>0</v>
      </c>
      <c r="U57" s="63">
        <f>IFERROR(aurora_data!T2077,0)</f>
        <v>0</v>
      </c>
      <c r="V57" s="64" t="s">
        <v>95</v>
      </c>
      <c r="W57" s="36">
        <f>IFERROR(aurora_data!U2077,0)</f>
        <v>0</v>
      </c>
      <c r="X57" s="71">
        <f t="shared" si="5"/>
        <v>0</v>
      </c>
      <c r="Y57" s="2"/>
    </row>
    <row r="58" spans="1:25" customFormat="1" ht="16.5" thickBot="1">
      <c r="A58" s="2"/>
      <c r="B58" s="211"/>
      <c r="C58" s="213"/>
      <c r="D58" s="37" t="s">
        <v>64</v>
      </c>
      <c r="E58" s="59">
        <f>IFERROR(aurora_data!D2078,0)</f>
        <v>0</v>
      </c>
      <c r="F58" s="65">
        <f>IFERROR(aurora_data!E2078,0)</f>
        <v>1</v>
      </c>
      <c r="G58" s="65">
        <f>IFERROR(aurora_data!F2078,0)</f>
        <v>0</v>
      </c>
      <c r="H58" s="65">
        <f>IFERROR(aurora_data!G2078,0)</f>
        <v>0</v>
      </c>
      <c r="I58" s="66">
        <f>IFERROR(aurora_data!H2078,0)</f>
        <v>0</v>
      </c>
      <c r="J58" s="59">
        <f>IFERROR(aurora_data!I2078,0)</f>
        <v>0</v>
      </c>
      <c r="K58" s="65">
        <f>IFERROR(aurora_data!J2078,0)</f>
        <v>0</v>
      </c>
      <c r="L58" s="65">
        <f>IFERROR(aurora_data!K2078,0)</f>
        <v>1</v>
      </c>
      <c r="M58" s="65">
        <f>IFERROR(aurora_data!L2078,0)</f>
        <v>0</v>
      </c>
      <c r="N58" s="66">
        <f>IFERROR(aurora_data!M2078,0)</f>
        <v>0</v>
      </c>
      <c r="O58" s="59">
        <f>IFERROR(aurora_data!N2078,0)</f>
        <v>0</v>
      </c>
      <c r="P58" s="65">
        <f>IFERROR(aurora_data!O2078,0)</f>
        <v>0</v>
      </c>
      <c r="Q58" s="65">
        <f>IFERROR(aurora_data!P2078,0)</f>
        <v>0</v>
      </c>
      <c r="R58" s="66">
        <f>IFERROR(aurora_data!Q2078,0)</f>
        <v>1</v>
      </c>
      <c r="S58" s="65">
        <f>IFERROR(aurora_data!R2078,0)</f>
        <v>0</v>
      </c>
      <c r="T58" s="65">
        <f>IFERROR(aurora_data!S2078,0)</f>
        <v>1</v>
      </c>
      <c r="U58" s="66">
        <f>IFERROR(aurora_data!T2078,0)</f>
        <v>0</v>
      </c>
      <c r="V58" s="67" t="s">
        <v>95</v>
      </c>
      <c r="W58" s="59">
        <f>IFERROR(aurora_data!U2078,0)</f>
        <v>1</v>
      </c>
      <c r="X58" s="72">
        <f t="shared" si="5"/>
        <v>0.25</v>
      </c>
      <c r="Y58" s="2"/>
    </row>
    <row r="59" spans="1:25" customFormat="1" ht="16.5" thickBot="1">
      <c r="A59" s="2"/>
      <c r="B59" s="211"/>
      <c r="C59" s="213"/>
      <c r="D59" s="38" t="s">
        <v>100</v>
      </c>
      <c r="E59" s="60">
        <f>IFERROR(aurora_data!D2079,0)</f>
        <v>0</v>
      </c>
      <c r="F59" s="68">
        <f>IFERROR(aurora_data!E2079,0)</f>
        <v>0</v>
      </c>
      <c r="G59" s="68">
        <f>IFERROR(aurora_data!F2079,0)</f>
        <v>0</v>
      </c>
      <c r="H59" s="68">
        <f>IFERROR(aurora_data!G2079,0)</f>
        <v>0</v>
      </c>
      <c r="I59" s="69">
        <f>IFERROR(aurora_data!H2079,0)</f>
        <v>0</v>
      </c>
      <c r="J59" s="60">
        <f>IFERROR(aurora_data!I2079,0)</f>
        <v>0</v>
      </c>
      <c r="K59" s="68">
        <f>IFERROR(aurora_data!J2079,0)</f>
        <v>0</v>
      </c>
      <c r="L59" s="68">
        <f>IFERROR(aurora_data!K2079,0)</f>
        <v>0</v>
      </c>
      <c r="M59" s="68">
        <f>IFERROR(aurora_data!L2079,0)</f>
        <v>0</v>
      </c>
      <c r="N59" s="69">
        <f>IFERROR(aurora_data!M2079,0)</f>
        <v>0</v>
      </c>
      <c r="O59" s="60">
        <f>IFERROR(aurora_data!N2079,0)</f>
        <v>0</v>
      </c>
      <c r="P59" s="68">
        <f>IFERROR(aurora_data!O2079,0)</f>
        <v>0</v>
      </c>
      <c r="Q59" s="68">
        <f>IFERROR(aurora_data!P2079,0)</f>
        <v>0</v>
      </c>
      <c r="R59" s="69">
        <f>IFERROR(aurora_data!Q2079,0)</f>
        <v>0</v>
      </c>
      <c r="S59" s="68">
        <f>IFERROR(aurora_data!R2079,0)</f>
        <v>0</v>
      </c>
      <c r="T59" s="68">
        <f>IFERROR(aurora_data!S2079,0)</f>
        <v>0</v>
      </c>
      <c r="U59" s="74">
        <f>IFERROR(aurora_data!T2079,0)</f>
        <v>0</v>
      </c>
      <c r="V59" s="75" t="s">
        <v>95</v>
      </c>
      <c r="W59" s="60">
        <f>IFERROR(aurora_data!U2079,0)</f>
        <v>0</v>
      </c>
      <c r="X59" s="73">
        <f t="shared" si="5"/>
        <v>0</v>
      </c>
      <c r="Y59" s="2"/>
    </row>
    <row r="60" spans="1:25" customFormat="1">
      <c r="A60" s="2"/>
      <c r="B60" s="210" t="s">
        <v>94</v>
      </c>
      <c r="C60" s="212" t="str">
        <f>aurora_data!A2080</f>
        <v>12.00.00-12.11.30</v>
      </c>
      <c r="D60" s="34" t="s">
        <v>71</v>
      </c>
      <c r="E60" s="39">
        <f>IFERROR(aurora_data!D2080,0)</f>
        <v>0</v>
      </c>
      <c r="F60" s="40">
        <f>IFERROR(aurora_data!E2080,0)</f>
        <v>0</v>
      </c>
      <c r="G60" s="40">
        <f>IFERROR(aurora_data!F2080,0)</f>
        <v>0</v>
      </c>
      <c r="H60" s="40">
        <f>IFERROR(aurora_data!G2080,0)</f>
        <v>0</v>
      </c>
      <c r="I60" s="41">
        <f>IFERROR(aurora_data!H2080,0)</f>
        <v>0</v>
      </c>
      <c r="J60" s="39">
        <f>IFERROR(aurora_data!I2080,0)</f>
        <v>0</v>
      </c>
      <c r="K60" s="40">
        <f>IFERROR(aurora_data!J2080,0)</f>
        <v>0</v>
      </c>
      <c r="L60" s="40">
        <f>IFERROR(aurora_data!K2080,0)</f>
        <v>0</v>
      </c>
      <c r="M60" s="40">
        <f>IFERROR(aurora_data!L2080,0)</f>
        <v>0</v>
      </c>
      <c r="N60" s="41">
        <f>IFERROR(aurora_data!M2080,0)</f>
        <v>0</v>
      </c>
      <c r="O60" s="39">
        <f>IFERROR(aurora_data!N2080,0)</f>
        <v>0</v>
      </c>
      <c r="P60" s="40">
        <f>IFERROR(aurora_data!O2080,0)</f>
        <v>0</v>
      </c>
      <c r="Q60" s="40">
        <f>IFERROR(aurora_data!P2080,0)</f>
        <v>0</v>
      </c>
      <c r="R60" s="41">
        <f>IFERROR(aurora_data!Q2080,0)</f>
        <v>0</v>
      </c>
      <c r="S60" s="40">
        <f>IFERROR(aurora_data!R2080,0)</f>
        <v>0</v>
      </c>
      <c r="T60" s="40">
        <f>IFERROR(aurora_data!S2080,0)</f>
        <v>0</v>
      </c>
      <c r="U60" s="76">
        <f>IFERROR(aurora_data!T2080,0)</f>
        <v>0</v>
      </c>
      <c r="V60" s="61" t="s">
        <v>95</v>
      </c>
      <c r="W60" s="39">
        <f>IFERROR(aurora_data!U2080,0)</f>
        <v>5</v>
      </c>
      <c r="X60" s="70">
        <f>IFERROR(W60/$W$12,0)</f>
        <v>1.25</v>
      </c>
      <c r="Y60" s="2"/>
    </row>
    <row r="61" spans="1:25" customFormat="1">
      <c r="A61" s="2"/>
      <c r="B61" s="211"/>
      <c r="C61" s="213"/>
      <c r="D61" s="35" t="s">
        <v>96</v>
      </c>
      <c r="E61" s="110">
        <f>IFERROR(aurora_data!D2081,0)</f>
        <v>1</v>
      </c>
      <c r="F61" s="62">
        <f>IFERROR(aurora_data!E2081,0)</f>
        <v>0</v>
      </c>
      <c r="G61" s="62">
        <f>IFERROR(aurora_data!F2081,0)</f>
        <v>0</v>
      </c>
      <c r="H61" s="62">
        <f>IFERROR(aurora_data!G2081,0)</f>
        <v>0</v>
      </c>
      <c r="I61" s="63">
        <f>IFERROR(aurora_data!H2081,0)</f>
        <v>0</v>
      </c>
      <c r="J61" s="36">
        <f>IFERROR(aurora_data!I2081,0)</f>
        <v>0</v>
      </c>
      <c r="K61" s="62">
        <f>IFERROR(aurora_data!J2081,0)</f>
        <v>0</v>
      </c>
      <c r="L61" s="62">
        <f>IFERROR(aurora_data!K2081,0)</f>
        <v>1</v>
      </c>
      <c r="M61" s="62">
        <f>IFERROR(aurora_data!L2081,0)</f>
        <v>0</v>
      </c>
      <c r="N61" s="63">
        <f>IFERROR(aurora_data!M2081,0)</f>
        <v>0</v>
      </c>
      <c r="O61" s="36">
        <f>IFERROR(aurora_data!N2081,0)</f>
        <v>0</v>
      </c>
      <c r="P61" s="62">
        <f>IFERROR(aurora_data!O2081,0)</f>
        <v>0</v>
      </c>
      <c r="Q61" s="62">
        <f>IFERROR(aurora_data!P2081,0)</f>
        <v>1</v>
      </c>
      <c r="R61" s="63">
        <f>IFERROR(aurora_data!Q2081,0)</f>
        <v>0</v>
      </c>
      <c r="S61" s="62">
        <f>IFERROR(aurora_data!R2081,0)</f>
        <v>0</v>
      </c>
      <c r="T61" s="62">
        <f>IFERROR(aurora_data!S2081,0)</f>
        <v>1</v>
      </c>
      <c r="U61" s="63">
        <f>IFERROR(aurora_data!T2081,0)</f>
        <v>0</v>
      </c>
      <c r="V61" s="64" t="s">
        <v>95</v>
      </c>
      <c r="W61" s="36">
        <f>IFERROR(aurora_data!U2081,0)</f>
        <v>1</v>
      </c>
      <c r="X61" s="71">
        <f t="shared" ref="X61:X67" si="6">IFERROR(W61/$W$12,0)</f>
        <v>0.25</v>
      </c>
      <c r="Y61" s="2"/>
    </row>
    <row r="62" spans="1:25" customFormat="1">
      <c r="A62" s="2"/>
      <c r="B62" s="211"/>
      <c r="C62" s="213"/>
      <c r="D62" s="35" t="s">
        <v>60</v>
      </c>
      <c r="E62" s="110">
        <f>IFERROR(aurora_data!D2082,0)</f>
        <v>0</v>
      </c>
      <c r="F62" s="62">
        <f>IFERROR(aurora_data!E2082,0)</f>
        <v>0</v>
      </c>
      <c r="G62" s="62">
        <f>IFERROR(aurora_data!F2082,0)</f>
        <v>0</v>
      </c>
      <c r="H62" s="62">
        <f>IFERROR(aurora_data!G2082,0)</f>
        <v>0</v>
      </c>
      <c r="I62" s="63">
        <f>IFERROR(aurora_data!H2082,0)</f>
        <v>0</v>
      </c>
      <c r="J62" s="36">
        <f>IFERROR(aurora_data!I2082,0)</f>
        <v>0</v>
      </c>
      <c r="K62" s="62">
        <f>IFERROR(aurora_data!J2082,0)</f>
        <v>0</v>
      </c>
      <c r="L62" s="62">
        <f>IFERROR(aurora_data!K2082,0)</f>
        <v>0</v>
      </c>
      <c r="M62" s="62">
        <f>IFERROR(aurora_data!L2082,0)</f>
        <v>0</v>
      </c>
      <c r="N62" s="63">
        <f>IFERROR(aurora_data!M2082,0)</f>
        <v>0</v>
      </c>
      <c r="O62" s="36">
        <f>IFERROR(aurora_data!N2082,0)</f>
        <v>0</v>
      </c>
      <c r="P62" s="62">
        <f>IFERROR(aurora_data!O2082,0)</f>
        <v>0</v>
      </c>
      <c r="Q62" s="62">
        <f>IFERROR(aurora_data!P2082,0)</f>
        <v>0</v>
      </c>
      <c r="R62" s="63">
        <f>IFERROR(aurora_data!Q2082,0)</f>
        <v>0</v>
      </c>
      <c r="S62" s="62">
        <f>IFERROR(aurora_data!R2082,0)</f>
        <v>0</v>
      </c>
      <c r="T62" s="62">
        <f>IFERROR(aurora_data!S2082,0)</f>
        <v>0</v>
      </c>
      <c r="U62" s="63">
        <f>IFERROR(aurora_data!T2082,0)</f>
        <v>0</v>
      </c>
      <c r="V62" s="64" t="s">
        <v>95</v>
      </c>
      <c r="W62" s="36">
        <f>IFERROR(aurora_data!U2082,0)</f>
        <v>0</v>
      </c>
      <c r="X62" s="71">
        <f t="shared" si="6"/>
        <v>0</v>
      </c>
      <c r="Y62" s="2"/>
    </row>
    <row r="63" spans="1:25" customFormat="1">
      <c r="A63" s="2"/>
      <c r="B63" s="211"/>
      <c r="C63" s="213"/>
      <c r="D63" s="35" t="s">
        <v>97</v>
      </c>
      <c r="E63" s="36">
        <f>IFERROR(aurora_data!D2083,0)</f>
        <v>0</v>
      </c>
      <c r="F63" s="62">
        <f>IFERROR(aurora_data!E2083,0)</f>
        <v>0</v>
      </c>
      <c r="G63" s="62">
        <f>IFERROR(aurora_data!F2083,0)</f>
        <v>0</v>
      </c>
      <c r="H63" s="62">
        <f>IFERROR(aurora_data!G2083,0)</f>
        <v>0</v>
      </c>
      <c r="I63" s="63">
        <f>IFERROR(aurora_data!H2083,0)</f>
        <v>0</v>
      </c>
      <c r="J63" s="36">
        <f>IFERROR(aurora_data!I2083,0)</f>
        <v>0</v>
      </c>
      <c r="K63" s="62">
        <f>IFERROR(aurora_data!J2083,0)</f>
        <v>0</v>
      </c>
      <c r="L63" s="62">
        <f>IFERROR(aurora_data!K2083,0)</f>
        <v>0</v>
      </c>
      <c r="M63" s="62">
        <f>IFERROR(aurora_data!L2083,0)</f>
        <v>0</v>
      </c>
      <c r="N63" s="63">
        <f>IFERROR(aurora_data!M2083,0)</f>
        <v>0</v>
      </c>
      <c r="O63" s="36">
        <f>IFERROR(aurora_data!N2083,0)</f>
        <v>0</v>
      </c>
      <c r="P63" s="62">
        <f>IFERROR(aurora_data!O2083,0)</f>
        <v>0</v>
      </c>
      <c r="Q63" s="62">
        <f>IFERROR(aurora_data!P2083,0)</f>
        <v>0</v>
      </c>
      <c r="R63" s="63">
        <f>IFERROR(aurora_data!Q2083,0)</f>
        <v>0</v>
      </c>
      <c r="S63" s="62">
        <f>IFERROR(aurora_data!R2083,0)</f>
        <v>0</v>
      </c>
      <c r="T63" s="62">
        <f>IFERROR(aurora_data!S2083,0)</f>
        <v>0</v>
      </c>
      <c r="U63" s="63">
        <f>IFERROR(aurora_data!T2083,0)</f>
        <v>0</v>
      </c>
      <c r="V63" s="64" t="s">
        <v>95</v>
      </c>
      <c r="W63" s="36">
        <f>IFERROR(aurora_data!U2083,0)</f>
        <v>0</v>
      </c>
      <c r="X63" s="71">
        <f t="shared" si="6"/>
        <v>0</v>
      </c>
      <c r="Y63" s="2"/>
    </row>
    <row r="64" spans="1:25" customFormat="1">
      <c r="A64" s="2"/>
      <c r="B64" s="211"/>
      <c r="C64" s="213"/>
      <c r="D64" s="35" t="s">
        <v>98</v>
      </c>
      <c r="E64" s="36">
        <f>IFERROR(aurora_data!D2084,0)</f>
        <v>0</v>
      </c>
      <c r="F64" s="62">
        <f>IFERROR(aurora_data!E2084,0)</f>
        <v>0</v>
      </c>
      <c r="G64" s="62">
        <f>IFERROR(aurora_data!F2084,0)</f>
        <v>0</v>
      </c>
      <c r="H64" s="62">
        <f>IFERROR(aurora_data!G2084,0)</f>
        <v>0</v>
      </c>
      <c r="I64" s="63">
        <f>IFERROR(aurora_data!H2084,0)</f>
        <v>0</v>
      </c>
      <c r="J64" s="36">
        <f>IFERROR(aurora_data!I2084,0)</f>
        <v>0</v>
      </c>
      <c r="K64" s="62">
        <f>IFERROR(aurora_data!J2084,0)</f>
        <v>0</v>
      </c>
      <c r="L64" s="62">
        <f>IFERROR(aurora_data!K2084,0)</f>
        <v>0</v>
      </c>
      <c r="M64" s="62">
        <f>IFERROR(aurora_data!L2084,0)</f>
        <v>0</v>
      </c>
      <c r="N64" s="63">
        <f>IFERROR(aurora_data!M2084,0)</f>
        <v>0</v>
      </c>
      <c r="O64" s="36">
        <f>IFERROR(aurora_data!N2084,0)</f>
        <v>0</v>
      </c>
      <c r="P64" s="62">
        <f>IFERROR(aurora_data!O2084,0)</f>
        <v>0</v>
      </c>
      <c r="Q64" s="62">
        <f>IFERROR(aurora_data!P2084,0)</f>
        <v>0</v>
      </c>
      <c r="R64" s="63">
        <f>IFERROR(aurora_data!Q2084,0)</f>
        <v>0</v>
      </c>
      <c r="S64" s="62">
        <f>IFERROR(aurora_data!R2084,0)</f>
        <v>0</v>
      </c>
      <c r="T64" s="62">
        <f>IFERROR(aurora_data!S2084,0)</f>
        <v>0</v>
      </c>
      <c r="U64" s="63">
        <f>IFERROR(aurora_data!T2084,0)</f>
        <v>0</v>
      </c>
      <c r="V64" s="64" t="s">
        <v>95</v>
      </c>
      <c r="W64" s="36">
        <f>IFERROR(aurora_data!U2084,0)</f>
        <v>0</v>
      </c>
      <c r="X64" s="71">
        <f t="shared" si="6"/>
        <v>0</v>
      </c>
      <c r="Y64" s="2"/>
    </row>
    <row r="65" spans="1:25" customFormat="1" ht="16.5" thickBot="1">
      <c r="A65" s="2"/>
      <c r="B65" s="211"/>
      <c r="C65" s="213"/>
      <c r="D65" s="35" t="s">
        <v>99</v>
      </c>
      <c r="E65" s="36">
        <f>IFERROR(aurora_data!D2085,0)</f>
        <v>0</v>
      </c>
      <c r="F65" s="62">
        <f>IFERROR(aurora_data!E2085,0)</f>
        <v>0</v>
      </c>
      <c r="G65" s="62">
        <f>IFERROR(aurora_data!F2085,0)</f>
        <v>0</v>
      </c>
      <c r="H65" s="62">
        <f>IFERROR(aurora_data!G2085,0)</f>
        <v>0</v>
      </c>
      <c r="I65" s="63">
        <f>IFERROR(aurora_data!H2085,0)</f>
        <v>0</v>
      </c>
      <c r="J65" s="36">
        <f>IFERROR(aurora_data!I2085,0)</f>
        <v>0</v>
      </c>
      <c r="K65" s="62">
        <f>IFERROR(aurora_data!J2085,0)</f>
        <v>0</v>
      </c>
      <c r="L65" s="62">
        <f>IFERROR(aurora_data!K2085,0)</f>
        <v>0</v>
      </c>
      <c r="M65" s="62">
        <f>IFERROR(aurora_data!L2085,0)</f>
        <v>0</v>
      </c>
      <c r="N65" s="63">
        <f>IFERROR(aurora_data!M2085,0)</f>
        <v>0</v>
      </c>
      <c r="O65" s="36">
        <f>IFERROR(aurora_data!N2085,0)</f>
        <v>0</v>
      </c>
      <c r="P65" s="62">
        <f>IFERROR(aurora_data!O2085,0)</f>
        <v>0</v>
      </c>
      <c r="Q65" s="62">
        <f>IFERROR(aurora_data!P2085,0)</f>
        <v>0</v>
      </c>
      <c r="R65" s="63">
        <f>IFERROR(aurora_data!Q2085,0)</f>
        <v>0</v>
      </c>
      <c r="S65" s="62">
        <f>IFERROR(aurora_data!R2085,0)</f>
        <v>0</v>
      </c>
      <c r="T65" s="62">
        <f>IFERROR(aurora_data!S2085,0)</f>
        <v>0</v>
      </c>
      <c r="U65" s="63">
        <f>IFERROR(aurora_data!T2085,0)</f>
        <v>0</v>
      </c>
      <c r="V65" s="64" t="s">
        <v>95</v>
      </c>
      <c r="W65" s="36">
        <f>IFERROR(aurora_data!U2085,0)</f>
        <v>0</v>
      </c>
      <c r="X65" s="71">
        <f t="shared" si="6"/>
        <v>0</v>
      </c>
      <c r="Y65" s="2"/>
    </row>
    <row r="66" spans="1:25" customFormat="1" ht="16.5" thickBot="1">
      <c r="A66" s="2"/>
      <c r="B66" s="211"/>
      <c r="C66" s="213"/>
      <c r="D66" s="37" t="s">
        <v>64</v>
      </c>
      <c r="E66" s="59">
        <f>IFERROR(aurora_data!D2086,0)</f>
        <v>1</v>
      </c>
      <c r="F66" s="65">
        <f>IFERROR(aurora_data!E2086,0)</f>
        <v>0</v>
      </c>
      <c r="G66" s="65">
        <f>IFERROR(aurora_data!F2086,0)</f>
        <v>0</v>
      </c>
      <c r="H66" s="65">
        <f>IFERROR(aurora_data!G2086,0)</f>
        <v>0</v>
      </c>
      <c r="I66" s="66">
        <f>IFERROR(aurora_data!H2086,0)</f>
        <v>0</v>
      </c>
      <c r="J66" s="59">
        <f>IFERROR(aurora_data!I2086,0)</f>
        <v>0</v>
      </c>
      <c r="K66" s="65">
        <f>IFERROR(aurora_data!J2086,0)</f>
        <v>0</v>
      </c>
      <c r="L66" s="65">
        <f>IFERROR(aurora_data!K2086,0)</f>
        <v>1</v>
      </c>
      <c r="M66" s="65">
        <f>IFERROR(aurora_data!L2086,0)</f>
        <v>0</v>
      </c>
      <c r="N66" s="66">
        <f>IFERROR(aurora_data!M2086,0)</f>
        <v>0</v>
      </c>
      <c r="O66" s="59">
        <f>IFERROR(aurora_data!N2086,0)</f>
        <v>0</v>
      </c>
      <c r="P66" s="65">
        <f>IFERROR(aurora_data!O2086,0)</f>
        <v>0</v>
      </c>
      <c r="Q66" s="65">
        <f>IFERROR(aurora_data!P2086,0)</f>
        <v>1</v>
      </c>
      <c r="R66" s="66">
        <f>IFERROR(aurora_data!Q2086,0)</f>
        <v>0</v>
      </c>
      <c r="S66" s="65">
        <f>IFERROR(aurora_data!R2086,0)</f>
        <v>0</v>
      </c>
      <c r="T66" s="65">
        <f>IFERROR(aurora_data!S2086,0)</f>
        <v>1</v>
      </c>
      <c r="U66" s="66">
        <f>IFERROR(aurora_data!T2086,0)</f>
        <v>0</v>
      </c>
      <c r="V66" s="67" t="s">
        <v>95</v>
      </c>
      <c r="W66" s="59">
        <f>IFERROR(aurora_data!U2086,0)</f>
        <v>1</v>
      </c>
      <c r="X66" s="72">
        <f t="shared" si="6"/>
        <v>0.25</v>
      </c>
      <c r="Y66" s="2"/>
    </row>
    <row r="67" spans="1:25" customFormat="1" ht="16.5" thickBot="1">
      <c r="A67" s="2"/>
      <c r="B67" s="211"/>
      <c r="C67" s="213"/>
      <c r="D67" s="38" t="s">
        <v>100</v>
      </c>
      <c r="E67" s="60">
        <f>IFERROR(aurora_data!D2087,0)</f>
        <v>0</v>
      </c>
      <c r="F67" s="68">
        <f>IFERROR(aurora_data!E2087,0)</f>
        <v>0</v>
      </c>
      <c r="G67" s="68">
        <f>IFERROR(aurora_data!F2087,0)</f>
        <v>0</v>
      </c>
      <c r="H67" s="68">
        <f>IFERROR(aurora_data!G2087,0)</f>
        <v>0</v>
      </c>
      <c r="I67" s="69">
        <f>IFERROR(aurora_data!H2087,0)</f>
        <v>0</v>
      </c>
      <c r="J67" s="60">
        <f>IFERROR(aurora_data!I2087,0)</f>
        <v>0</v>
      </c>
      <c r="K67" s="68">
        <f>IFERROR(aurora_data!J2087,0)</f>
        <v>0</v>
      </c>
      <c r="L67" s="68">
        <f>IFERROR(aurora_data!K2087,0)</f>
        <v>0</v>
      </c>
      <c r="M67" s="68">
        <f>IFERROR(aurora_data!L2087,0)</f>
        <v>0</v>
      </c>
      <c r="N67" s="69">
        <f>IFERROR(aurora_data!M2087,0)</f>
        <v>0</v>
      </c>
      <c r="O67" s="60">
        <f>IFERROR(aurora_data!N2087,0)</f>
        <v>0</v>
      </c>
      <c r="P67" s="68">
        <f>IFERROR(aurora_data!O2087,0)</f>
        <v>0</v>
      </c>
      <c r="Q67" s="68">
        <f>IFERROR(aurora_data!P2087,0)</f>
        <v>0</v>
      </c>
      <c r="R67" s="69">
        <f>IFERROR(aurora_data!Q2087,0)</f>
        <v>0</v>
      </c>
      <c r="S67" s="68">
        <f>IFERROR(aurora_data!R2087,0)</f>
        <v>0</v>
      </c>
      <c r="T67" s="68">
        <f>IFERROR(aurora_data!S2087,0)</f>
        <v>0</v>
      </c>
      <c r="U67" s="74">
        <f>IFERROR(aurora_data!T2087,0)</f>
        <v>0</v>
      </c>
      <c r="V67" s="75" t="s">
        <v>95</v>
      </c>
      <c r="W67" s="60">
        <f>IFERROR(aurora_data!U2087,0)</f>
        <v>0</v>
      </c>
      <c r="X67" s="73">
        <f t="shared" si="6"/>
        <v>0</v>
      </c>
      <c r="Y67" s="2"/>
    </row>
    <row r="68" spans="1:25" customFormat="1">
      <c r="A68" s="2"/>
      <c r="B68" s="210" t="s">
        <v>94</v>
      </c>
      <c r="C68" s="212" t="str">
        <f>aurora_data!A2088</f>
        <v>13.00.00-13.11.30</v>
      </c>
      <c r="D68" s="34" t="s">
        <v>71</v>
      </c>
      <c r="E68" s="39">
        <f>IFERROR(aurora_data!D2088,0)</f>
        <v>0</v>
      </c>
      <c r="F68" s="40">
        <f>IFERROR(aurora_data!E2088,0)</f>
        <v>0</v>
      </c>
      <c r="G68" s="40">
        <f>IFERROR(aurora_data!F2088,0)</f>
        <v>0</v>
      </c>
      <c r="H68" s="40">
        <f>IFERROR(aurora_data!G2088,0)</f>
        <v>0</v>
      </c>
      <c r="I68" s="41">
        <f>IFERROR(aurora_data!H2088,0)</f>
        <v>0</v>
      </c>
      <c r="J68" s="39">
        <f>IFERROR(aurora_data!I2088,0)</f>
        <v>0</v>
      </c>
      <c r="K68" s="40">
        <f>IFERROR(aurora_data!J2088,0)</f>
        <v>0</v>
      </c>
      <c r="L68" s="40">
        <f>IFERROR(aurora_data!K2088,0)</f>
        <v>0</v>
      </c>
      <c r="M68" s="40">
        <f>IFERROR(aurora_data!L2088,0)</f>
        <v>0</v>
      </c>
      <c r="N68" s="41">
        <f>IFERROR(aurora_data!M2088,0)</f>
        <v>0</v>
      </c>
      <c r="O68" s="39">
        <f>IFERROR(aurora_data!N2088,0)</f>
        <v>0</v>
      </c>
      <c r="P68" s="40">
        <f>IFERROR(aurora_data!O2088,0)</f>
        <v>0</v>
      </c>
      <c r="Q68" s="40">
        <f>IFERROR(aurora_data!P2088,0)</f>
        <v>0</v>
      </c>
      <c r="R68" s="41">
        <f>IFERROR(aurora_data!Q2088,0)</f>
        <v>0</v>
      </c>
      <c r="S68" s="40">
        <f>IFERROR(aurora_data!R2088,0)</f>
        <v>0</v>
      </c>
      <c r="T68" s="40">
        <f>IFERROR(aurora_data!S2088,0)</f>
        <v>0</v>
      </c>
      <c r="U68" s="76">
        <f>IFERROR(aurora_data!T2088,0)</f>
        <v>0</v>
      </c>
      <c r="V68" s="61" t="s">
        <v>95</v>
      </c>
      <c r="W68" s="39">
        <f>IFERROR(aurora_data!U2088,0)</f>
        <v>5</v>
      </c>
      <c r="X68" s="70">
        <f>IFERROR(W68/$W$12,0)</f>
        <v>1.25</v>
      </c>
      <c r="Y68" s="2"/>
    </row>
    <row r="69" spans="1:25" customFormat="1">
      <c r="A69" s="2"/>
      <c r="B69" s="211"/>
      <c r="C69" s="213"/>
      <c r="D69" s="35" t="s">
        <v>96</v>
      </c>
      <c r="E69" s="110">
        <f>IFERROR(aurora_data!D2089,0)</f>
        <v>1</v>
      </c>
      <c r="F69" s="62">
        <f>IFERROR(aurora_data!E2089,0)</f>
        <v>1</v>
      </c>
      <c r="G69" s="62">
        <f>IFERROR(aurora_data!F2089,0)</f>
        <v>1</v>
      </c>
      <c r="H69" s="62">
        <f>IFERROR(aurora_data!G2089,0)</f>
        <v>0</v>
      </c>
      <c r="I69" s="63">
        <f>IFERROR(aurora_data!H2089,0)</f>
        <v>1</v>
      </c>
      <c r="J69" s="36">
        <f>IFERROR(aurora_data!I2089,0)</f>
        <v>0</v>
      </c>
      <c r="K69" s="62">
        <f>IFERROR(aurora_data!J2089,0)</f>
        <v>2</v>
      </c>
      <c r="L69" s="62">
        <f>IFERROR(aurora_data!K2089,0)</f>
        <v>0</v>
      </c>
      <c r="M69" s="62">
        <f>IFERROR(aurora_data!L2089,0)</f>
        <v>0</v>
      </c>
      <c r="N69" s="63">
        <f>IFERROR(aurora_data!M2089,0)</f>
        <v>2</v>
      </c>
      <c r="O69" s="36">
        <f>IFERROR(aurora_data!N2089,0)</f>
        <v>1</v>
      </c>
      <c r="P69" s="62">
        <f>IFERROR(aurora_data!O2089,0)</f>
        <v>1</v>
      </c>
      <c r="Q69" s="62">
        <f>IFERROR(aurora_data!P2089,0)</f>
        <v>2</v>
      </c>
      <c r="R69" s="63">
        <f>IFERROR(aurora_data!Q2089,0)</f>
        <v>0</v>
      </c>
      <c r="S69" s="62">
        <f>IFERROR(aurora_data!R2089,0)</f>
        <v>3</v>
      </c>
      <c r="T69" s="62">
        <f>IFERROR(aurora_data!S2089,0)</f>
        <v>1</v>
      </c>
      <c r="U69" s="63">
        <f>IFERROR(aurora_data!T2089,0)</f>
        <v>0</v>
      </c>
      <c r="V69" s="64" t="s">
        <v>95</v>
      </c>
      <c r="W69" s="36">
        <f>IFERROR(aurora_data!U2089,0)</f>
        <v>4</v>
      </c>
      <c r="X69" s="71">
        <f t="shared" ref="X69:X75" si="7">IFERROR(W69/$W$12,0)</f>
        <v>1</v>
      </c>
      <c r="Y69" s="2"/>
    </row>
    <row r="70" spans="1:25" customFormat="1">
      <c r="A70" s="2"/>
      <c r="B70" s="211"/>
      <c r="C70" s="213"/>
      <c r="D70" s="35" t="s">
        <v>60</v>
      </c>
      <c r="E70" s="110">
        <f>IFERROR(aurora_data!D2090,0)</f>
        <v>0</v>
      </c>
      <c r="F70" s="62">
        <f>IFERROR(aurora_data!E2090,0)</f>
        <v>0</v>
      </c>
      <c r="G70" s="62">
        <f>IFERROR(aurora_data!F2090,0)</f>
        <v>0</v>
      </c>
      <c r="H70" s="62">
        <f>IFERROR(aurora_data!G2090,0)</f>
        <v>0</v>
      </c>
      <c r="I70" s="63">
        <f>IFERROR(aurora_data!H2090,0)</f>
        <v>0</v>
      </c>
      <c r="J70" s="36">
        <f>IFERROR(aurora_data!I2090,0)</f>
        <v>0</v>
      </c>
      <c r="K70" s="62">
        <f>IFERROR(aurora_data!J2090,0)</f>
        <v>0</v>
      </c>
      <c r="L70" s="62">
        <f>IFERROR(aurora_data!K2090,0)</f>
        <v>0</v>
      </c>
      <c r="M70" s="62">
        <f>IFERROR(aurora_data!L2090,0)</f>
        <v>0</v>
      </c>
      <c r="N70" s="63">
        <f>IFERROR(aurora_data!M2090,0)</f>
        <v>0</v>
      </c>
      <c r="O70" s="36">
        <f>IFERROR(aurora_data!N2090,0)</f>
        <v>0</v>
      </c>
      <c r="P70" s="62">
        <f>IFERROR(aurora_data!O2090,0)</f>
        <v>0</v>
      </c>
      <c r="Q70" s="62">
        <f>IFERROR(aurora_data!P2090,0)</f>
        <v>0</v>
      </c>
      <c r="R70" s="63">
        <f>IFERROR(aurora_data!Q2090,0)</f>
        <v>0</v>
      </c>
      <c r="S70" s="62">
        <f>IFERROR(aurora_data!R2090,0)</f>
        <v>0</v>
      </c>
      <c r="T70" s="62">
        <f>IFERROR(aurora_data!S2090,0)</f>
        <v>0</v>
      </c>
      <c r="U70" s="63">
        <f>IFERROR(aurora_data!T2090,0)</f>
        <v>0</v>
      </c>
      <c r="V70" s="64" t="s">
        <v>95</v>
      </c>
      <c r="W70" s="36">
        <f>IFERROR(aurora_data!U2090,0)</f>
        <v>0</v>
      </c>
      <c r="X70" s="71">
        <f t="shared" si="7"/>
        <v>0</v>
      </c>
      <c r="Y70" s="2"/>
    </row>
    <row r="71" spans="1:25" customFormat="1">
      <c r="A71" s="2"/>
      <c r="B71" s="211"/>
      <c r="C71" s="213"/>
      <c r="D71" s="35" t="s">
        <v>97</v>
      </c>
      <c r="E71" s="36">
        <f>IFERROR(aurora_data!D2091,0)</f>
        <v>0</v>
      </c>
      <c r="F71" s="62">
        <f>IFERROR(aurora_data!E2091,0)</f>
        <v>0</v>
      </c>
      <c r="G71" s="62">
        <f>IFERROR(aurora_data!F2091,0)</f>
        <v>0</v>
      </c>
      <c r="H71" s="62">
        <f>IFERROR(aurora_data!G2091,0)</f>
        <v>0</v>
      </c>
      <c r="I71" s="63">
        <f>IFERROR(aurora_data!H2091,0)</f>
        <v>0</v>
      </c>
      <c r="J71" s="36">
        <f>IFERROR(aurora_data!I2091,0)</f>
        <v>0</v>
      </c>
      <c r="K71" s="62">
        <f>IFERROR(aurora_data!J2091,0)</f>
        <v>0</v>
      </c>
      <c r="L71" s="62">
        <f>IFERROR(aurora_data!K2091,0)</f>
        <v>0</v>
      </c>
      <c r="M71" s="62">
        <f>IFERROR(aurora_data!L2091,0)</f>
        <v>0</v>
      </c>
      <c r="N71" s="63">
        <f>IFERROR(aurora_data!M2091,0)</f>
        <v>0</v>
      </c>
      <c r="O71" s="36">
        <f>IFERROR(aurora_data!N2091,0)</f>
        <v>0</v>
      </c>
      <c r="P71" s="62">
        <f>IFERROR(aurora_data!O2091,0)</f>
        <v>0</v>
      </c>
      <c r="Q71" s="62">
        <f>IFERROR(aurora_data!P2091,0)</f>
        <v>0</v>
      </c>
      <c r="R71" s="63">
        <f>IFERROR(aurora_data!Q2091,0)</f>
        <v>0</v>
      </c>
      <c r="S71" s="62">
        <f>IFERROR(aurora_data!R2091,0)</f>
        <v>0</v>
      </c>
      <c r="T71" s="62">
        <f>IFERROR(aurora_data!S2091,0)</f>
        <v>0</v>
      </c>
      <c r="U71" s="63">
        <f>IFERROR(aurora_data!T2091,0)</f>
        <v>0</v>
      </c>
      <c r="V71" s="64" t="s">
        <v>95</v>
      </c>
      <c r="W71" s="36">
        <f>IFERROR(aurora_data!U2091,0)</f>
        <v>0</v>
      </c>
      <c r="X71" s="71">
        <f t="shared" si="7"/>
        <v>0</v>
      </c>
      <c r="Y71" s="2"/>
    </row>
    <row r="72" spans="1:25" customFormat="1">
      <c r="A72" s="2"/>
      <c r="B72" s="211"/>
      <c r="C72" s="213"/>
      <c r="D72" s="35" t="s">
        <v>98</v>
      </c>
      <c r="E72" s="36">
        <f>IFERROR(aurora_data!D2092,0)</f>
        <v>0</v>
      </c>
      <c r="F72" s="62">
        <f>IFERROR(aurora_data!E2092,0)</f>
        <v>0</v>
      </c>
      <c r="G72" s="62">
        <f>IFERROR(aurora_data!F2092,0)</f>
        <v>0</v>
      </c>
      <c r="H72" s="62">
        <f>IFERROR(aurora_data!G2092,0)</f>
        <v>0</v>
      </c>
      <c r="I72" s="63">
        <f>IFERROR(aurora_data!H2092,0)</f>
        <v>0</v>
      </c>
      <c r="J72" s="36">
        <f>IFERROR(aurora_data!I2092,0)</f>
        <v>0</v>
      </c>
      <c r="K72" s="62">
        <f>IFERROR(aurora_data!J2092,0)</f>
        <v>0</v>
      </c>
      <c r="L72" s="62">
        <f>IFERROR(aurora_data!K2092,0)</f>
        <v>0</v>
      </c>
      <c r="M72" s="62">
        <f>IFERROR(aurora_data!L2092,0)</f>
        <v>0</v>
      </c>
      <c r="N72" s="63">
        <f>IFERROR(aurora_data!M2092,0)</f>
        <v>0</v>
      </c>
      <c r="O72" s="36">
        <f>IFERROR(aurora_data!N2092,0)</f>
        <v>0</v>
      </c>
      <c r="P72" s="62">
        <f>IFERROR(aurora_data!O2092,0)</f>
        <v>0</v>
      </c>
      <c r="Q72" s="62">
        <f>IFERROR(aurora_data!P2092,0)</f>
        <v>0</v>
      </c>
      <c r="R72" s="63">
        <f>IFERROR(aurora_data!Q2092,0)</f>
        <v>0</v>
      </c>
      <c r="S72" s="62">
        <f>IFERROR(aurora_data!R2092,0)</f>
        <v>0</v>
      </c>
      <c r="T72" s="62">
        <f>IFERROR(aurora_data!S2092,0)</f>
        <v>0</v>
      </c>
      <c r="U72" s="63">
        <f>IFERROR(aurora_data!T2092,0)</f>
        <v>0</v>
      </c>
      <c r="V72" s="64" t="s">
        <v>95</v>
      </c>
      <c r="W72" s="36">
        <f>IFERROR(aurora_data!U2092,0)</f>
        <v>0</v>
      </c>
      <c r="X72" s="71">
        <f t="shared" si="7"/>
        <v>0</v>
      </c>
      <c r="Y72" s="2"/>
    </row>
    <row r="73" spans="1:25" customFormat="1" ht="16.5" thickBot="1">
      <c r="A73" s="2"/>
      <c r="B73" s="211"/>
      <c r="C73" s="213"/>
      <c r="D73" s="35" t="s">
        <v>99</v>
      </c>
      <c r="E73" s="36">
        <f>IFERROR(aurora_data!D2093,0)</f>
        <v>0</v>
      </c>
      <c r="F73" s="62">
        <f>IFERROR(aurora_data!E2093,0)</f>
        <v>0</v>
      </c>
      <c r="G73" s="62">
        <f>IFERROR(aurora_data!F2093,0)</f>
        <v>0</v>
      </c>
      <c r="H73" s="62">
        <f>IFERROR(aurora_data!G2093,0)</f>
        <v>0</v>
      </c>
      <c r="I73" s="63">
        <f>IFERROR(aurora_data!H2093,0)</f>
        <v>0</v>
      </c>
      <c r="J73" s="36">
        <f>IFERROR(aurora_data!I2093,0)</f>
        <v>0</v>
      </c>
      <c r="K73" s="62">
        <f>IFERROR(aurora_data!J2093,0)</f>
        <v>0</v>
      </c>
      <c r="L73" s="62">
        <f>IFERROR(aurora_data!K2093,0)</f>
        <v>0</v>
      </c>
      <c r="M73" s="62">
        <f>IFERROR(aurora_data!L2093,0)</f>
        <v>0</v>
      </c>
      <c r="N73" s="63">
        <f>IFERROR(aurora_data!M2093,0)</f>
        <v>0</v>
      </c>
      <c r="O73" s="36">
        <f>IFERROR(aurora_data!N2093,0)</f>
        <v>0</v>
      </c>
      <c r="P73" s="62">
        <f>IFERROR(aurora_data!O2093,0)</f>
        <v>0</v>
      </c>
      <c r="Q73" s="62">
        <f>IFERROR(aurora_data!P2093,0)</f>
        <v>0</v>
      </c>
      <c r="R73" s="63">
        <f>IFERROR(aurora_data!Q2093,0)</f>
        <v>0</v>
      </c>
      <c r="S73" s="62">
        <f>IFERROR(aurora_data!R2093,0)</f>
        <v>0</v>
      </c>
      <c r="T73" s="62">
        <f>IFERROR(aurora_data!S2093,0)</f>
        <v>0</v>
      </c>
      <c r="U73" s="63">
        <f>IFERROR(aurora_data!T2093,0)</f>
        <v>0</v>
      </c>
      <c r="V73" s="64" t="s">
        <v>95</v>
      </c>
      <c r="W73" s="36">
        <f>IFERROR(aurora_data!U2093,0)</f>
        <v>0</v>
      </c>
      <c r="X73" s="71">
        <f t="shared" si="7"/>
        <v>0</v>
      </c>
      <c r="Y73" s="2"/>
    </row>
    <row r="74" spans="1:25" customFormat="1" ht="16.5" thickBot="1">
      <c r="A74" s="2"/>
      <c r="B74" s="211"/>
      <c r="C74" s="213"/>
      <c r="D74" s="37" t="s">
        <v>64</v>
      </c>
      <c r="E74" s="59">
        <f>IFERROR(aurora_data!D2094,0)</f>
        <v>1</v>
      </c>
      <c r="F74" s="65">
        <f>IFERROR(aurora_data!E2094,0)</f>
        <v>1</v>
      </c>
      <c r="G74" s="65">
        <f>IFERROR(aurora_data!F2094,0)</f>
        <v>1</v>
      </c>
      <c r="H74" s="65">
        <f>IFERROR(aurora_data!G2094,0)</f>
        <v>0</v>
      </c>
      <c r="I74" s="66">
        <f>IFERROR(aurora_data!H2094,0)</f>
        <v>1</v>
      </c>
      <c r="J74" s="59">
        <f>IFERROR(aurora_data!I2094,0)</f>
        <v>0</v>
      </c>
      <c r="K74" s="65">
        <f>IFERROR(aurora_data!J2094,0)</f>
        <v>2</v>
      </c>
      <c r="L74" s="65">
        <f>IFERROR(aurora_data!K2094,0)</f>
        <v>0</v>
      </c>
      <c r="M74" s="65">
        <f>IFERROR(aurora_data!L2094,0)</f>
        <v>0</v>
      </c>
      <c r="N74" s="66">
        <f>IFERROR(aurora_data!M2094,0)</f>
        <v>2</v>
      </c>
      <c r="O74" s="59">
        <f>IFERROR(aurora_data!N2094,0)</f>
        <v>1</v>
      </c>
      <c r="P74" s="65">
        <f>IFERROR(aurora_data!O2094,0)</f>
        <v>1</v>
      </c>
      <c r="Q74" s="65">
        <f>IFERROR(aurora_data!P2094,0)</f>
        <v>2</v>
      </c>
      <c r="R74" s="66">
        <f>IFERROR(aurora_data!Q2094,0)</f>
        <v>0</v>
      </c>
      <c r="S74" s="65">
        <f>IFERROR(aurora_data!R2094,0)</f>
        <v>3</v>
      </c>
      <c r="T74" s="65">
        <f>IFERROR(aurora_data!S2094,0)</f>
        <v>1</v>
      </c>
      <c r="U74" s="66">
        <f>IFERROR(aurora_data!T2094,0)</f>
        <v>0</v>
      </c>
      <c r="V74" s="67" t="s">
        <v>95</v>
      </c>
      <c r="W74" s="59">
        <f>IFERROR(aurora_data!U2094,0)</f>
        <v>4</v>
      </c>
      <c r="X74" s="72">
        <f t="shared" si="7"/>
        <v>1</v>
      </c>
      <c r="Y74" s="2"/>
    </row>
    <row r="75" spans="1:25" customFormat="1" ht="16.5" thickBot="1">
      <c r="A75" s="2"/>
      <c r="B75" s="211"/>
      <c r="C75" s="213"/>
      <c r="D75" s="38" t="s">
        <v>100</v>
      </c>
      <c r="E75" s="60">
        <f>IFERROR(aurora_data!D2095,0)</f>
        <v>0</v>
      </c>
      <c r="F75" s="68">
        <f>IFERROR(aurora_data!E2095,0)</f>
        <v>0</v>
      </c>
      <c r="G75" s="68">
        <f>IFERROR(aurora_data!F2095,0)</f>
        <v>0</v>
      </c>
      <c r="H75" s="68">
        <f>IFERROR(aurora_data!G2095,0)</f>
        <v>0</v>
      </c>
      <c r="I75" s="69">
        <f>IFERROR(aurora_data!H2095,0)</f>
        <v>0</v>
      </c>
      <c r="J75" s="60">
        <f>IFERROR(aurora_data!I2095,0)</f>
        <v>0</v>
      </c>
      <c r="K75" s="68">
        <f>IFERROR(aurora_data!J2095,0)</f>
        <v>0</v>
      </c>
      <c r="L75" s="68">
        <f>IFERROR(aurora_data!K2095,0)</f>
        <v>0</v>
      </c>
      <c r="M75" s="68">
        <f>IFERROR(aurora_data!L2095,0)</f>
        <v>0</v>
      </c>
      <c r="N75" s="69">
        <f>IFERROR(aurora_data!M2095,0)</f>
        <v>0</v>
      </c>
      <c r="O75" s="60">
        <f>IFERROR(aurora_data!N2095,0)</f>
        <v>0</v>
      </c>
      <c r="P75" s="68">
        <f>IFERROR(aurora_data!O2095,0)</f>
        <v>0</v>
      </c>
      <c r="Q75" s="68">
        <f>IFERROR(aurora_data!P2095,0)</f>
        <v>0</v>
      </c>
      <c r="R75" s="69">
        <f>IFERROR(aurora_data!Q2095,0)</f>
        <v>0</v>
      </c>
      <c r="S75" s="68">
        <f>IFERROR(aurora_data!R2095,0)</f>
        <v>0</v>
      </c>
      <c r="T75" s="68">
        <f>IFERROR(aurora_data!S2095,0)</f>
        <v>0</v>
      </c>
      <c r="U75" s="74">
        <f>IFERROR(aurora_data!T2095,0)</f>
        <v>0</v>
      </c>
      <c r="V75" s="75" t="s">
        <v>95</v>
      </c>
      <c r="W75" s="60">
        <f>IFERROR(aurora_data!U2095,0)</f>
        <v>0</v>
      </c>
      <c r="X75" s="73">
        <f t="shared" si="7"/>
        <v>0</v>
      </c>
      <c r="Y75" s="2"/>
    </row>
    <row r="76" spans="1:25" customFormat="1">
      <c r="A76" s="2"/>
      <c r="B76" s="210" t="s">
        <v>94</v>
      </c>
      <c r="C76" s="212" t="str">
        <f>aurora_data!A2096</f>
        <v>14.00.00-14.11.30</v>
      </c>
      <c r="D76" s="34" t="s">
        <v>71</v>
      </c>
      <c r="E76" s="39">
        <f>IFERROR(aurora_data!D2096,0)</f>
        <v>0</v>
      </c>
      <c r="F76" s="40">
        <f>IFERROR(aurora_data!E2096,0)</f>
        <v>0</v>
      </c>
      <c r="G76" s="40">
        <f>IFERROR(aurora_data!F2096,0)</f>
        <v>0</v>
      </c>
      <c r="H76" s="40">
        <f>IFERROR(aurora_data!G2096,0)</f>
        <v>0</v>
      </c>
      <c r="I76" s="41">
        <f>IFERROR(aurora_data!H2096,0)</f>
        <v>0</v>
      </c>
      <c r="J76" s="39">
        <f>IFERROR(aurora_data!I2096,0)</f>
        <v>0</v>
      </c>
      <c r="K76" s="40">
        <f>IFERROR(aurora_data!J2096,0)</f>
        <v>0</v>
      </c>
      <c r="L76" s="40">
        <f>IFERROR(aurora_data!K2096,0)</f>
        <v>0</v>
      </c>
      <c r="M76" s="40">
        <f>IFERROR(aurora_data!L2096,0)</f>
        <v>0</v>
      </c>
      <c r="N76" s="41">
        <f>IFERROR(aurora_data!M2096,0)</f>
        <v>0</v>
      </c>
      <c r="O76" s="39">
        <f>IFERROR(aurora_data!N2096,0)</f>
        <v>0</v>
      </c>
      <c r="P76" s="40">
        <f>IFERROR(aurora_data!O2096,0)</f>
        <v>0</v>
      </c>
      <c r="Q76" s="40">
        <f>IFERROR(aurora_data!P2096,0)</f>
        <v>0</v>
      </c>
      <c r="R76" s="41">
        <f>IFERROR(aurora_data!Q2096,0)</f>
        <v>0</v>
      </c>
      <c r="S76" s="40">
        <f>IFERROR(aurora_data!R2096,0)</f>
        <v>0</v>
      </c>
      <c r="T76" s="40">
        <f>IFERROR(aurora_data!S2096,0)</f>
        <v>0</v>
      </c>
      <c r="U76" s="76">
        <f>IFERROR(aurora_data!T2096,0)</f>
        <v>0</v>
      </c>
      <c r="V76" s="61" t="s">
        <v>95</v>
      </c>
      <c r="W76" s="39">
        <f>IFERROR(aurora_data!U2096,0)</f>
        <v>5</v>
      </c>
      <c r="X76" s="70">
        <f>IFERROR(W76/$W$12,0)</f>
        <v>1.25</v>
      </c>
      <c r="Y76" s="2"/>
    </row>
    <row r="77" spans="1:25" customFormat="1">
      <c r="A77" s="2"/>
      <c r="B77" s="211"/>
      <c r="C77" s="213"/>
      <c r="D77" s="35" t="s">
        <v>96</v>
      </c>
      <c r="E77" s="110">
        <f>IFERROR(aurora_data!D2097,0)</f>
        <v>0</v>
      </c>
      <c r="F77" s="62">
        <f>IFERROR(aurora_data!E2097,0)</f>
        <v>0</v>
      </c>
      <c r="G77" s="62">
        <f>IFERROR(aurora_data!F2097,0)</f>
        <v>0</v>
      </c>
      <c r="H77" s="62">
        <f>IFERROR(aurora_data!G2097,0)</f>
        <v>2</v>
      </c>
      <c r="I77" s="63">
        <f>IFERROR(aurora_data!H2097,0)</f>
        <v>1</v>
      </c>
      <c r="J77" s="36">
        <f>IFERROR(aurora_data!I2097,0)</f>
        <v>0</v>
      </c>
      <c r="K77" s="62">
        <f>IFERROR(aurora_data!J2097,0)</f>
        <v>2</v>
      </c>
      <c r="L77" s="62">
        <f>IFERROR(aurora_data!K2097,0)</f>
        <v>0</v>
      </c>
      <c r="M77" s="62">
        <f>IFERROR(aurora_data!L2097,0)</f>
        <v>0</v>
      </c>
      <c r="N77" s="63">
        <f>IFERROR(aurora_data!M2097,0)</f>
        <v>1</v>
      </c>
      <c r="O77" s="36">
        <f>IFERROR(aurora_data!N2097,0)</f>
        <v>1</v>
      </c>
      <c r="P77" s="62">
        <f>IFERROR(aurora_data!O2097,0)</f>
        <v>1</v>
      </c>
      <c r="Q77" s="62">
        <f>IFERROR(aurora_data!P2097,0)</f>
        <v>1</v>
      </c>
      <c r="R77" s="63">
        <f>IFERROR(aurora_data!Q2097,0)</f>
        <v>0</v>
      </c>
      <c r="S77" s="62">
        <f>IFERROR(aurora_data!R2097,0)</f>
        <v>0</v>
      </c>
      <c r="T77" s="62">
        <f>IFERROR(aurora_data!S2097,0)</f>
        <v>3</v>
      </c>
      <c r="U77" s="63">
        <f>IFERROR(aurora_data!T2097,0)</f>
        <v>0</v>
      </c>
      <c r="V77" s="64" t="s">
        <v>95</v>
      </c>
      <c r="W77" s="36">
        <f>IFERROR(aurora_data!U2097,0)</f>
        <v>3</v>
      </c>
      <c r="X77" s="71">
        <f t="shared" ref="X77:X83" si="8">IFERROR(W77/$W$12,0)</f>
        <v>0.75</v>
      </c>
      <c r="Y77" s="2"/>
    </row>
    <row r="78" spans="1:25" customFormat="1">
      <c r="A78" s="2"/>
      <c r="B78" s="211"/>
      <c r="C78" s="213"/>
      <c r="D78" s="35" t="s">
        <v>60</v>
      </c>
      <c r="E78" s="110">
        <f>IFERROR(aurora_data!D2098,0)</f>
        <v>0</v>
      </c>
      <c r="F78" s="62">
        <f>IFERROR(aurora_data!E2098,0)</f>
        <v>0</v>
      </c>
      <c r="G78" s="62">
        <f>IFERROR(aurora_data!F2098,0)</f>
        <v>0</v>
      </c>
      <c r="H78" s="62">
        <f>IFERROR(aurora_data!G2098,0)</f>
        <v>0</v>
      </c>
      <c r="I78" s="63">
        <f>IFERROR(aurora_data!H2098,0)</f>
        <v>0</v>
      </c>
      <c r="J78" s="36">
        <f>IFERROR(aurora_data!I2098,0)</f>
        <v>0</v>
      </c>
      <c r="K78" s="62">
        <f>IFERROR(aurora_data!J2098,0)</f>
        <v>0</v>
      </c>
      <c r="L78" s="62">
        <f>IFERROR(aurora_data!K2098,0)</f>
        <v>0</v>
      </c>
      <c r="M78" s="62">
        <f>IFERROR(aurora_data!L2098,0)</f>
        <v>0</v>
      </c>
      <c r="N78" s="63">
        <f>IFERROR(aurora_data!M2098,0)</f>
        <v>0</v>
      </c>
      <c r="O78" s="36">
        <f>IFERROR(aurora_data!N2098,0)</f>
        <v>0</v>
      </c>
      <c r="P78" s="62">
        <f>IFERROR(aurora_data!O2098,0)</f>
        <v>0</v>
      </c>
      <c r="Q78" s="62">
        <f>IFERROR(aurora_data!P2098,0)</f>
        <v>0</v>
      </c>
      <c r="R78" s="63">
        <f>IFERROR(aurora_data!Q2098,0)</f>
        <v>0</v>
      </c>
      <c r="S78" s="62">
        <f>IFERROR(aurora_data!R2098,0)</f>
        <v>0</v>
      </c>
      <c r="T78" s="62">
        <f>IFERROR(aurora_data!S2098,0)</f>
        <v>0</v>
      </c>
      <c r="U78" s="63">
        <f>IFERROR(aurora_data!T2098,0)</f>
        <v>0</v>
      </c>
      <c r="V78" s="64" t="s">
        <v>95</v>
      </c>
      <c r="W78" s="36">
        <f>IFERROR(aurora_data!U2098,0)</f>
        <v>0</v>
      </c>
      <c r="X78" s="71">
        <f t="shared" si="8"/>
        <v>0</v>
      </c>
      <c r="Y78" s="2"/>
    </row>
    <row r="79" spans="1:25" customFormat="1">
      <c r="A79" s="2"/>
      <c r="B79" s="211"/>
      <c r="C79" s="213"/>
      <c r="D79" s="35" t="s">
        <v>97</v>
      </c>
      <c r="E79" s="36">
        <f>IFERROR(aurora_data!D2099,0)</f>
        <v>0</v>
      </c>
      <c r="F79" s="62">
        <f>IFERROR(aurora_data!E2099,0)</f>
        <v>1</v>
      </c>
      <c r="G79" s="62">
        <f>IFERROR(aurora_data!F2099,0)</f>
        <v>0</v>
      </c>
      <c r="H79" s="62">
        <f>IFERROR(aurora_data!G2099,0)</f>
        <v>0</v>
      </c>
      <c r="I79" s="63">
        <f>IFERROR(aurora_data!H2099,0)</f>
        <v>0</v>
      </c>
      <c r="J79" s="36">
        <f>IFERROR(aurora_data!I2099,0)</f>
        <v>0</v>
      </c>
      <c r="K79" s="62">
        <f>IFERROR(aurora_data!J2099,0)</f>
        <v>0</v>
      </c>
      <c r="L79" s="62">
        <f>IFERROR(aurora_data!K2099,0)</f>
        <v>0</v>
      </c>
      <c r="M79" s="62">
        <f>IFERROR(aurora_data!L2099,0)</f>
        <v>0</v>
      </c>
      <c r="N79" s="63">
        <f>IFERROR(aurora_data!M2099,0)</f>
        <v>1</v>
      </c>
      <c r="O79" s="36">
        <f>IFERROR(aurora_data!N2099,0)</f>
        <v>0</v>
      </c>
      <c r="P79" s="62">
        <f>IFERROR(aurora_data!O2099,0)</f>
        <v>0</v>
      </c>
      <c r="Q79" s="62">
        <f>IFERROR(aurora_data!P2099,0)</f>
        <v>1</v>
      </c>
      <c r="R79" s="63">
        <f>IFERROR(aurora_data!Q2099,0)</f>
        <v>0</v>
      </c>
      <c r="S79" s="62">
        <f>IFERROR(aurora_data!R2099,0)</f>
        <v>0</v>
      </c>
      <c r="T79" s="62">
        <f>IFERROR(aurora_data!S2099,0)</f>
        <v>1</v>
      </c>
      <c r="U79" s="63">
        <f>IFERROR(aurora_data!T2099,0)</f>
        <v>0</v>
      </c>
      <c r="V79" s="64" t="s">
        <v>95</v>
      </c>
      <c r="W79" s="36">
        <f>IFERROR(aurora_data!U2099,0)</f>
        <v>1</v>
      </c>
      <c r="X79" s="71">
        <f t="shared" si="8"/>
        <v>0.25</v>
      </c>
      <c r="Y79" s="2"/>
    </row>
    <row r="80" spans="1:25" customFormat="1">
      <c r="A80" s="2"/>
      <c r="B80" s="211"/>
      <c r="C80" s="213"/>
      <c r="D80" s="35" t="s">
        <v>98</v>
      </c>
      <c r="E80" s="36">
        <f>IFERROR(aurora_data!D2100,0)</f>
        <v>0</v>
      </c>
      <c r="F80" s="62">
        <f>IFERROR(aurora_data!E2100,0)</f>
        <v>0</v>
      </c>
      <c r="G80" s="62">
        <f>IFERROR(aurora_data!F2100,0)</f>
        <v>0</v>
      </c>
      <c r="H80" s="62">
        <f>IFERROR(aurora_data!G2100,0)</f>
        <v>1</v>
      </c>
      <c r="I80" s="63">
        <f>IFERROR(aurora_data!H2100,0)</f>
        <v>0</v>
      </c>
      <c r="J80" s="36">
        <f>IFERROR(aurora_data!I2100,0)</f>
        <v>0</v>
      </c>
      <c r="K80" s="62">
        <f>IFERROR(aurora_data!J2100,0)</f>
        <v>0</v>
      </c>
      <c r="L80" s="62">
        <f>IFERROR(aurora_data!K2100,0)</f>
        <v>0</v>
      </c>
      <c r="M80" s="62">
        <f>IFERROR(aurora_data!L2100,0)</f>
        <v>0</v>
      </c>
      <c r="N80" s="63">
        <f>IFERROR(aurora_data!M2100,0)</f>
        <v>1</v>
      </c>
      <c r="O80" s="36">
        <f>IFERROR(aurora_data!N2100,0)</f>
        <v>1</v>
      </c>
      <c r="P80" s="62">
        <f>IFERROR(aurora_data!O2100,0)</f>
        <v>0</v>
      </c>
      <c r="Q80" s="62">
        <f>IFERROR(aurora_data!P2100,0)</f>
        <v>0</v>
      </c>
      <c r="R80" s="63">
        <f>IFERROR(aurora_data!Q2100,0)</f>
        <v>0</v>
      </c>
      <c r="S80" s="62">
        <f>IFERROR(aurora_data!R2100,0)</f>
        <v>0</v>
      </c>
      <c r="T80" s="62">
        <f>IFERROR(aurora_data!S2100,0)</f>
        <v>1</v>
      </c>
      <c r="U80" s="63">
        <f>IFERROR(aurora_data!T2100,0)</f>
        <v>0</v>
      </c>
      <c r="V80" s="64" t="s">
        <v>95</v>
      </c>
      <c r="W80" s="36">
        <f>IFERROR(aurora_data!U2100,0)</f>
        <v>1</v>
      </c>
      <c r="X80" s="71">
        <f t="shared" si="8"/>
        <v>0.25</v>
      </c>
      <c r="Y80" s="2"/>
    </row>
    <row r="81" spans="1:25" customFormat="1" ht="16.5" thickBot="1">
      <c r="A81" s="2"/>
      <c r="B81" s="211"/>
      <c r="C81" s="213"/>
      <c r="D81" s="35" t="s">
        <v>99</v>
      </c>
      <c r="E81" s="36">
        <f>IFERROR(aurora_data!D2101,0)</f>
        <v>0</v>
      </c>
      <c r="F81" s="62">
        <f>IFERROR(aurora_data!E2101,0)</f>
        <v>0</v>
      </c>
      <c r="G81" s="62">
        <f>IFERROR(aurora_data!F2101,0)</f>
        <v>0</v>
      </c>
      <c r="H81" s="62">
        <f>IFERROR(aurora_data!G2101,0)</f>
        <v>0</v>
      </c>
      <c r="I81" s="63">
        <f>IFERROR(aurora_data!H2101,0)</f>
        <v>0</v>
      </c>
      <c r="J81" s="36">
        <f>IFERROR(aurora_data!I2101,0)</f>
        <v>0</v>
      </c>
      <c r="K81" s="62">
        <f>IFERROR(aurora_data!J2101,0)</f>
        <v>0</v>
      </c>
      <c r="L81" s="62">
        <f>IFERROR(aurora_data!K2101,0)</f>
        <v>0</v>
      </c>
      <c r="M81" s="62">
        <f>IFERROR(aurora_data!L2101,0)</f>
        <v>0</v>
      </c>
      <c r="N81" s="63">
        <f>IFERROR(aurora_data!M2101,0)</f>
        <v>0</v>
      </c>
      <c r="O81" s="36">
        <f>IFERROR(aurora_data!N2101,0)</f>
        <v>0</v>
      </c>
      <c r="P81" s="62">
        <f>IFERROR(aurora_data!O2101,0)</f>
        <v>0</v>
      </c>
      <c r="Q81" s="62">
        <f>IFERROR(aurora_data!P2101,0)</f>
        <v>0</v>
      </c>
      <c r="R81" s="63">
        <f>IFERROR(aurora_data!Q2101,0)</f>
        <v>0</v>
      </c>
      <c r="S81" s="62">
        <f>IFERROR(aurora_data!R2101,0)</f>
        <v>0</v>
      </c>
      <c r="T81" s="62">
        <f>IFERROR(aurora_data!S2101,0)</f>
        <v>0</v>
      </c>
      <c r="U81" s="63">
        <f>IFERROR(aurora_data!T2101,0)</f>
        <v>0</v>
      </c>
      <c r="V81" s="64" t="s">
        <v>95</v>
      </c>
      <c r="W81" s="36">
        <f>IFERROR(aurora_data!U2101,0)</f>
        <v>0</v>
      </c>
      <c r="X81" s="71">
        <f t="shared" si="8"/>
        <v>0</v>
      </c>
      <c r="Y81" s="2"/>
    </row>
    <row r="82" spans="1:25" customFormat="1" ht="16.5" thickBot="1">
      <c r="A82" s="2"/>
      <c r="B82" s="211"/>
      <c r="C82" s="213"/>
      <c r="D82" s="37" t="s">
        <v>64</v>
      </c>
      <c r="E82" s="59">
        <f>IFERROR(aurora_data!D2102,0)</f>
        <v>0</v>
      </c>
      <c r="F82" s="65">
        <f>IFERROR(aurora_data!E2102,0)</f>
        <v>1</v>
      </c>
      <c r="G82" s="65">
        <f>IFERROR(aurora_data!F2102,0)</f>
        <v>0</v>
      </c>
      <c r="H82" s="65">
        <f>IFERROR(aurora_data!G2102,0)</f>
        <v>3</v>
      </c>
      <c r="I82" s="66">
        <f>IFERROR(aurora_data!H2102,0)</f>
        <v>1</v>
      </c>
      <c r="J82" s="59">
        <f>IFERROR(aurora_data!I2102,0)</f>
        <v>0</v>
      </c>
      <c r="K82" s="65">
        <f>IFERROR(aurora_data!J2102,0)</f>
        <v>2</v>
      </c>
      <c r="L82" s="65">
        <f>IFERROR(aurora_data!K2102,0)</f>
        <v>0</v>
      </c>
      <c r="M82" s="65">
        <f>IFERROR(aurora_data!L2102,0)</f>
        <v>0</v>
      </c>
      <c r="N82" s="66">
        <f>IFERROR(aurora_data!M2102,0)</f>
        <v>3</v>
      </c>
      <c r="O82" s="59">
        <f>IFERROR(aurora_data!N2102,0)</f>
        <v>2</v>
      </c>
      <c r="P82" s="65">
        <f>IFERROR(aurora_data!O2102,0)</f>
        <v>1</v>
      </c>
      <c r="Q82" s="65">
        <f>IFERROR(aurora_data!P2102,0)</f>
        <v>2</v>
      </c>
      <c r="R82" s="66">
        <f>IFERROR(aurora_data!Q2102,0)</f>
        <v>0</v>
      </c>
      <c r="S82" s="65">
        <f>IFERROR(aurora_data!R2102,0)</f>
        <v>0</v>
      </c>
      <c r="T82" s="65">
        <f>IFERROR(aurora_data!S2102,0)</f>
        <v>5</v>
      </c>
      <c r="U82" s="66">
        <f>IFERROR(aurora_data!T2102,0)</f>
        <v>0</v>
      </c>
      <c r="V82" s="67" t="s">
        <v>95</v>
      </c>
      <c r="W82" s="59">
        <f>IFERROR(aurora_data!U2102,0)</f>
        <v>5</v>
      </c>
      <c r="X82" s="72">
        <f t="shared" si="8"/>
        <v>1.25</v>
      </c>
      <c r="Y82" s="2"/>
    </row>
    <row r="83" spans="1:25" customFormat="1" ht="16.5" thickBot="1">
      <c r="A83" s="2"/>
      <c r="B83" s="211"/>
      <c r="C83" s="213"/>
      <c r="D83" s="38" t="s">
        <v>100</v>
      </c>
      <c r="E83" s="60">
        <f>IFERROR(aurora_data!D2103,0)</f>
        <v>0</v>
      </c>
      <c r="F83" s="68">
        <f>IFERROR(aurora_data!E2103,0)</f>
        <v>0</v>
      </c>
      <c r="G83" s="68">
        <f>IFERROR(aurora_data!F2103,0)</f>
        <v>0</v>
      </c>
      <c r="H83" s="68">
        <f>IFERROR(aurora_data!G2103,0)</f>
        <v>0</v>
      </c>
      <c r="I83" s="69">
        <f>IFERROR(aurora_data!H2103,0)</f>
        <v>0</v>
      </c>
      <c r="J83" s="60">
        <f>IFERROR(aurora_data!I2103,0)</f>
        <v>0</v>
      </c>
      <c r="K83" s="68">
        <f>IFERROR(aurora_data!J2103,0)</f>
        <v>0</v>
      </c>
      <c r="L83" s="68">
        <f>IFERROR(aurora_data!K2103,0)</f>
        <v>0</v>
      </c>
      <c r="M83" s="68">
        <f>IFERROR(aurora_data!L2103,0)</f>
        <v>0</v>
      </c>
      <c r="N83" s="69">
        <f>IFERROR(aurora_data!M2103,0)</f>
        <v>0</v>
      </c>
      <c r="O83" s="60">
        <f>IFERROR(aurora_data!N2103,0)</f>
        <v>0</v>
      </c>
      <c r="P83" s="68">
        <f>IFERROR(aurora_data!O2103,0)</f>
        <v>0</v>
      </c>
      <c r="Q83" s="68">
        <f>IFERROR(aurora_data!P2103,0)</f>
        <v>0</v>
      </c>
      <c r="R83" s="69">
        <f>IFERROR(aurora_data!Q2103,0)</f>
        <v>0</v>
      </c>
      <c r="S83" s="68">
        <f>IFERROR(aurora_data!R2103,0)</f>
        <v>0</v>
      </c>
      <c r="T83" s="68">
        <f>IFERROR(aurora_data!S2103,0)</f>
        <v>0</v>
      </c>
      <c r="U83" s="74">
        <f>IFERROR(aurora_data!T2103,0)</f>
        <v>0</v>
      </c>
      <c r="V83" s="75" t="s">
        <v>95</v>
      </c>
      <c r="W83" s="60">
        <f>IFERROR(aurora_data!U2103,0)</f>
        <v>0</v>
      </c>
      <c r="X83" s="73">
        <f t="shared" si="8"/>
        <v>0</v>
      </c>
      <c r="Y83" s="2"/>
    </row>
    <row r="84" spans="1:25" customFormat="1">
      <c r="A84" s="2"/>
      <c r="B84" s="210" t="s">
        <v>94</v>
      </c>
      <c r="C84" s="212" t="str">
        <f>aurora_data!A2104</f>
        <v>15.00.00-15.11.30</v>
      </c>
      <c r="D84" s="34" t="s">
        <v>71</v>
      </c>
      <c r="E84" s="39">
        <f>IFERROR(aurora_data!D2104,0)</f>
        <v>0</v>
      </c>
      <c r="F84" s="40">
        <f>IFERROR(aurora_data!E2104,0)</f>
        <v>0</v>
      </c>
      <c r="G84" s="40">
        <f>IFERROR(aurora_data!F2104,0)</f>
        <v>0</v>
      </c>
      <c r="H84" s="40">
        <f>IFERROR(aurora_data!G2104,0)</f>
        <v>0</v>
      </c>
      <c r="I84" s="41">
        <f>IFERROR(aurora_data!H2104,0)</f>
        <v>0</v>
      </c>
      <c r="J84" s="39">
        <f>IFERROR(aurora_data!I2104,0)</f>
        <v>0</v>
      </c>
      <c r="K84" s="40">
        <f>IFERROR(aurora_data!J2104,0)</f>
        <v>0</v>
      </c>
      <c r="L84" s="40">
        <f>IFERROR(aurora_data!K2104,0)</f>
        <v>0</v>
      </c>
      <c r="M84" s="40">
        <f>IFERROR(aurora_data!L2104,0)</f>
        <v>0</v>
      </c>
      <c r="N84" s="41">
        <f>IFERROR(aurora_data!M2104,0)</f>
        <v>0</v>
      </c>
      <c r="O84" s="39">
        <f>IFERROR(aurora_data!N2104,0)</f>
        <v>0</v>
      </c>
      <c r="P84" s="40">
        <f>IFERROR(aurora_data!O2104,0)</f>
        <v>0</v>
      </c>
      <c r="Q84" s="40">
        <f>IFERROR(aurora_data!P2104,0)</f>
        <v>0</v>
      </c>
      <c r="R84" s="41">
        <f>IFERROR(aurora_data!Q2104,0)</f>
        <v>0</v>
      </c>
      <c r="S84" s="40">
        <f>IFERROR(aurora_data!R2104,0)</f>
        <v>0</v>
      </c>
      <c r="T84" s="40">
        <f>IFERROR(aurora_data!S2104,0)</f>
        <v>0</v>
      </c>
      <c r="U84" s="76">
        <f>IFERROR(aurora_data!T2104,0)</f>
        <v>0</v>
      </c>
      <c r="V84" s="61" t="s">
        <v>95</v>
      </c>
      <c r="W84" s="39">
        <f>IFERROR(aurora_data!U2104,0)</f>
        <v>5</v>
      </c>
      <c r="X84" s="70">
        <f>IFERROR(W84/$W$12,0)</f>
        <v>1.25</v>
      </c>
      <c r="Y84" s="2"/>
    </row>
    <row r="85" spans="1:25" customFormat="1">
      <c r="A85" s="2"/>
      <c r="B85" s="211"/>
      <c r="C85" s="213"/>
      <c r="D85" s="35" t="s">
        <v>96</v>
      </c>
      <c r="E85" s="110">
        <f>IFERROR(aurora_data!D2105,0)</f>
        <v>0</v>
      </c>
      <c r="F85" s="62">
        <f>IFERROR(aurora_data!E2105,0)</f>
        <v>0</v>
      </c>
      <c r="G85" s="62">
        <f>IFERROR(aurora_data!F2105,0)</f>
        <v>0</v>
      </c>
      <c r="H85" s="62">
        <f>IFERROR(aurora_data!G2105,0)</f>
        <v>0</v>
      </c>
      <c r="I85" s="63">
        <f>IFERROR(aurora_data!H2105,0)</f>
        <v>0</v>
      </c>
      <c r="J85" s="36">
        <f>IFERROR(aurora_data!I2105,0)</f>
        <v>0</v>
      </c>
      <c r="K85" s="62">
        <f>IFERROR(aurora_data!J2105,0)</f>
        <v>0</v>
      </c>
      <c r="L85" s="62">
        <f>IFERROR(aurora_data!K2105,0)</f>
        <v>0</v>
      </c>
      <c r="M85" s="62">
        <f>IFERROR(aurora_data!L2105,0)</f>
        <v>0</v>
      </c>
      <c r="N85" s="63">
        <f>IFERROR(aurora_data!M2105,0)</f>
        <v>0</v>
      </c>
      <c r="O85" s="36">
        <f>IFERROR(aurora_data!N2105,0)</f>
        <v>0</v>
      </c>
      <c r="P85" s="62">
        <f>IFERROR(aurora_data!O2105,0)</f>
        <v>0</v>
      </c>
      <c r="Q85" s="62">
        <f>IFERROR(aurora_data!P2105,0)</f>
        <v>0</v>
      </c>
      <c r="R85" s="63">
        <f>IFERROR(aurora_data!Q2105,0)</f>
        <v>0</v>
      </c>
      <c r="S85" s="62">
        <f>IFERROR(aurora_data!R2105,0)</f>
        <v>0</v>
      </c>
      <c r="T85" s="62">
        <f>IFERROR(aurora_data!S2105,0)</f>
        <v>0</v>
      </c>
      <c r="U85" s="63">
        <f>IFERROR(aurora_data!T2105,0)</f>
        <v>0</v>
      </c>
      <c r="V85" s="64" t="s">
        <v>95</v>
      </c>
      <c r="W85" s="36">
        <f>IFERROR(aurora_data!U2105,0)</f>
        <v>0</v>
      </c>
      <c r="X85" s="71">
        <f t="shared" ref="X85:X91" si="9">IFERROR(W85/$W$12,0)</f>
        <v>0</v>
      </c>
      <c r="Y85" s="2"/>
    </row>
    <row r="86" spans="1:25" customFormat="1">
      <c r="A86" s="2"/>
      <c r="B86" s="211"/>
      <c r="C86" s="213"/>
      <c r="D86" s="35" t="s">
        <v>60</v>
      </c>
      <c r="E86" s="110">
        <f>IFERROR(aurora_data!D2106,0)</f>
        <v>0</v>
      </c>
      <c r="F86" s="62">
        <f>IFERROR(aurora_data!E2106,0)</f>
        <v>0</v>
      </c>
      <c r="G86" s="62">
        <f>IFERROR(aurora_data!F2106,0)</f>
        <v>0</v>
      </c>
      <c r="H86" s="62">
        <f>IFERROR(aurora_data!G2106,0)</f>
        <v>0</v>
      </c>
      <c r="I86" s="63">
        <f>IFERROR(aurora_data!H2106,0)</f>
        <v>0</v>
      </c>
      <c r="J86" s="36">
        <f>IFERROR(aurora_data!I2106,0)</f>
        <v>0</v>
      </c>
      <c r="K86" s="62">
        <f>IFERROR(aurora_data!J2106,0)</f>
        <v>0</v>
      </c>
      <c r="L86" s="62">
        <f>IFERROR(aurora_data!K2106,0)</f>
        <v>0</v>
      </c>
      <c r="M86" s="62">
        <f>IFERROR(aurora_data!L2106,0)</f>
        <v>0</v>
      </c>
      <c r="N86" s="63">
        <f>IFERROR(aurora_data!M2106,0)</f>
        <v>0</v>
      </c>
      <c r="O86" s="36">
        <f>IFERROR(aurora_data!N2106,0)</f>
        <v>0</v>
      </c>
      <c r="P86" s="62">
        <f>IFERROR(aurora_data!O2106,0)</f>
        <v>0</v>
      </c>
      <c r="Q86" s="62">
        <f>IFERROR(aurora_data!P2106,0)</f>
        <v>0</v>
      </c>
      <c r="R86" s="63">
        <f>IFERROR(aurora_data!Q2106,0)</f>
        <v>0</v>
      </c>
      <c r="S86" s="62">
        <f>IFERROR(aurora_data!R2106,0)</f>
        <v>0</v>
      </c>
      <c r="T86" s="62">
        <f>IFERROR(aurora_data!S2106,0)</f>
        <v>0</v>
      </c>
      <c r="U86" s="63">
        <f>IFERROR(aurora_data!T2106,0)</f>
        <v>0</v>
      </c>
      <c r="V86" s="64" t="s">
        <v>95</v>
      </c>
      <c r="W86" s="36">
        <f>IFERROR(aurora_data!U2106,0)</f>
        <v>0</v>
      </c>
      <c r="X86" s="71">
        <f t="shared" si="9"/>
        <v>0</v>
      </c>
      <c r="Y86" s="2"/>
    </row>
    <row r="87" spans="1:25" customFormat="1">
      <c r="A87" s="2"/>
      <c r="B87" s="211"/>
      <c r="C87" s="213"/>
      <c r="D87" s="35" t="s">
        <v>97</v>
      </c>
      <c r="E87" s="36">
        <f>IFERROR(aurora_data!D2107,0)</f>
        <v>0</v>
      </c>
      <c r="F87" s="62">
        <f>IFERROR(aurora_data!E2107,0)</f>
        <v>0</v>
      </c>
      <c r="G87" s="62">
        <f>IFERROR(aurora_data!F2107,0)</f>
        <v>0</v>
      </c>
      <c r="H87" s="62">
        <f>IFERROR(aurora_data!G2107,0)</f>
        <v>0</v>
      </c>
      <c r="I87" s="63">
        <f>IFERROR(aurora_data!H2107,0)</f>
        <v>0</v>
      </c>
      <c r="J87" s="36">
        <f>IFERROR(aurora_data!I2107,0)</f>
        <v>0</v>
      </c>
      <c r="K87" s="62">
        <f>IFERROR(aurora_data!J2107,0)</f>
        <v>0</v>
      </c>
      <c r="L87" s="62">
        <f>IFERROR(aurora_data!K2107,0)</f>
        <v>0</v>
      </c>
      <c r="M87" s="62">
        <f>IFERROR(aurora_data!L2107,0)</f>
        <v>0</v>
      </c>
      <c r="N87" s="63">
        <f>IFERROR(aurora_data!M2107,0)</f>
        <v>0</v>
      </c>
      <c r="O87" s="36">
        <f>IFERROR(aurora_data!N2107,0)</f>
        <v>0</v>
      </c>
      <c r="P87" s="62">
        <f>IFERROR(aurora_data!O2107,0)</f>
        <v>0</v>
      </c>
      <c r="Q87" s="62">
        <f>IFERROR(aurora_data!P2107,0)</f>
        <v>0</v>
      </c>
      <c r="R87" s="63">
        <f>IFERROR(aurora_data!Q2107,0)</f>
        <v>0</v>
      </c>
      <c r="S87" s="62">
        <f>IFERROR(aurora_data!R2107,0)</f>
        <v>0</v>
      </c>
      <c r="T87" s="62">
        <f>IFERROR(aurora_data!S2107,0)</f>
        <v>0</v>
      </c>
      <c r="U87" s="63">
        <f>IFERROR(aurora_data!T2107,0)</f>
        <v>0</v>
      </c>
      <c r="V87" s="64" t="s">
        <v>95</v>
      </c>
      <c r="W87" s="36">
        <f>IFERROR(aurora_data!U2107,0)</f>
        <v>0</v>
      </c>
      <c r="X87" s="71">
        <f t="shared" si="9"/>
        <v>0</v>
      </c>
      <c r="Y87" s="2"/>
    </row>
    <row r="88" spans="1:25" customFormat="1">
      <c r="A88" s="2"/>
      <c r="B88" s="211"/>
      <c r="C88" s="213"/>
      <c r="D88" s="35" t="s">
        <v>98</v>
      </c>
      <c r="E88" s="36">
        <f>IFERROR(aurora_data!D2108,0)</f>
        <v>0</v>
      </c>
      <c r="F88" s="62">
        <f>IFERROR(aurora_data!E2108,0)</f>
        <v>0</v>
      </c>
      <c r="G88" s="62">
        <f>IFERROR(aurora_data!F2108,0)</f>
        <v>0</v>
      </c>
      <c r="H88" s="62">
        <f>IFERROR(aurora_data!G2108,0)</f>
        <v>1</v>
      </c>
      <c r="I88" s="63">
        <f>IFERROR(aurora_data!H2108,0)</f>
        <v>0</v>
      </c>
      <c r="J88" s="36">
        <f>IFERROR(aurora_data!I2108,0)</f>
        <v>0</v>
      </c>
      <c r="K88" s="62">
        <f>IFERROR(aurora_data!J2108,0)</f>
        <v>0</v>
      </c>
      <c r="L88" s="62">
        <f>IFERROR(aurora_data!K2108,0)</f>
        <v>0</v>
      </c>
      <c r="M88" s="62">
        <f>IFERROR(aurora_data!L2108,0)</f>
        <v>0</v>
      </c>
      <c r="N88" s="63">
        <f>IFERROR(aurora_data!M2108,0)</f>
        <v>1</v>
      </c>
      <c r="O88" s="36">
        <f>IFERROR(aurora_data!N2108,0)</f>
        <v>0</v>
      </c>
      <c r="P88" s="62">
        <f>IFERROR(aurora_data!O2108,0)</f>
        <v>0</v>
      </c>
      <c r="Q88" s="62">
        <f>IFERROR(aurora_data!P2108,0)</f>
        <v>0</v>
      </c>
      <c r="R88" s="63">
        <f>IFERROR(aurora_data!Q2108,0)</f>
        <v>1</v>
      </c>
      <c r="S88" s="62">
        <f>IFERROR(aurora_data!R2108,0)</f>
        <v>1</v>
      </c>
      <c r="T88" s="62">
        <f>IFERROR(aurora_data!S2108,0)</f>
        <v>0</v>
      </c>
      <c r="U88" s="63">
        <f>IFERROR(aurora_data!T2108,0)</f>
        <v>0</v>
      </c>
      <c r="V88" s="64" t="s">
        <v>95</v>
      </c>
      <c r="W88" s="36">
        <f>IFERROR(aurora_data!U2108,0)</f>
        <v>1</v>
      </c>
      <c r="X88" s="71">
        <f t="shared" si="9"/>
        <v>0.25</v>
      </c>
      <c r="Y88" s="2"/>
    </row>
    <row r="89" spans="1:25" customFormat="1" ht="16.5" thickBot="1">
      <c r="A89" s="2"/>
      <c r="B89" s="211"/>
      <c r="C89" s="213"/>
      <c r="D89" s="35" t="s">
        <v>99</v>
      </c>
      <c r="E89" s="36">
        <f>IFERROR(aurora_data!D2109,0)</f>
        <v>0</v>
      </c>
      <c r="F89" s="62">
        <f>IFERROR(aurora_data!E2109,0)</f>
        <v>0</v>
      </c>
      <c r="G89" s="62">
        <f>IFERROR(aurora_data!F2109,0)</f>
        <v>0</v>
      </c>
      <c r="H89" s="62">
        <f>IFERROR(aurora_data!G2109,0)</f>
        <v>0</v>
      </c>
      <c r="I89" s="63">
        <f>IFERROR(aurora_data!H2109,0)</f>
        <v>0</v>
      </c>
      <c r="J89" s="36">
        <f>IFERROR(aurora_data!I2109,0)</f>
        <v>0</v>
      </c>
      <c r="K89" s="62">
        <f>IFERROR(aurora_data!J2109,0)</f>
        <v>0</v>
      </c>
      <c r="L89" s="62">
        <f>IFERROR(aurora_data!K2109,0)</f>
        <v>0</v>
      </c>
      <c r="M89" s="62">
        <f>IFERROR(aurora_data!L2109,0)</f>
        <v>0</v>
      </c>
      <c r="N89" s="63">
        <f>IFERROR(aurora_data!M2109,0)</f>
        <v>0</v>
      </c>
      <c r="O89" s="36">
        <f>IFERROR(aurora_data!N2109,0)</f>
        <v>0</v>
      </c>
      <c r="P89" s="62">
        <f>IFERROR(aurora_data!O2109,0)</f>
        <v>0</v>
      </c>
      <c r="Q89" s="62">
        <f>IFERROR(aurora_data!P2109,0)</f>
        <v>0</v>
      </c>
      <c r="R89" s="63">
        <f>IFERROR(aurora_data!Q2109,0)</f>
        <v>0</v>
      </c>
      <c r="S89" s="62">
        <f>IFERROR(aurora_data!R2109,0)</f>
        <v>0</v>
      </c>
      <c r="T89" s="62">
        <f>IFERROR(aurora_data!S2109,0)</f>
        <v>0</v>
      </c>
      <c r="U89" s="63">
        <f>IFERROR(aurora_data!T2109,0)</f>
        <v>0</v>
      </c>
      <c r="V89" s="64" t="s">
        <v>95</v>
      </c>
      <c r="W89" s="36">
        <f>IFERROR(aurora_data!U2109,0)</f>
        <v>0</v>
      </c>
      <c r="X89" s="71">
        <f t="shared" si="9"/>
        <v>0</v>
      </c>
      <c r="Y89" s="2"/>
    </row>
    <row r="90" spans="1:25" customFormat="1" ht="16.5" thickBot="1">
      <c r="A90" s="2"/>
      <c r="B90" s="211"/>
      <c r="C90" s="213"/>
      <c r="D90" s="37" t="s">
        <v>64</v>
      </c>
      <c r="E90" s="59">
        <f>IFERROR(aurora_data!D2110,0)</f>
        <v>0</v>
      </c>
      <c r="F90" s="65">
        <f>IFERROR(aurora_data!E2110,0)</f>
        <v>0</v>
      </c>
      <c r="G90" s="65">
        <f>IFERROR(aurora_data!F2110,0)</f>
        <v>0</v>
      </c>
      <c r="H90" s="65">
        <f>IFERROR(aurora_data!G2110,0)</f>
        <v>1</v>
      </c>
      <c r="I90" s="66">
        <f>IFERROR(aurora_data!H2110,0)</f>
        <v>0</v>
      </c>
      <c r="J90" s="59">
        <f>IFERROR(aurora_data!I2110,0)</f>
        <v>0</v>
      </c>
      <c r="K90" s="65">
        <f>IFERROR(aurora_data!J2110,0)</f>
        <v>0</v>
      </c>
      <c r="L90" s="65">
        <f>IFERROR(aurora_data!K2110,0)</f>
        <v>0</v>
      </c>
      <c r="M90" s="65">
        <f>IFERROR(aurora_data!L2110,0)</f>
        <v>0</v>
      </c>
      <c r="N90" s="66">
        <f>IFERROR(aurora_data!M2110,0)</f>
        <v>1</v>
      </c>
      <c r="O90" s="59">
        <f>IFERROR(aurora_data!N2110,0)</f>
        <v>0</v>
      </c>
      <c r="P90" s="65">
        <f>IFERROR(aurora_data!O2110,0)</f>
        <v>0</v>
      </c>
      <c r="Q90" s="65">
        <f>IFERROR(aurora_data!P2110,0)</f>
        <v>0</v>
      </c>
      <c r="R90" s="66">
        <f>IFERROR(aurora_data!Q2110,0)</f>
        <v>1</v>
      </c>
      <c r="S90" s="65">
        <f>IFERROR(aurora_data!R2110,0)</f>
        <v>1</v>
      </c>
      <c r="T90" s="65">
        <f>IFERROR(aurora_data!S2110,0)</f>
        <v>0</v>
      </c>
      <c r="U90" s="66">
        <f>IFERROR(aurora_data!T2110,0)</f>
        <v>0</v>
      </c>
      <c r="V90" s="67" t="s">
        <v>95</v>
      </c>
      <c r="W90" s="59">
        <f>IFERROR(aurora_data!U2110,0)</f>
        <v>1</v>
      </c>
      <c r="X90" s="72">
        <f t="shared" si="9"/>
        <v>0.25</v>
      </c>
      <c r="Y90" s="2"/>
    </row>
    <row r="91" spans="1:25" customFormat="1" ht="16.5" thickBot="1">
      <c r="A91" s="2"/>
      <c r="B91" s="211"/>
      <c r="C91" s="213"/>
      <c r="D91" s="38" t="s">
        <v>100</v>
      </c>
      <c r="E91" s="60">
        <f>IFERROR(aurora_data!D2111,0)</f>
        <v>0</v>
      </c>
      <c r="F91" s="68">
        <f>IFERROR(aurora_data!E2111,0)</f>
        <v>0</v>
      </c>
      <c r="G91" s="68">
        <f>IFERROR(aurora_data!F2111,0)</f>
        <v>0</v>
      </c>
      <c r="H91" s="68">
        <f>IFERROR(aurora_data!G2111,0)</f>
        <v>0</v>
      </c>
      <c r="I91" s="69">
        <f>IFERROR(aurora_data!H2111,0)</f>
        <v>0</v>
      </c>
      <c r="J91" s="60">
        <f>IFERROR(aurora_data!I2111,0)</f>
        <v>0</v>
      </c>
      <c r="K91" s="68">
        <f>IFERROR(aurora_data!J2111,0)</f>
        <v>0</v>
      </c>
      <c r="L91" s="68">
        <f>IFERROR(aurora_data!K2111,0)</f>
        <v>0</v>
      </c>
      <c r="M91" s="68">
        <f>IFERROR(aurora_data!L2111,0)</f>
        <v>0</v>
      </c>
      <c r="N91" s="69">
        <f>IFERROR(aurora_data!M2111,0)</f>
        <v>0</v>
      </c>
      <c r="O91" s="60">
        <f>IFERROR(aurora_data!N2111,0)</f>
        <v>0</v>
      </c>
      <c r="P91" s="68">
        <f>IFERROR(aurora_data!O2111,0)</f>
        <v>0</v>
      </c>
      <c r="Q91" s="68">
        <f>IFERROR(aurora_data!P2111,0)</f>
        <v>0</v>
      </c>
      <c r="R91" s="69">
        <f>IFERROR(aurora_data!Q2111,0)</f>
        <v>0</v>
      </c>
      <c r="S91" s="68">
        <f>IFERROR(aurora_data!R2111,0)</f>
        <v>0</v>
      </c>
      <c r="T91" s="68">
        <f>IFERROR(aurora_data!S2111,0)</f>
        <v>0</v>
      </c>
      <c r="U91" s="74">
        <f>IFERROR(aurora_data!T2111,0)</f>
        <v>0</v>
      </c>
      <c r="V91" s="75" t="s">
        <v>95</v>
      </c>
      <c r="W91" s="60">
        <f>IFERROR(aurora_data!U2111,0)</f>
        <v>0</v>
      </c>
      <c r="X91" s="73">
        <f t="shared" si="9"/>
        <v>0</v>
      </c>
      <c r="Y91" s="2"/>
    </row>
    <row r="92" spans="1:25" customFormat="1">
      <c r="A92" s="2"/>
      <c r="B92" s="210" t="s">
        <v>94</v>
      </c>
      <c r="C92" s="212" t="str">
        <f>aurora_data!A2112</f>
        <v>16.00.00-16.11.30</v>
      </c>
      <c r="D92" s="34" t="s">
        <v>71</v>
      </c>
      <c r="E92" s="39">
        <f>IFERROR(aurora_data!D2112,0)</f>
        <v>0</v>
      </c>
      <c r="F92" s="40">
        <f>IFERROR(aurora_data!E2112,0)</f>
        <v>0</v>
      </c>
      <c r="G92" s="40">
        <f>IFERROR(aurora_data!F2112,0)</f>
        <v>0</v>
      </c>
      <c r="H92" s="40">
        <f>IFERROR(aurora_data!G2112,0)</f>
        <v>0</v>
      </c>
      <c r="I92" s="41">
        <f>IFERROR(aurora_data!H2112,0)</f>
        <v>0</v>
      </c>
      <c r="J92" s="39">
        <f>IFERROR(aurora_data!I2112,0)</f>
        <v>0</v>
      </c>
      <c r="K92" s="40">
        <f>IFERROR(aurora_data!J2112,0)</f>
        <v>0</v>
      </c>
      <c r="L92" s="40">
        <f>IFERROR(aurora_data!K2112,0)</f>
        <v>0</v>
      </c>
      <c r="M92" s="40">
        <f>IFERROR(aurora_data!L2112,0)</f>
        <v>0</v>
      </c>
      <c r="N92" s="41">
        <f>IFERROR(aurora_data!M2112,0)</f>
        <v>0</v>
      </c>
      <c r="O92" s="39">
        <f>IFERROR(aurora_data!N2112,0)</f>
        <v>0</v>
      </c>
      <c r="P92" s="40">
        <f>IFERROR(aurora_data!O2112,0)</f>
        <v>0</v>
      </c>
      <c r="Q92" s="40">
        <f>IFERROR(aurora_data!P2112,0)</f>
        <v>0</v>
      </c>
      <c r="R92" s="41">
        <f>IFERROR(aurora_data!Q2112,0)</f>
        <v>0</v>
      </c>
      <c r="S92" s="40">
        <f>IFERROR(aurora_data!R2112,0)</f>
        <v>0</v>
      </c>
      <c r="T92" s="40">
        <f>IFERROR(aurora_data!S2112,0)</f>
        <v>0</v>
      </c>
      <c r="U92" s="76">
        <f>IFERROR(aurora_data!T2112,0)</f>
        <v>0</v>
      </c>
      <c r="V92" s="61" t="s">
        <v>95</v>
      </c>
      <c r="W92" s="39">
        <f>IFERROR(aurora_data!U2112,0)</f>
        <v>5</v>
      </c>
      <c r="X92" s="70">
        <f>IFERROR(W92/$W$12,0)</f>
        <v>1.25</v>
      </c>
      <c r="Y92" s="2"/>
    </row>
    <row r="93" spans="1:25" customFormat="1">
      <c r="A93" s="2"/>
      <c r="B93" s="211"/>
      <c r="C93" s="213"/>
      <c r="D93" s="35" t="s">
        <v>96</v>
      </c>
      <c r="E93" s="110">
        <f>IFERROR(aurora_data!D2113,0)</f>
        <v>0</v>
      </c>
      <c r="F93" s="62">
        <f>IFERROR(aurora_data!E2113,0)</f>
        <v>0</v>
      </c>
      <c r="G93" s="62">
        <f>IFERROR(aurora_data!F2113,0)</f>
        <v>0</v>
      </c>
      <c r="H93" s="62">
        <f>IFERROR(aurora_data!G2113,0)</f>
        <v>1</v>
      </c>
      <c r="I93" s="63">
        <f>IFERROR(aurora_data!H2113,0)</f>
        <v>0</v>
      </c>
      <c r="J93" s="36">
        <f>IFERROR(aurora_data!I2113,0)</f>
        <v>0</v>
      </c>
      <c r="K93" s="62">
        <f>IFERROR(aurora_data!J2113,0)</f>
        <v>1</v>
      </c>
      <c r="L93" s="62">
        <f>IFERROR(aurora_data!K2113,0)</f>
        <v>0</v>
      </c>
      <c r="M93" s="62">
        <f>IFERROR(aurora_data!L2113,0)</f>
        <v>0</v>
      </c>
      <c r="N93" s="63">
        <f>IFERROR(aurora_data!M2113,0)</f>
        <v>0</v>
      </c>
      <c r="O93" s="36">
        <f>IFERROR(aurora_data!N2113,0)</f>
        <v>0</v>
      </c>
      <c r="P93" s="62">
        <f>IFERROR(aurora_data!O2113,0)</f>
        <v>0</v>
      </c>
      <c r="Q93" s="62">
        <f>IFERROR(aurora_data!P2113,0)</f>
        <v>1</v>
      </c>
      <c r="R93" s="63">
        <f>IFERROR(aurora_data!Q2113,0)</f>
        <v>0</v>
      </c>
      <c r="S93" s="62">
        <f>IFERROR(aurora_data!R2113,0)</f>
        <v>0</v>
      </c>
      <c r="T93" s="62">
        <f>IFERROR(aurora_data!S2113,0)</f>
        <v>1</v>
      </c>
      <c r="U93" s="63">
        <f>IFERROR(aurora_data!T2113,0)</f>
        <v>0</v>
      </c>
      <c r="V93" s="64" t="s">
        <v>95</v>
      </c>
      <c r="W93" s="36">
        <f>IFERROR(aurora_data!U2113,0)</f>
        <v>1</v>
      </c>
      <c r="X93" s="71">
        <f t="shared" ref="X93:X99" si="10">IFERROR(W93/$W$12,0)</f>
        <v>0.25</v>
      </c>
      <c r="Y93" s="2"/>
    </row>
    <row r="94" spans="1:25" customFormat="1">
      <c r="A94" s="2"/>
      <c r="B94" s="211"/>
      <c r="C94" s="213"/>
      <c r="D94" s="35" t="s">
        <v>60</v>
      </c>
      <c r="E94" s="110">
        <f>IFERROR(aurora_data!D2114,0)</f>
        <v>0</v>
      </c>
      <c r="F94" s="62">
        <f>IFERROR(aurora_data!E2114,0)</f>
        <v>0</v>
      </c>
      <c r="G94" s="62">
        <f>IFERROR(aurora_data!F2114,0)</f>
        <v>0</v>
      </c>
      <c r="H94" s="62">
        <f>IFERROR(aurora_data!G2114,0)</f>
        <v>0</v>
      </c>
      <c r="I94" s="63">
        <f>IFERROR(aurora_data!H2114,0)</f>
        <v>0</v>
      </c>
      <c r="J94" s="36">
        <f>IFERROR(aurora_data!I2114,0)</f>
        <v>0</v>
      </c>
      <c r="K94" s="62">
        <f>IFERROR(aurora_data!J2114,0)</f>
        <v>0</v>
      </c>
      <c r="L94" s="62">
        <f>IFERROR(aurora_data!K2114,0)</f>
        <v>0</v>
      </c>
      <c r="M94" s="62">
        <f>IFERROR(aurora_data!L2114,0)</f>
        <v>0</v>
      </c>
      <c r="N94" s="63">
        <f>IFERROR(aurora_data!M2114,0)</f>
        <v>0</v>
      </c>
      <c r="O94" s="36">
        <f>IFERROR(aurora_data!N2114,0)</f>
        <v>0</v>
      </c>
      <c r="P94" s="62">
        <f>IFERROR(aurora_data!O2114,0)</f>
        <v>0</v>
      </c>
      <c r="Q94" s="62">
        <f>IFERROR(aurora_data!P2114,0)</f>
        <v>0</v>
      </c>
      <c r="R94" s="63">
        <f>IFERROR(aurora_data!Q2114,0)</f>
        <v>0</v>
      </c>
      <c r="S94" s="62">
        <f>IFERROR(aurora_data!R2114,0)</f>
        <v>0</v>
      </c>
      <c r="T94" s="62">
        <f>IFERROR(aurora_data!S2114,0)</f>
        <v>0</v>
      </c>
      <c r="U94" s="63">
        <f>IFERROR(aurora_data!T2114,0)</f>
        <v>0</v>
      </c>
      <c r="V94" s="64" t="s">
        <v>95</v>
      </c>
      <c r="W94" s="36">
        <f>IFERROR(aurora_data!U2114,0)</f>
        <v>0</v>
      </c>
      <c r="X94" s="71">
        <f t="shared" si="10"/>
        <v>0</v>
      </c>
      <c r="Y94" s="2"/>
    </row>
    <row r="95" spans="1:25" customFormat="1">
      <c r="A95" s="2"/>
      <c r="B95" s="211"/>
      <c r="C95" s="213"/>
      <c r="D95" s="35" t="s">
        <v>97</v>
      </c>
      <c r="E95" s="36">
        <f>IFERROR(aurora_data!D2115,0)</f>
        <v>0</v>
      </c>
      <c r="F95" s="62">
        <f>IFERROR(aurora_data!E2115,0)</f>
        <v>0</v>
      </c>
      <c r="G95" s="62">
        <f>IFERROR(aurora_data!F2115,0)</f>
        <v>0</v>
      </c>
      <c r="H95" s="62">
        <f>IFERROR(aurora_data!G2115,0)</f>
        <v>0</v>
      </c>
      <c r="I95" s="63">
        <f>IFERROR(aurora_data!H2115,0)</f>
        <v>0</v>
      </c>
      <c r="J95" s="36">
        <f>IFERROR(aurora_data!I2115,0)</f>
        <v>0</v>
      </c>
      <c r="K95" s="62">
        <f>IFERROR(aurora_data!J2115,0)</f>
        <v>0</v>
      </c>
      <c r="L95" s="62">
        <f>IFERROR(aurora_data!K2115,0)</f>
        <v>0</v>
      </c>
      <c r="M95" s="62">
        <f>IFERROR(aurora_data!L2115,0)</f>
        <v>0</v>
      </c>
      <c r="N95" s="63">
        <f>IFERROR(aurora_data!M2115,0)</f>
        <v>0</v>
      </c>
      <c r="O95" s="36">
        <f>IFERROR(aurora_data!N2115,0)</f>
        <v>0</v>
      </c>
      <c r="P95" s="62">
        <f>IFERROR(aurora_data!O2115,0)</f>
        <v>0</v>
      </c>
      <c r="Q95" s="62">
        <f>IFERROR(aurora_data!P2115,0)</f>
        <v>0</v>
      </c>
      <c r="R95" s="63">
        <f>IFERROR(aurora_data!Q2115,0)</f>
        <v>0</v>
      </c>
      <c r="S95" s="62">
        <f>IFERROR(aurora_data!R2115,0)</f>
        <v>0</v>
      </c>
      <c r="T95" s="62">
        <f>IFERROR(aurora_data!S2115,0)</f>
        <v>0</v>
      </c>
      <c r="U95" s="63">
        <f>IFERROR(aurora_data!T2115,0)</f>
        <v>0</v>
      </c>
      <c r="V95" s="64" t="s">
        <v>95</v>
      </c>
      <c r="W95" s="36">
        <f>IFERROR(aurora_data!U2115,0)</f>
        <v>0</v>
      </c>
      <c r="X95" s="71">
        <f t="shared" si="10"/>
        <v>0</v>
      </c>
      <c r="Y95" s="2"/>
    </row>
    <row r="96" spans="1:25" customFormat="1">
      <c r="A96" s="2"/>
      <c r="B96" s="211"/>
      <c r="C96" s="213"/>
      <c r="D96" s="35" t="s">
        <v>98</v>
      </c>
      <c r="E96" s="36">
        <f>IFERROR(aurora_data!D2116,0)</f>
        <v>0</v>
      </c>
      <c r="F96" s="62">
        <f>IFERROR(aurora_data!E2116,0)</f>
        <v>0</v>
      </c>
      <c r="G96" s="62">
        <f>IFERROR(aurora_data!F2116,0)</f>
        <v>0</v>
      </c>
      <c r="H96" s="62">
        <f>IFERROR(aurora_data!G2116,0)</f>
        <v>1</v>
      </c>
      <c r="I96" s="63">
        <f>IFERROR(aurora_data!H2116,0)</f>
        <v>0</v>
      </c>
      <c r="J96" s="36">
        <f>IFERROR(aurora_data!I2116,0)</f>
        <v>0</v>
      </c>
      <c r="K96" s="62">
        <f>IFERROR(aurora_data!J2116,0)</f>
        <v>0</v>
      </c>
      <c r="L96" s="62">
        <f>IFERROR(aurora_data!K2116,0)</f>
        <v>1</v>
      </c>
      <c r="M96" s="62">
        <f>IFERROR(aurora_data!L2116,0)</f>
        <v>0</v>
      </c>
      <c r="N96" s="63">
        <f>IFERROR(aurora_data!M2116,0)</f>
        <v>0</v>
      </c>
      <c r="O96" s="36">
        <f>IFERROR(aurora_data!N2116,0)</f>
        <v>0</v>
      </c>
      <c r="P96" s="62">
        <f>IFERROR(aurora_data!O2116,0)</f>
        <v>1</v>
      </c>
      <c r="Q96" s="62">
        <f>IFERROR(aurora_data!P2116,0)</f>
        <v>0</v>
      </c>
      <c r="R96" s="63">
        <f>IFERROR(aurora_data!Q2116,0)</f>
        <v>0</v>
      </c>
      <c r="S96" s="62">
        <f>IFERROR(aurora_data!R2116,0)</f>
        <v>0</v>
      </c>
      <c r="T96" s="62">
        <f>IFERROR(aurora_data!S2116,0)</f>
        <v>1</v>
      </c>
      <c r="U96" s="63">
        <f>IFERROR(aurora_data!T2116,0)</f>
        <v>0</v>
      </c>
      <c r="V96" s="64" t="s">
        <v>95</v>
      </c>
      <c r="W96" s="36">
        <f>IFERROR(aurora_data!U2116,0)</f>
        <v>1</v>
      </c>
      <c r="X96" s="71">
        <f t="shared" si="10"/>
        <v>0.25</v>
      </c>
      <c r="Y96" s="2"/>
    </row>
    <row r="97" spans="1:25" customFormat="1" ht="16.5" thickBot="1">
      <c r="A97" s="2"/>
      <c r="B97" s="211"/>
      <c r="C97" s="213"/>
      <c r="D97" s="35" t="s">
        <v>99</v>
      </c>
      <c r="E97" s="36">
        <f>IFERROR(aurora_data!D2117,0)</f>
        <v>0</v>
      </c>
      <c r="F97" s="62">
        <f>IFERROR(aurora_data!E2117,0)</f>
        <v>0</v>
      </c>
      <c r="G97" s="62">
        <f>IFERROR(aurora_data!F2117,0)</f>
        <v>0</v>
      </c>
      <c r="H97" s="62">
        <f>IFERROR(aurora_data!G2117,0)</f>
        <v>0</v>
      </c>
      <c r="I97" s="63">
        <f>IFERROR(aurora_data!H2117,0)</f>
        <v>0</v>
      </c>
      <c r="J97" s="36">
        <f>IFERROR(aurora_data!I2117,0)</f>
        <v>0</v>
      </c>
      <c r="K97" s="62">
        <f>IFERROR(aurora_data!J2117,0)</f>
        <v>0</v>
      </c>
      <c r="L97" s="62">
        <f>IFERROR(aurora_data!K2117,0)</f>
        <v>0</v>
      </c>
      <c r="M97" s="62">
        <f>IFERROR(aurora_data!L2117,0)</f>
        <v>0</v>
      </c>
      <c r="N97" s="63">
        <f>IFERROR(aurora_data!M2117,0)</f>
        <v>0</v>
      </c>
      <c r="O97" s="36">
        <f>IFERROR(aurora_data!N2117,0)</f>
        <v>0</v>
      </c>
      <c r="P97" s="62">
        <f>IFERROR(aurora_data!O2117,0)</f>
        <v>0</v>
      </c>
      <c r="Q97" s="62">
        <f>IFERROR(aurora_data!P2117,0)</f>
        <v>0</v>
      </c>
      <c r="R97" s="63">
        <f>IFERROR(aurora_data!Q2117,0)</f>
        <v>0</v>
      </c>
      <c r="S97" s="62">
        <f>IFERROR(aurora_data!R2117,0)</f>
        <v>0</v>
      </c>
      <c r="T97" s="62">
        <f>IFERROR(aurora_data!S2117,0)</f>
        <v>0</v>
      </c>
      <c r="U97" s="63">
        <f>IFERROR(aurora_data!T2117,0)</f>
        <v>0</v>
      </c>
      <c r="V97" s="64" t="s">
        <v>95</v>
      </c>
      <c r="W97" s="36">
        <f>IFERROR(aurora_data!U2117,0)</f>
        <v>0</v>
      </c>
      <c r="X97" s="71">
        <f t="shared" si="10"/>
        <v>0</v>
      </c>
      <c r="Y97" s="2"/>
    </row>
    <row r="98" spans="1:25" customFormat="1" ht="16.5" thickBot="1">
      <c r="A98" s="2"/>
      <c r="B98" s="211"/>
      <c r="C98" s="213"/>
      <c r="D98" s="37" t="s">
        <v>64</v>
      </c>
      <c r="E98" s="59">
        <f>IFERROR(aurora_data!D2118,0)</f>
        <v>0</v>
      </c>
      <c r="F98" s="65">
        <f>IFERROR(aurora_data!E2118,0)</f>
        <v>0</v>
      </c>
      <c r="G98" s="65">
        <f>IFERROR(aurora_data!F2118,0)</f>
        <v>0</v>
      </c>
      <c r="H98" s="65">
        <f>IFERROR(aurora_data!G2118,0)</f>
        <v>2</v>
      </c>
      <c r="I98" s="66">
        <f>IFERROR(aurora_data!H2118,0)</f>
        <v>0</v>
      </c>
      <c r="J98" s="59">
        <f>IFERROR(aurora_data!I2118,0)</f>
        <v>0</v>
      </c>
      <c r="K98" s="65">
        <f>IFERROR(aurora_data!J2118,0)</f>
        <v>1</v>
      </c>
      <c r="L98" s="65">
        <f>IFERROR(aurora_data!K2118,0)</f>
        <v>1</v>
      </c>
      <c r="M98" s="65">
        <f>IFERROR(aurora_data!L2118,0)</f>
        <v>0</v>
      </c>
      <c r="N98" s="66">
        <f>IFERROR(aurora_data!M2118,0)</f>
        <v>0</v>
      </c>
      <c r="O98" s="59">
        <f>IFERROR(aurora_data!N2118,0)</f>
        <v>0</v>
      </c>
      <c r="P98" s="65">
        <f>IFERROR(aurora_data!O2118,0)</f>
        <v>1</v>
      </c>
      <c r="Q98" s="65">
        <f>IFERROR(aurora_data!P2118,0)</f>
        <v>1</v>
      </c>
      <c r="R98" s="66">
        <f>IFERROR(aurora_data!Q2118,0)</f>
        <v>0</v>
      </c>
      <c r="S98" s="65">
        <f>IFERROR(aurora_data!R2118,0)</f>
        <v>0</v>
      </c>
      <c r="T98" s="65">
        <f>IFERROR(aurora_data!S2118,0)</f>
        <v>2</v>
      </c>
      <c r="U98" s="66">
        <f>IFERROR(aurora_data!T2118,0)</f>
        <v>0</v>
      </c>
      <c r="V98" s="67" t="s">
        <v>95</v>
      </c>
      <c r="W98" s="59">
        <f>IFERROR(aurora_data!U2118,0)</f>
        <v>2</v>
      </c>
      <c r="X98" s="72">
        <f t="shared" si="10"/>
        <v>0.5</v>
      </c>
      <c r="Y98" s="2"/>
    </row>
    <row r="99" spans="1:25" customFormat="1" ht="16.5" thickBot="1">
      <c r="A99" s="2"/>
      <c r="B99" s="211"/>
      <c r="C99" s="213"/>
      <c r="D99" s="38" t="s">
        <v>100</v>
      </c>
      <c r="E99" s="60">
        <f>IFERROR(aurora_data!D2119,0)</f>
        <v>0</v>
      </c>
      <c r="F99" s="68">
        <f>IFERROR(aurora_data!E2119,0)</f>
        <v>0</v>
      </c>
      <c r="G99" s="68">
        <f>IFERROR(aurora_data!F2119,0)</f>
        <v>0</v>
      </c>
      <c r="H99" s="68">
        <f>IFERROR(aurora_data!G2119,0)</f>
        <v>0</v>
      </c>
      <c r="I99" s="69">
        <f>IFERROR(aurora_data!H2119,0)</f>
        <v>0</v>
      </c>
      <c r="J99" s="60">
        <f>IFERROR(aurora_data!I2119,0)</f>
        <v>0</v>
      </c>
      <c r="K99" s="68">
        <f>IFERROR(aurora_data!J2119,0)</f>
        <v>0</v>
      </c>
      <c r="L99" s="68">
        <f>IFERROR(aurora_data!K2119,0)</f>
        <v>0</v>
      </c>
      <c r="M99" s="68">
        <f>IFERROR(aurora_data!L2119,0)</f>
        <v>0</v>
      </c>
      <c r="N99" s="69">
        <f>IFERROR(aurora_data!M2119,0)</f>
        <v>0</v>
      </c>
      <c r="O99" s="60">
        <f>IFERROR(aurora_data!N2119,0)</f>
        <v>0</v>
      </c>
      <c r="P99" s="68">
        <f>IFERROR(aurora_data!O2119,0)</f>
        <v>0</v>
      </c>
      <c r="Q99" s="68">
        <f>IFERROR(aurora_data!P2119,0)</f>
        <v>0</v>
      </c>
      <c r="R99" s="69">
        <f>IFERROR(aurora_data!Q2119,0)</f>
        <v>0</v>
      </c>
      <c r="S99" s="68">
        <f>IFERROR(aurora_data!R2119,0)</f>
        <v>0</v>
      </c>
      <c r="T99" s="68">
        <f>IFERROR(aurora_data!S2119,0)</f>
        <v>0</v>
      </c>
      <c r="U99" s="74">
        <f>IFERROR(aurora_data!T2119,0)</f>
        <v>0</v>
      </c>
      <c r="V99" s="75" t="s">
        <v>95</v>
      </c>
      <c r="W99" s="60">
        <f>IFERROR(aurora_data!U2119,0)</f>
        <v>0</v>
      </c>
      <c r="X99" s="73">
        <f t="shared" si="10"/>
        <v>0</v>
      </c>
      <c r="Y99" s="2"/>
    </row>
    <row r="100" spans="1:25" customFormat="1" ht="15.75" customHeight="1">
      <c r="A100" s="2"/>
      <c r="B100" s="206" t="s">
        <v>94</v>
      </c>
      <c r="C100" s="208" t="s">
        <v>55</v>
      </c>
      <c r="D100" s="34" t="s">
        <v>71</v>
      </c>
      <c r="E100" s="39">
        <f>IFERROR(aurora_data!D2120,0)</f>
        <v>0</v>
      </c>
      <c r="F100" s="40">
        <f>IFERROR(aurora_data!E2120,0)</f>
        <v>0</v>
      </c>
      <c r="G100" s="40">
        <f>IFERROR(aurora_data!F2120,0)</f>
        <v>0</v>
      </c>
      <c r="H100" s="40">
        <f>IFERROR(aurora_data!G2120,0)</f>
        <v>0</v>
      </c>
      <c r="I100" s="41">
        <f>IFERROR(aurora_data!H2120,0)</f>
        <v>0</v>
      </c>
      <c r="J100" s="39">
        <f>IFERROR(aurora_data!I2120,0)</f>
        <v>0</v>
      </c>
      <c r="K100" s="40">
        <f>IFERROR(aurora_data!J2120,0)</f>
        <v>0</v>
      </c>
      <c r="L100" s="40">
        <f>IFERROR(aurora_data!K2120,0)</f>
        <v>0</v>
      </c>
      <c r="M100" s="40">
        <f>IFERROR(aurora_data!L2120,0)</f>
        <v>0</v>
      </c>
      <c r="N100" s="41">
        <f>IFERROR(aurora_data!M2120,0)</f>
        <v>0</v>
      </c>
      <c r="O100" s="39">
        <f>IFERROR(aurora_data!N2120,0)</f>
        <v>0</v>
      </c>
      <c r="P100" s="40">
        <f>IFERROR(aurora_data!O2120,0)</f>
        <v>0</v>
      </c>
      <c r="Q100" s="40">
        <f>IFERROR(aurora_data!P2120,0)</f>
        <v>0</v>
      </c>
      <c r="R100" s="41">
        <f>IFERROR(aurora_data!Q2120,0)</f>
        <v>0</v>
      </c>
      <c r="S100" s="40">
        <f>IFERROR(aurora_data!R2120,0)</f>
        <v>0</v>
      </c>
      <c r="T100" s="40">
        <f>IFERROR(aurora_data!S2120,0)</f>
        <v>0</v>
      </c>
      <c r="U100" s="41">
        <f>IFERROR(aurora_data!T2120,0)</f>
        <v>0</v>
      </c>
      <c r="V100" s="61" t="s">
        <v>95</v>
      </c>
      <c r="W100" s="39">
        <f>IFERROR(aurora_data!U2120,0)</f>
        <v>54</v>
      </c>
      <c r="X100" s="70">
        <f>IFERROR(W100/$W$100,0)</f>
        <v>1</v>
      </c>
      <c r="Y100" s="2"/>
    </row>
    <row r="101" spans="1:25" customFormat="1" ht="15.75" customHeight="1">
      <c r="A101" s="2"/>
      <c r="B101" s="207"/>
      <c r="C101" s="209"/>
      <c r="D101" s="35" t="s">
        <v>96</v>
      </c>
      <c r="E101" s="36">
        <f>IFERROR(aurora_data!D2121,0)</f>
        <v>3</v>
      </c>
      <c r="F101" s="62">
        <f>IFERROR(aurora_data!E2121,0)</f>
        <v>3</v>
      </c>
      <c r="G101" s="62">
        <f>IFERROR(aurora_data!F2121,0)</f>
        <v>1</v>
      </c>
      <c r="H101" s="62">
        <f>IFERROR(aurora_data!G2121,0)</f>
        <v>3</v>
      </c>
      <c r="I101" s="63">
        <f>IFERROR(aurora_data!H2121,0)</f>
        <v>5</v>
      </c>
      <c r="J101" s="36">
        <f>IFERROR(aurora_data!I2121,0)</f>
        <v>1</v>
      </c>
      <c r="K101" s="62">
        <f>IFERROR(aurora_data!J2121,0)</f>
        <v>7</v>
      </c>
      <c r="L101" s="62">
        <f>IFERROR(aurora_data!K2121,0)</f>
        <v>2</v>
      </c>
      <c r="M101" s="62">
        <f>IFERROR(aurora_data!L2121,0)</f>
        <v>1</v>
      </c>
      <c r="N101" s="63">
        <f>IFERROR(aurora_data!M2121,0)</f>
        <v>4</v>
      </c>
      <c r="O101" s="36">
        <f>IFERROR(aurora_data!N2121,0)</f>
        <v>5</v>
      </c>
      <c r="P101" s="62">
        <f>IFERROR(aurora_data!O2121,0)</f>
        <v>2</v>
      </c>
      <c r="Q101" s="62">
        <f>IFERROR(aurora_data!P2121,0)</f>
        <v>7</v>
      </c>
      <c r="R101" s="63">
        <f>IFERROR(aurora_data!Q2121,0)</f>
        <v>1</v>
      </c>
      <c r="S101" s="62">
        <f>IFERROR(aurora_data!R2121,0)</f>
        <v>5</v>
      </c>
      <c r="T101" s="62">
        <f>IFERROR(aurora_data!S2121,0)</f>
        <v>10</v>
      </c>
      <c r="U101" s="63">
        <f>IFERROR(aurora_data!T2121,0)</f>
        <v>0</v>
      </c>
      <c r="V101" s="64" t="s">
        <v>95</v>
      </c>
      <c r="W101" s="36">
        <f>IFERROR(aurora_data!U2121,0)</f>
        <v>15</v>
      </c>
      <c r="X101" s="71">
        <f t="shared" ref="X101:X107" si="11">IFERROR(W101/$W$100,0)</f>
        <v>0.27777777777777779</v>
      </c>
      <c r="Y101" s="2"/>
    </row>
    <row r="102" spans="1:25" customFormat="1" ht="15.75" customHeight="1">
      <c r="A102" s="2"/>
      <c r="B102" s="207"/>
      <c r="C102" s="209"/>
      <c r="D102" s="35" t="s">
        <v>60</v>
      </c>
      <c r="E102" s="36">
        <f>IFERROR(aurora_data!D2122,0)</f>
        <v>0</v>
      </c>
      <c r="F102" s="62">
        <f>IFERROR(aurora_data!E2122,0)</f>
        <v>0</v>
      </c>
      <c r="G102" s="62">
        <f>IFERROR(aurora_data!F2122,0)</f>
        <v>0</v>
      </c>
      <c r="H102" s="62">
        <f>IFERROR(aurora_data!G2122,0)</f>
        <v>0</v>
      </c>
      <c r="I102" s="63">
        <f>IFERROR(aurora_data!H2122,0)</f>
        <v>0</v>
      </c>
      <c r="J102" s="36">
        <f>IFERROR(aurora_data!I2122,0)</f>
        <v>0</v>
      </c>
      <c r="K102" s="62">
        <f>IFERROR(aurora_data!J2122,0)</f>
        <v>0</v>
      </c>
      <c r="L102" s="62">
        <f>IFERROR(aurora_data!K2122,0)</f>
        <v>0</v>
      </c>
      <c r="M102" s="62">
        <f>IFERROR(aurora_data!L2122,0)</f>
        <v>0</v>
      </c>
      <c r="N102" s="63">
        <f>IFERROR(aurora_data!M2122,0)</f>
        <v>0</v>
      </c>
      <c r="O102" s="36">
        <f>IFERROR(aurora_data!N2122,0)</f>
        <v>0</v>
      </c>
      <c r="P102" s="62">
        <f>IFERROR(aurora_data!O2122,0)</f>
        <v>0</v>
      </c>
      <c r="Q102" s="62">
        <f>IFERROR(aurora_data!P2122,0)</f>
        <v>0</v>
      </c>
      <c r="R102" s="63">
        <f>IFERROR(aurora_data!Q2122,0)</f>
        <v>0</v>
      </c>
      <c r="S102" s="62">
        <f>IFERROR(aurora_data!R2122,0)</f>
        <v>0</v>
      </c>
      <c r="T102" s="62">
        <f>IFERROR(aurora_data!S2122,0)</f>
        <v>0</v>
      </c>
      <c r="U102" s="63">
        <f>IFERROR(aurora_data!T2122,0)</f>
        <v>0</v>
      </c>
      <c r="V102" s="64" t="s">
        <v>95</v>
      </c>
      <c r="W102" s="36">
        <f>IFERROR(aurora_data!U2122,0)</f>
        <v>0</v>
      </c>
      <c r="X102" s="71">
        <f t="shared" si="11"/>
        <v>0</v>
      </c>
      <c r="Y102" s="2"/>
    </row>
    <row r="103" spans="1:25" customFormat="1" ht="15.75" customHeight="1">
      <c r="A103" s="2"/>
      <c r="B103" s="207"/>
      <c r="C103" s="209"/>
      <c r="D103" s="35" t="s">
        <v>97</v>
      </c>
      <c r="E103" s="36">
        <f>IFERROR(aurora_data!D2123,0)</f>
        <v>0</v>
      </c>
      <c r="F103" s="62">
        <f>IFERROR(aurora_data!E2123,0)</f>
        <v>1</v>
      </c>
      <c r="G103" s="62">
        <f>IFERROR(aurora_data!F2123,0)</f>
        <v>0</v>
      </c>
      <c r="H103" s="62">
        <f>IFERROR(aurora_data!G2123,0)</f>
        <v>0</v>
      </c>
      <c r="I103" s="63">
        <f>IFERROR(aurora_data!H2123,0)</f>
        <v>0</v>
      </c>
      <c r="J103" s="36">
        <f>IFERROR(aurora_data!I2123,0)</f>
        <v>0</v>
      </c>
      <c r="K103" s="62">
        <f>IFERROR(aurora_data!J2123,0)</f>
        <v>0</v>
      </c>
      <c r="L103" s="62">
        <f>IFERROR(aurora_data!K2123,0)</f>
        <v>0</v>
      </c>
      <c r="M103" s="62">
        <f>IFERROR(aurora_data!L2123,0)</f>
        <v>0</v>
      </c>
      <c r="N103" s="63">
        <f>IFERROR(aurora_data!M2123,0)</f>
        <v>1</v>
      </c>
      <c r="O103" s="36">
        <f>IFERROR(aurora_data!N2123,0)</f>
        <v>0</v>
      </c>
      <c r="P103" s="62">
        <f>IFERROR(aurora_data!O2123,0)</f>
        <v>0</v>
      </c>
      <c r="Q103" s="62">
        <f>IFERROR(aurora_data!P2123,0)</f>
        <v>1</v>
      </c>
      <c r="R103" s="63">
        <f>IFERROR(aurora_data!Q2123,0)</f>
        <v>0</v>
      </c>
      <c r="S103" s="62">
        <f>IFERROR(aurora_data!R2123,0)</f>
        <v>0</v>
      </c>
      <c r="T103" s="62">
        <f>IFERROR(aurora_data!S2123,0)</f>
        <v>1</v>
      </c>
      <c r="U103" s="63">
        <f>IFERROR(aurora_data!T2123,0)</f>
        <v>0</v>
      </c>
      <c r="V103" s="64" t="s">
        <v>95</v>
      </c>
      <c r="W103" s="36">
        <f>IFERROR(aurora_data!U2123,0)</f>
        <v>1</v>
      </c>
      <c r="X103" s="71">
        <f t="shared" si="11"/>
        <v>1.8518518518518517E-2</v>
      </c>
      <c r="Y103" s="2"/>
    </row>
    <row r="104" spans="1:25" customFormat="1" ht="16.5" customHeight="1">
      <c r="A104" s="2"/>
      <c r="B104" s="207"/>
      <c r="C104" s="209"/>
      <c r="D104" s="35" t="s">
        <v>98</v>
      </c>
      <c r="E104" s="36">
        <f>IFERROR(aurora_data!D2124,0)</f>
        <v>0</v>
      </c>
      <c r="F104" s="62">
        <f>IFERROR(aurora_data!E2124,0)</f>
        <v>0</v>
      </c>
      <c r="G104" s="62">
        <f>IFERROR(aurora_data!F2124,0)</f>
        <v>0</v>
      </c>
      <c r="H104" s="62">
        <f>IFERROR(aurora_data!G2124,0)</f>
        <v>3</v>
      </c>
      <c r="I104" s="63">
        <f>IFERROR(aurora_data!H2124,0)</f>
        <v>0</v>
      </c>
      <c r="J104" s="36">
        <f>IFERROR(aurora_data!I2124,0)</f>
        <v>0</v>
      </c>
      <c r="K104" s="62">
        <f>IFERROR(aurora_data!J2124,0)</f>
        <v>0</v>
      </c>
      <c r="L104" s="62">
        <f>IFERROR(aurora_data!K2124,0)</f>
        <v>1</v>
      </c>
      <c r="M104" s="62">
        <f>IFERROR(aurora_data!L2124,0)</f>
        <v>0</v>
      </c>
      <c r="N104" s="63">
        <f>IFERROR(aurora_data!M2124,0)</f>
        <v>2</v>
      </c>
      <c r="O104" s="36">
        <f>IFERROR(aurora_data!N2124,0)</f>
        <v>1</v>
      </c>
      <c r="P104" s="62">
        <f>IFERROR(aurora_data!O2124,0)</f>
        <v>1</v>
      </c>
      <c r="Q104" s="62">
        <f>IFERROR(aurora_data!P2124,0)</f>
        <v>0</v>
      </c>
      <c r="R104" s="63">
        <f>IFERROR(aurora_data!Q2124,0)</f>
        <v>1</v>
      </c>
      <c r="S104" s="62">
        <f>IFERROR(aurora_data!R2124,0)</f>
        <v>1</v>
      </c>
      <c r="T104" s="62">
        <f>IFERROR(aurora_data!S2124,0)</f>
        <v>2</v>
      </c>
      <c r="U104" s="63">
        <f>IFERROR(aurora_data!T2124,0)</f>
        <v>0</v>
      </c>
      <c r="V104" s="64" t="s">
        <v>95</v>
      </c>
      <c r="W104" s="36">
        <f>IFERROR(aurora_data!U2124,0)</f>
        <v>3</v>
      </c>
      <c r="X104" s="71">
        <f t="shared" si="11"/>
        <v>5.5555555555555552E-2</v>
      </c>
      <c r="Y104" s="2"/>
    </row>
    <row r="105" spans="1:25" customFormat="1" ht="16.5" customHeight="1" thickBot="1">
      <c r="A105" s="2"/>
      <c r="B105" s="207"/>
      <c r="C105" s="209"/>
      <c r="D105" s="35" t="s">
        <v>99</v>
      </c>
      <c r="E105" s="36">
        <f>IFERROR(aurora_data!D2125,0)</f>
        <v>0</v>
      </c>
      <c r="F105" s="62">
        <f>IFERROR(aurora_data!E2125,0)</f>
        <v>0</v>
      </c>
      <c r="G105" s="62">
        <f>IFERROR(aurora_data!F2125,0)</f>
        <v>0</v>
      </c>
      <c r="H105" s="62">
        <f>IFERROR(aurora_data!G2125,0)</f>
        <v>0</v>
      </c>
      <c r="I105" s="63">
        <f>IFERROR(aurora_data!H2125,0)</f>
        <v>0</v>
      </c>
      <c r="J105" s="36">
        <f>IFERROR(aurora_data!I2125,0)</f>
        <v>0</v>
      </c>
      <c r="K105" s="62">
        <f>IFERROR(aurora_data!J2125,0)</f>
        <v>0</v>
      </c>
      <c r="L105" s="62">
        <f>IFERROR(aurora_data!K2125,0)</f>
        <v>0</v>
      </c>
      <c r="M105" s="62">
        <f>IFERROR(aurora_data!L2125,0)</f>
        <v>0</v>
      </c>
      <c r="N105" s="63">
        <f>IFERROR(aurora_data!M2125,0)</f>
        <v>0</v>
      </c>
      <c r="O105" s="36">
        <f>IFERROR(aurora_data!N2125,0)</f>
        <v>0</v>
      </c>
      <c r="P105" s="62">
        <f>IFERROR(aurora_data!O2125,0)</f>
        <v>0</v>
      </c>
      <c r="Q105" s="62">
        <f>IFERROR(aurora_data!P2125,0)</f>
        <v>0</v>
      </c>
      <c r="R105" s="63">
        <f>IFERROR(aurora_data!Q2125,0)</f>
        <v>0</v>
      </c>
      <c r="S105" s="62">
        <f>IFERROR(aurora_data!R2125,0)</f>
        <v>0</v>
      </c>
      <c r="T105" s="62">
        <f>IFERROR(aurora_data!S2125,0)</f>
        <v>0</v>
      </c>
      <c r="U105" s="63">
        <f>IFERROR(aurora_data!T2125,0)</f>
        <v>0</v>
      </c>
      <c r="V105" s="64" t="s">
        <v>95</v>
      </c>
      <c r="W105" s="36">
        <f>IFERROR(aurora_data!U2125,0)</f>
        <v>0</v>
      </c>
      <c r="X105" s="71">
        <f t="shared" si="11"/>
        <v>0</v>
      </c>
      <c r="Y105" s="2"/>
    </row>
    <row r="106" spans="1:25" customFormat="1" ht="16.5" customHeight="1" thickBot="1">
      <c r="A106" s="2"/>
      <c r="B106" s="207"/>
      <c r="C106" s="209"/>
      <c r="D106" s="37" t="s">
        <v>64</v>
      </c>
      <c r="E106" s="59">
        <f>IFERROR(aurora_data!D2126,0)</f>
        <v>3</v>
      </c>
      <c r="F106" s="65">
        <f>IFERROR(aurora_data!E2126,0)</f>
        <v>4</v>
      </c>
      <c r="G106" s="65">
        <f>IFERROR(aurora_data!F2126,0)</f>
        <v>1</v>
      </c>
      <c r="H106" s="65">
        <f>IFERROR(aurora_data!G2126,0)</f>
        <v>6</v>
      </c>
      <c r="I106" s="66">
        <f>IFERROR(aurora_data!H2126,0)</f>
        <v>5</v>
      </c>
      <c r="J106" s="59">
        <f>IFERROR(aurora_data!I2126,0)</f>
        <v>1</v>
      </c>
      <c r="K106" s="65">
        <f>IFERROR(aurora_data!J2126,0)</f>
        <v>7</v>
      </c>
      <c r="L106" s="65">
        <f>IFERROR(aurora_data!K2126,0)</f>
        <v>3</v>
      </c>
      <c r="M106" s="65">
        <f>IFERROR(aurora_data!L2126,0)</f>
        <v>1</v>
      </c>
      <c r="N106" s="66">
        <f>IFERROR(aurora_data!M2126,0)</f>
        <v>7</v>
      </c>
      <c r="O106" s="59">
        <f>IFERROR(aurora_data!N2126,0)</f>
        <v>6</v>
      </c>
      <c r="P106" s="65">
        <f>IFERROR(aurora_data!O2126,0)</f>
        <v>3</v>
      </c>
      <c r="Q106" s="65">
        <f>IFERROR(aurora_data!P2126,0)</f>
        <v>8</v>
      </c>
      <c r="R106" s="66">
        <f>IFERROR(aurora_data!Q2126,0)</f>
        <v>2</v>
      </c>
      <c r="S106" s="65">
        <f>IFERROR(aurora_data!R2126,0)</f>
        <v>6</v>
      </c>
      <c r="T106" s="65">
        <f>IFERROR(aurora_data!S2126,0)</f>
        <v>13</v>
      </c>
      <c r="U106" s="66">
        <f>IFERROR(aurora_data!T2126,0)</f>
        <v>0</v>
      </c>
      <c r="V106" s="67" t="s">
        <v>95</v>
      </c>
      <c r="W106" s="59">
        <f>IFERROR(aurora_data!U2126,0)</f>
        <v>19</v>
      </c>
      <c r="X106" s="72">
        <f t="shared" si="11"/>
        <v>0.35185185185185186</v>
      </c>
      <c r="Y106" s="2"/>
    </row>
    <row r="107" spans="1:25" customFormat="1" ht="16.5" customHeight="1" thickBot="1">
      <c r="A107" s="2"/>
      <c r="B107" s="207"/>
      <c r="C107" s="209"/>
      <c r="D107" s="38" t="s">
        <v>100</v>
      </c>
      <c r="E107" s="60">
        <f>IFERROR(aurora_data!D2127,0)</f>
        <v>0</v>
      </c>
      <c r="F107" s="68">
        <f>IFERROR(aurora_data!E2127,0)</f>
        <v>0</v>
      </c>
      <c r="G107" s="68">
        <f>IFERROR(aurora_data!F2127,0)</f>
        <v>0</v>
      </c>
      <c r="H107" s="68">
        <f>IFERROR(aurora_data!G2127,0)</f>
        <v>0</v>
      </c>
      <c r="I107" s="69">
        <f>IFERROR(aurora_data!H2127,0)</f>
        <v>0</v>
      </c>
      <c r="J107" s="60">
        <f>IFERROR(aurora_data!I2127,0)</f>
        <v>0</v>
      </c>
      <c r="K107" s="68">
        <f>IFERROR(aurora_data!J2127,0)</f>
        <v>0</v>
      </c>
      <c r="L107" s="68">
        <f>IFERROR(aurora_data!K2127,0)</f>
        <v>0</v>
      </c>
      <c r="M107" s="68">
        <f>IFERROR(aurora_data!L2127,0)</f>
        <v>0</v>
      </c>
      <c r="N107" s="69">
        <f>IFERROR(aurora_data!M2127,0)</f>
        <v>0</v>
      </c>
      <c r="O107" s="60">
        <f>IFERROR(aurora_data!N2127,0)</f>
        <v>0</v>
      </c>
      <c r="P107" s="68">
        <f>IFERROR(aurora_data!O2127,0)</f>
        <v>0</v>
      </c>
      <c r="Q107" s="68">
        <f>IFERROR(aurora_data!P2127,0)</f>
        <v>0</v>
      </c>
      <c r="R107" s="69">
        <f>IFERROR(aurora_data!Q2127,0)</f>
        <v>0</v>
      </c>
      <c r="S107" s="68">
        <f>IFERROR(aurora_data!R2127,0)</f>
        <v>0</v>
      </c>
      <c r="T107" s="68">
        <f>IFERROR(aurora_data!S2127,0)</f>
        <v>0</v>
      </c>
      <c r="U107" s="74">
        <f>IFERROR(aurora_data!T2127,0)</f>
        <v>0</v>
      </c>
      <c r="V107" s="75" t="s">
        <v>95</v>
      </c>
      <c r="W107" s="60">
        <f>IFERROR(aurora_data!U2127,0)</f>
        <v>0</v>
      </c>
      <c r="X107" s="73">
        <f t="shared" si="11"/>
        <v>0</v>
      </c>
      <c r="Y107" s="2"/>
    </row>
    <row r="108" spans="1:25" ht="16.5" customHeight="1">
      <c r="B108" s="97"/>
      <c r="C108" s="97"/>
    </row>
  </sheetData>
  <mergeCells count="46">
    <mergeCell ref="B68:B75"/>
    <mergeCell ref="C68:C75"/>
    <mergeCell ref="B100:B107"/>
    <mergeCell ref="C100:C107"/>
    <mergeCell ref="B76:B83"/>
    <mergeCell ref="C76:C83"/>
    <mergeCell ref="B84:B91"/>
    <mergeCell ref="C84:C91"/>
    <mergeCell ref="B92:B99"/>
    <mergeCell ref="C92:C99"/>
    <mergeCell ref="B44:B51"/>
    <mergeCell ref="C44:C51"/>
    <mergeCell ref="B52:B59"/>
    <mergeCell ref="C52:C59"/>
    <mergeCell ref="B60:B67"/>
    <mergeCell ref="C60:C67"/>
    <mergeCell ref="C12:C19"/>
    <mergeCell ref="B28:B35"/>
    <mergeCell ref="C28:C35"/>
    <mergeCell ref="B36:B43"/>
    <mergeCell ref="C36:C43"/>
    <mergeCell ref="B20:B27"/>
    <mergeCell ref="C20:C27"/>
    <mergeCell ref="B12:B19"/>
    <mergeCell ref="B8:D8"/>
    <mergeCell ref="E8:U8"/>
    <mergeCell ref="W8:X11"/>
    <mergeCell ref="B9:C9"/>
    <mergeCell ref="E9:I9"/>
    <mergeCell ref="J9:N9"/>
    <mergeCell ref="O9:R9"/>
    <mergeCell ref="S9:U9"/>
    <mergeCell ref="B10:B11"/>
    <mergeCell ref="E10:I10"/>
    <mergeCell ref="J10:N10"/>
    <mergeCell ref="O10:R10"/>
    <mergeCell ref="S10:U10"/>
    <mergeCell ref="A1:C1"/>
    <mergeCell ref="D1:H1"/>
    <mergeCell ref="A2:C2"/>
    <mergeCell ref="D2:H2"/>
    <mergeCell ref="K2:X6"/>
    <mergeCell ref="D3:E3"/>
    <mergeCell ref="F3:H3"/>
    <mergeCell ref="D5:G5"/>
    <mergeCell ref="D6:H6"/>
  </mergeCells>
  <conditionalFormatting sqref="E13:W13">
    <cfRule type="expression" dxfId="23" priority="22">
      <formula>ROUND(E$13,0) &gt;= ROUND(E$12,0)</formula>
    </cfRule>
  </conditionalFormatting>
  <conditionalFormatting sqref="E18:W18">
    <cfRule type="expression" dxfId="22" priority="23">
      <formula>ROUND(E$18,0) &lt; ROUND(E$12,0)</formula>
    </cfRule>
  </conditionalFormatting>
  <conditionalFormatting sqref="E21:W21">
    <cfRule type="expression" dxfId="21" priority="19">
      <formula>ROUND(E$13,0) &gt;= ROUND(E$12,0)</formula>
    </cfRule>
  </conditionalFormatting>
  <conditionalFormatting sqref="E26:W26">
    <cfRule type="expression" dxfId="20" priority="20">
      <formula>ROUND(E$18,0) &lt; ROUND(E$12,0)</formula>
    </cfRule>
  </conditionalFormatting>
  <conditionalFormatting sqref="E29:W29">
    <cfRule type="expression" dxfId="19" priority="17">
      <formula>ROUND(E$13,0) &gt;= ROUND(E$12,0)</formula>
    </cfRule>
  </conditionalFormatting>
  <conditionalFormatting sqref="E34:W34">
    <cfRule type="expression" dxfId="18" priority="18">
      <formula>ROUND(E$18,0) &lt; ROUND(E$12,0)</formula>
    </cfRule>
  </conditionalFormatting>
  <conditionalFormatting sqref="E37:W37">
    <cfRule type="expression" dxfId="17" priority="15">
      <formula>ROUND(E$13,0) &gt;= ROUND(E$12,0)</formula>
    </cfRule>
  </conditionalFormatting>
  <conditionalFormatting sqref="E42:W42">
    <cfRule type="expression" dxfId="16" priority="16">
      <formula>ROUND(E$18,0) &lt; ROUND(E$12,0)</formula>
    </cfRule>
  </conditionalFormatting>
  <conditionalFormatting sqref="E45:W45">
    <cfRule type="expression" dxfId="15" priority="13">
      <formula>ROUND(E$13,0) &gt;= ROUND(E$12,0)</formula>
    </cfRule>
  </conditionalFormatting>
  <conditionalFormatting sqref="E50:W50">
    <cfRule type="expression" dxfId="14" priority="14">
      <formula>ROUND(E$18,0) &lt; ROUND(E$12,0)</formula>
    </cfRule>
  </conditionalFormatting>
  <conditionalFormatting sqref="E53:W53">
    <cfRule type="expression" dxfId="13" priority="11">
      <formula>ROUND(E$13,0) &gt;= ROUND(E$12,0)</formula>
    </cfRule>
  </conditionalFormatting>
  <conditionalFormatting sqref="E58:W58">
    <cfRule type="expression" dxfId="12" priority="12">
      <formula>ROUND(E$18,0) &lt; ROUND(E$12,0)</formula>
    </cfRule>
  </conditionalFormatting>
  <conditionalFormatting sqref="E61:W61">
    <cfRule type="expression" dxfId="11" priority="9">
      <formula>ROUND(E$13,0) &gt;= ROUND(E$12,0)</formula>
    </cfRule>
  </conditionalFormatting>
  <conditionalFormatting sqref="E66:W66">
    <cfRule type="expression" dxfId="10" priority="10">
      <formula>ROUND(E$18,0) &lt; ROUND(E$12,0)</formula>
    </cfRule>
  </conditionalFormatting>
  <conditionalFormatting sqref="E69:W69">
    <cfRule type="expression" dxfId="9" priority="7">
      <formula>ROUND(E$13,0) &gt;= ROUND(E$12,0)</formula>
    </cfRule>
  </conditionalFormatting>
  <conditionalFormatting sqref="E74:W74">
    <cfRule type="expression" dxfId="8" priority="8">
      <formula>ROUND(E$18,0) &lt; ROUND(E$12,0)</formula>
    </cfRule>
  </conditionalFormatting>
  <conditionalFormatting sqref="E77:W77">
    <cfRule type="expression" dxfId="7" priority="5">
      <formula>ROUND(E$13,0) &gt;= ROUND(E$12,0)</formula>
    </cfRule>
  </conditionalFormatting>
  <conditionalFormatting sqref="E82:W82">
    <cfRule type="expression" dxfId="6" priority="6">
      <formula>ROUND(E$18,0) &lt; ROUND(E$12,0)</formula>
    </cfRule>
  </conditionalFormatting>
  <conditionalFormatting sqref="E85:W85">
    <cfRule type="expression" dxfId="5" priority="3">
      <formula>ROUND(E$13,0) &gt;= ROUND(E$12,0)</formula>
    </cfRule>
  </conditionalFormatting>
  <conditionalFormatting sqref="E90:W90">
    <cfRule type="expression" dxfId="4" priority="4">
      <formula>ROUND(E$18,0) &lt; ROUND(E$12,0)</formula>
    </cfRule>
  </conditionalFormatting>
  <conditionalFormatting sqref="E93:W93">
    <cfRule type="expression" dxfId="3" priority="1">
      <formula>ROUND(E$13,0) &gt;= ROUND(E$12,0)</formula>
    </cfRule>
  </conditionalFormatting>
  <conditionalFormatting sqref="E98:W98">
    <cfRule type="expression" dxfId="2" priority="2">
      <formula>ROUND(E$18,0) &lt; ROUND(E$12,0)</formula>
    </cfRule>
  </conditionalFormatting>
  <conditionalFormatting sqref="E101:W101">
    <cfRule type="expression" dxfId="1" priority="21">
      <formula>ROUND(E$101,0) &gt;= ROUND(E$100,0)</formula>
    </cfRule>
  </conditionalFormatting>
  <conditionalFormatting sqref="E106:W106">
    <cfRule type="expression" dxfId="0" priority="24">
      <formula>ROUND(E$106,0) &lt; ROUND(E$100,0)</formula>
    </cfRule>
  </conditionalFormatting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633eba6-0c01-4473-86ed-edf833d3ac8f">
      <Terms xmlns="http://schemas.microsoft.com/office/infopath/2007/PartnerControls"/>
    </lcf76f155ced4ddcb4097134ff3c332f>
    <TaxCatchAll xmlns="83d9ddb6-4f63-42da-b469-6378bedc6469" xsi:nil="true"/>
    <SharedWithUsers xmlns="83d9ddb6-4f63-42da-b469-6378bedc6469">
      <UserInfo>
        <DisplayName>randlaltmann5</DisplayName>
        <AccountId>1192</AccountId>
        <AccountType/>
      </UserInfo>
      <UserInfo>
        <DisplayName>Jayne Denson</DisplayName>
        <AccountId>1661</AccountId>
        <AccountType/>
      </UserInfo>
      <UserInfo>
        <DisplayName>Maggie Medina-Boice</DisplayName>
        <AccountId>860</AccountId>
        <AccountType/>
      </UserInfo>
      <UserInfo>
        <DisplayName>Lesa Neugent</DisplayName>
        <AccountId>232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F324320BA0CE54A980154A6C0D5A146" ma:contentTypeVersion="21" ma:contentTypeDescription="Create a new document." ma:contentTypeScope="" ma:versionID="8a13163ac93bf87f5f9fb50c299bdbcd">
  <xsd:schema xmlns:xsd="http://www.w3.org/2001/XMLSchema" xmlns:xs="http://www.w3.org/2001/XMLSchema" xmlns:p="http://schemas.microsoft.com/office/2006/metadata/properties" xmlns:ns1="http://schemas.microsoft.com/sharepoint/v3" xmlns:ns2="b633eba6-0c01-4473-86ed-edf833d3ac8f" xmlns:ns3="83d9ddb6-4f63-42da-b469-6378bedc6469" targetNamespace="http://schemas.microsoft.com/office/2006/metadata/properties" ma:root="true" ma:fieldsID="2b69b10cd0b3c30e3686833a587217de" ns1:_="" ns2:_="" ns3:_="">
    <xsd:import namespace="http://schemas.microsoft.com/sharepoint/v3"/>
    <xsd:import namespace="b633eba6-0c01-4473-86ed-edf833d3ac8f"/>
    <xsd:import namespace="83d9ddb6-4f63-42da-b469-6378bedc646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33eba6-0c01-4473-86ed-edf833d3ac8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6342d94-4a90-4c9b-8c88-cb4c8647e98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d9ddb6-4f63-42da-b469-6378bedc6469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d2d47ed-d0ca-41f7-b01c-7a1931a4c289}" ma:internalName="TaxCatchAll" ma:showField="CatchAllData" ma:web="83d9ddb6-4f63-42da-b469-6378bedc646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01FC3DB-12AD-4C17-98D8-6C955AB945E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1EC5A63-E974-4DEC-A49E-4F3724CB6B07}">
  <ds:schemaRefs>
    <ds:schemaRef ds:uri="http://purl.org/dc/elements/1.1/"/>
    <ds:schemaRef ds:uri="http://schemas.microsoft.com/sharepoint/v3"/>
    <ds:schemaRef ds:uri="http://purl.org/dc/terms/"/>
    <ds:schemaRef ds:uri="http://schemas.microsoft.com/office/2006/metadata/properties"/>
    <ds:schemaRef ds:uri="83d9ddb6-4f63-42da-b469-6378bedc6469"/>
    <ds:schemaRef ds:uri="http://www.w3.org/XML/1998/namespace"/>
    <ds:schemaRef ds:uri="http://purl.org/dc/dcmitype/"/>
    <ds:schemaRef ds:uri="b633eba6-0c01-4473-86ed-edf833d3ac8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</ds:schemaRefs>
</ds:datastoreItem>
</file>

<file path=customXml/itemProps3.xml><?xml version="1.0" encoding="utf-8"?>
<ds:datastoreItem xmlns:ds="http://schemas.openxmlformats.org/officeDocument/2006/customXml" ds:itemID="{346C86F7-0D56-4592-A48B-88F477F46C8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b633eba6-0c01-4473-86ed-edf833d3ac8f"/>
    <ds:schemaRef ds:uri="83d9ddb6-4f63-42da-b469-6378bedc646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8cc434d7-97d0-47d3-b5c5-14fe0e33e34b}" enabled="0" method="" siteId="{8cc434d7-97d0-47d3-b5c5-14fe0e33e34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setup</vt:lpstr>
      <vt:lpstr>aurora_data</vt:lpstr>
      <vt:lpstr>Summary</vt:lpstr>
      <vt:lpstr>OSEP_AUT_P</vt:lpstr>
      <vt:lpstr>OSEP_AUT_D</vt:lpstr>
      <vt:lpstr>OSEP_DD_P</vt:lpstr>
      <vt:lpstr>OSEP_DD_D</vt:lpstr>
      <vt:lpstr>OSEP_ED_P</vt:lpstr>
      <vt:lpstr>OSEP_ED_D</vt:lpstr>
      <vt:lpstr>OSEP_MD_P</vt:lpstr>
      <vt:lpstr>OSEP_MD_D</vt:lpstr>
      <vt:lpstr>OSEP_OI_P</vt:lpstr>
      <vt:lpstr>OSEP_OI_D</vt:lpstr>
      <vt:lpstr>OSEP_OHI_P</vt:lpstr>
      <vt:lpstr>OSEP_OHI_D</vt:lpstr>
      <vt:lpstr>OSEP_SLD_P</vt:lpstr>
      <vt:lpstr>OSEP_SLD_D</vt:lpstr>
      <vt:lpstr>OSEP_SI_P</vt:lpstr>
      <vt:lpstr>OSEP_SI_D</vt:lpstr>
      <vt:lpstr>OSEP_TBI_P</vt:lpstr>
      <vt:lpstr>OSEP_TBI_D</vt:lpstr>
      <vt:lpstr>OSEP_ADHD_P</vt:lpstr>
      <vt:lpstr>OSEP_ADHD_D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LaToya Favre</cp:lastModifiedBy>
  <cp:revision/>
  <dcterms:created xsi:type="dcterms:W3CDTF">2022-01-04T22:24:11Z</dcterms:created>
  <dcterms:modified xsi:type="dcterms:W3CDTF">2026-09-21T19:15:59Z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0x010100FF324320BA0CE54A980154A6C0D5A146</vt:lpwstr>
  </property>
  <property fmtid="{D5CDD505-2E9C-101B-9397-08002B2CF9AE}" pid="3" name="MediaServiceImageTags">
    <vt:lpwstr/>
  </property>
  <property fmtid="{D5CDD505-2E9C-101B-9397-08002B2CF9AE}" pid="4" name="SV_QUERY_LIST_4F35BF76-6C0D-4D9B-82B2-816C12CF3733">
    <vt:lpwstr>empty_477D106A-C0D6-4607-AEBD-E2C9D60EA279</vt:lpwstr>
  </property>
  <property fmtid="{D5CDD505-2E9C-101B-9397-08002B2CF9AE}" pid="5" name="SV_HIDDEN_GRID_QUERY_LIST_4F35BF76-6C0D-4D9B-82B2-816C12CF3733">
    <vt:lpwstr>empty_477D106A-C0D6-4607-AEBD-E2C9D60EA279</vt:lpwstr>
  </property>
</Properties>
</file>